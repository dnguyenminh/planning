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6CCC994-B411-4A2F-93F9-8B6A9DFC67FF}" xr6:coauthVersionLast="47" xr6:coauthVersionMax="47" xr10:uidLastSave="{00000000-0000-0000-0000-000000000000}"/>
  <bookViews>
    <workbookView xWindow="-108" yWindow="-108" windowWidth="30936" windowHeight="18696" firstSheet="2" activeTab="2" xr2:uid="{00000000-000D-0000-FFFF-FFFF00000000}"/>
  </bookViews>
  <sheets>
    <sheet name="Mẫu Thiết lập ban đầu" sheetId="1" state="hidden" r:id="rId1"/>
    <sheet name="Mẫu tiến trình chạy" sheetId="2" state="hidden" r:id="rId2"/>
    <sheet name="ETL + BPM" sheetId="17" r:id="rId3"/>
    <sheet name="Holiday" sheetId="6" r:id="rId4"/>
    <sheet name="Setting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7" l="1"/>
  <c r="E52" i="17"/>
  <c r="E57" i="17"/>
  <c r="E58" i="17"/>
  <c r="E59" i="17"/>
  <c r="E60" i="17"/>
  <c r="E61" i="17"/>
  <c r="E77" i="17"/>
  <c r="E81" i="17"/>
  <c r="E82" i="17"/>
  <c r="E83" i="17"/>
  <c r="E84" i="17"/>
  <c r="E85" i="17"/>
  <c r="F3" i="17"/>
  <c r="D2" i="17"/>
  <c r="E153" i="17" s="1"/>
  <c r="E28" i="17" l="1"/>
  <c r="E49" i="17"/>
  <c r="E26" i="17"/>
  <c r="E25" i="17"/>
  <c r="E24" i="17"/>
  <c r="E51" i="17"/>
  <c r="E33" i="17"/>
  <c r="E32" i="17"/>
  <c r="E27" i="17"/>
  <c r="E23" i="17"/>
  <c r="E88" i="17"/>
  <c r="E87" i="17"/>
  <c r="E86" i="17"/>
  <c r="E22" i="17"/>
  <c r="E9" i="17"/>
  <c r="E47" i="17"/>
  <c r="E101" i="17"/>
  <c r="E46" i="17"/>
  <c r="E100" i="17"/>
  <c r="E45" i="17"/>
  <c r="E99" i="17"/>
  <c r="E44" i="17"/>
  <c r="E98" i="17"/>
  <c r="E16" i="17"/>
  <c r="E70" i="17"/>
  <c r="E42" i="17"/>
  <c r="E96" i="17"/>
  <c r="E41" i="17"/>
  <c r="E95" i="17"/>
  <c r="E40" i="17"/>
  <c r="E94" i="17"/>
  <c r="E39" i="17"/>
  <c r="E93" i="17"/>
  <c r="E38" i="17"/>
  <c r="E65" i="17"/>
  <c r="E10" i="17"/>
  <c r="E36" i="17"/>
  <c r="E90" i="17"/>
  <c r="E63" i="17"/>
  <c r="E35" i="17"/>
  <c r="E8" i="17"/>
  <c r="E76" i="17"/>
  <c r="E48" i="17"/>
  <c r="E21" i="17"/>
  <c r="E75" i="17"/>
  <c r="E20" i="17"/>
  <c r="E74" i="17"/>
  <c r="E19" i="17"/>
  <c r="E73" i="17"/>
  <c r="E18" i="17"/>
  <c r="E72" i="17"/>
  <c r="E17" i="17"/>
  <c r="E71" i="17"/>
  <c r="E43" i="17"/>
  <c r="E97" i="17"/>
  <c r="E15" i="17"/>
  <c r="E69" i="17"/>
  <c r="E14" i="17"/>
  <c r="E68" i="17"/>
  <c r="E13" i="17"/>
  <c r="E67" i="17"/>
  <c r="E12" i="17"/>
  <c r="E66" i="17"/>
  <c r="E11" i="17"/>
  <c r="E92" i="17"/>
  <c r="E37" i="17"/>
  <c r="E91" i="17"/>
  <c r="E64" i="17"/>
  <c r="E89" i="17"/>
  <c r="E62" i="17"/>
  <c r="E34" i="17"/>
  <c r="E6" i="17"/>
  <c r="E80" i="17"/>
  <c r="E56" i="17"/>
  <c r="E31" i="17"/>
  <c r="E7" i="17"/>
  <c r="F54" i="17"/>
  <c r="F73" i="17" s="1"/>
  <c r="F74" i="17" s="1"/>
  <c r="F75" i="17" s="1"/>
  <c r="F76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7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8" i="17" s="1"/>
  <c r="F99" i="17" s="1"/>
  <c r="F100" i="17" s="1"/>
  <c r="F101" i="17" s="1"/>
  <c r="E79" i="17"/>
  <c r="E55" i="17"/>
  <c r="E30" i="17"/>
  <c r="E5" i="17"/>
  <c r="F5" i="17" s="1"/>
  <c r="E78" i="17"/>
  <c r="E54" i="17"/>
  <c r="E29" i="17"/>
  <c r="E102" i="17"/>
  <c r="E124" i="17"/>
  <c r="E106" i="17"/>
  <c r="E114" i="17"/>
  <c r="E122" i="17"/>
  <c r="E130" i="17"/>
  <c r="E138" i="17"/>
  <c r="E146" i="17"/>
  <c r="E132" i="17"/>
  <c r="E107" i="17"/>
  <c r="E115" i="17"/>
  <c r="E123" i="17"/>
  <c r="E131" i="17"/>
  <c r="E139" i="17"/>
  <c r="E147" i="17"/>
  <c r="E116" i="17"/>
  <c r="E109" i="17"/>
  <c r="E117" i="17"/>
  <c r="E125" i="17"/>
  <c r="E133" i="17"/>
  <c r="E141" i="17"/>
  <c r="E149" i="17"/>
  <c r="E108" i="17"/>
  <c r="E110" i="17"/>
  <c r="E118" i="17"/>
  <c r="E126" i="17"/>
  <c r="E134" i="17"/>
  <c r="E142" i="17"/>
  <c r="E150" i="17"/>
  <c r="E103" i="17"/>
  <c r="E111" i="17"/>
  <c r="E119" i="17"/>
  <c r="E127" i="17"/>
  <c r="E135" i="17"/>
  <c r="E143" i="17"/>
  <c r="E151" i="17"/>
  <c r="E148" i="17"/>
  <c r="E104" i="17"/>
  <c r="E112" i="17"/>
  <c r="E120" i="17"/>
  <c r="E128" i="17"/>
  <c r="E136" i="17"/>
  <c r="E144" i="17"/>
  <c r="E152" i="17"/>
  <c r="E140" i="17"/>
  <c r="E105" i="17"/>
  <c r="E113" i="17"/>
  <c r="E121" i="17"/>
  <c r="E129" i="17"/>
  <c r="E137" i="17"/>
  <c r="E145" i="17"/>
  <c r="G3" i="17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AO3" i="17" s="1"/>
  <c r="F102" i="17" l="1"/>
  <c r="F55" i="17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F71" i="17" s="1"/>
  <c r="F72" i="17" s="1"/>
  <c r="F129" i="17"/>
  <c r="F130" i="17" s="1"/>
  <c r="F131" i="17" s="1"/>
  <c r="F132" i="17" s="1"/>
  <c r="F133" i="17" s="1"/>
  <c r="F134" i="17" s="1"/>
  <c r="F135" i="17" s="1"/>
  <c r="F136" i="17" s="1"/>
  <c r="F137" i="17" s="1"/>
  <c r="F138" i="17" s="1"/>
  <c r="F139" i="17" s="1"/>
  <c r="F140" i="17" s="1"/>
  <c r="F141" i="17" s="1"/>
  <c r="F142" i="17" s="1"/>
  <c r="F143" i="17" s="1"/>
  <c r="F144" i="17" s="1"/>
  <c r="F145" i="17" s="1"/>
  <c r="F146" i="17" s="1"/>
  <c r="F147" i="17" s="1"/>
  <c r="F148" i="17" s="1"/>
  <c r="F149" i="17" s="1"/>
  <c r="F150" i="17" s="1"/>
  <c r="F151" i="17" s="1"/>
  <c r="F152" i="17" s="1"/>
  <c r="F153" i="17" s="1"/>
  <c r="F103" i="17"/>
  <c r="F104" i="17" s="1"/>
  <c r="F105" i="17" s="1"/>
  <c r="F106" i="17" s="1"/>
  <c r="F107" i="17" s="1"/>
  <c r="F108" i="17" s="1"/>
  <c r="F109" i="17" s="1"/>
  <c r="F110" i="17" s="1"/>
  <c r="F111" i="17" s="1"/>
  <c r="F112" i="17" s="1"/>
  <c r="F113" i="17" s="1"/>
  <c r="F114" i="17" s="1"/>
  <c r="F115" i="17" s="1"/>
  <c r="F116" i="17" s="1"/>
  <c r="F117" i="17" s="1"/>
  <c r="F118" i="17" s="1"/>
  <c r="F119" i="17" s="1"/>
  <c r="F120" i="17" s="1"/>
  <c r="F121" i="17" s="1"/>
  <c r="F122" i="17" s="1"/>
  <c r="F123" i="17" s="1"/>
  <c r="F124" i="17" s="1"/>
  <c r="F125" i="17" s="1"/>
  <c r="F126" i="17" s="1"/>
  <c r="F127" i="17" s="1"/>
  <c r="F128" i="17" s="1"/>
  <c r="F16" i="17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/>
  <c r="F31" i="17" s="1"/>
  <c r="F32" i="17" s="1"/>
  <c r="F33" i="17" s="1"/>
  <c r="F34" i="17" s="1"/>
  <c r="F35" i="17" s="1"/>
  <c r="F36" i="17" s="1"/>
  <c r="F37" i="17" s="1"/>
  <c r="F38" i="17" s="1"/>
  <c r="F39" i="17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E3" i="17"/>
  <c r="F6" i="17"/>
  <c r="F7" i="17" s="1"/>
  <c r="F8" i="17" s="1"/>
  <c r="F9" i="17" s="1"/>
  <c r="F10" i="17" s="1"/>
  <c r="F11" i="17" s="1"/>
  <c r="F12" i="17" s="1"/>
  <c r="F13" i="17" s="1"/>
  <c r="F14" i="17" s="1"/>
  <c r="F15" i="17" s="1"/>
  <c r="B2" i="17" l="1"/>
  <c r="Z5" i="17" s="1"/>
  <c r="L6" i="17"/>
  <c r="L40" i="17"/>
  <c r="AG40" i="17"/>
  <c r="Y40" i="17"/>
  <c r="Q40" i="17"/>
  <c r="P40" i="17"/>
  <c r="AE40" i="17"/>
  <c r="AI40" i="17"/>
  <c r="AD40" i="17"/>
  <c r="V40" i="17"/>
  <c r="N40" i="17"/>
  <c r="AM5" i="17"/>
  <c r="M6" i="17"/>
  <c r="I5" i="17"/>
  <c r="AL6" i="17"/>
  <c r="AJ6" i="17"/>
  <c r="Z6" i="17"/>
  <c r="AC6" i="17"/>
  <c r="O6" i="17"/>
  <c r="AN6" i="17"/>
  <c r="Q5" i="17"/>
  <c r="W5" i="17"/>
  <c r="AB40" i="17" l="1"/>
  <c r="J5" i="17"/>
  <c r="AL31" i="17"/>
  <c r="V31" i="17"/>
  <c r="AD31" i="17"/>
  <c r="T31" i="17"/>
  <c r="AC5" i="17"/>
  <c r="I6" i="17"/>
  <c r="AH5" i="17"/>
  <c r="AB31" i="17"/>
  <c r="AB6" i="17"/>
  <c r="W6" i="17"/>
  <c r="T5" i="17"/>
  <c r="AA31" i="17"/>
  <c r="AD6" i="17"/>
  <c r="Y5" i="17"/>
  <c r="AK5" i="17"/>
  <c r="V6" i="17"/>
  <c r="P6" i="17"/>
  <c r="K6" i="17"/>
  <c r="G6" i="17"/>
  <c r="AA6" i="17"/>
  <c r="AJ31" i="17"/>
  <c r="Q31" i="17"/>
  <c r="S40" i="17"/>
  <c r="S31" i="17"/>
  <c r="AA40" i="17"/>
  <c r="H6" i="17"/>
  <c r="AF5" i="17"/>
  <c r="AM40" i="17"/>
  <c r="AA5" i="17"/>
  <c r="T6" i="17"/>
  <c r="AN5" i="17"/>
  <c r="H40" i="17"/>
  <c r="AD5" i="17"/>
  <c r="T40" i="17"/>
  <c r="G5" i="17"/>
  <c r="U5" i="17"/>
  <c r="AG6" i="17"/>
  <c r="AE6" i="17"/>
  <c r="AF6" i="17"/>
  <c r="V5" i="17"/>
  <c r="G7" i="17"/>
  <c r="AH6" i="17"/>
  <c r="W7" i="17"/>
  <c r="U6" i="17"/>
  <c r="K5" i="17"/>
  <c r="AE7" i="17"/>
  <c r="AB5" i="17"/>
  <c r="O5" i="17"/>
  <c r="Q7" i="17"/>
  <c r="X40" i="17"/>
  <c r="M31" i="17"/>
  <c r="L7" i="17"/>
  <c r="U31" i="17"/>
  <c r="V7" i="17"/>
  <c r="W31" i="17"/>
  <c r="AD7" i="17"/>
  <c r="AL7" i="17"/>
  <c r="AO40" i="17"/>
  <c r="AH31" i="17"/>
  <c r="AN7" i="17"/>
  <c r="J40" i="17"/>
  <c r="K31" i="17"/>
  <c r="I7" i="17"/>
  <c r="Y7" i="17"/>
  <c r="M5" i="17"/>
  <c r="AJ7" i="17"/>
  <c r="AL5" i="17"/>
  <c r="AG5" i="17"/>
  <c r="L5" i="17"/>
  <c r="R6" i="17"/>
  <c r="AI6" i="17"/>
  <c r="AO6" i="17"/>
  <c r="R17" i="17"/>
  <c r="AI5" i="17"/>
  <c r="AI104" i="17"/>
  <c r="O31" i="17"/>
  <c r="AM6" i="17"/>
  <c r="I104" i="17"/>
  <c r="N6" i="17"/>
  <c r="AH104" i="17"/>
  <c r="AE31" i="17"/>
  <c r="S6" i="17"/>
  <c r="AK104" i="17"/>
  <c r="AM31" i="17"/>
  <c r="S5" i="17"/>
  <c r="P104" i="17"/>
  <c r="P5" i="17"/>
  <c r="AJ40" i="17"/>
  <c r="H31" i="17"/>
  <c r="R5" i="17"/>
  <c r="AF104" i="17"/>
  <c r="H5" i="17"/>
  <c r="M40" i="17"/>
  <c r="AN31" i="17"/>
  <c r="N5" i="17"/>
  <c r="AB56" i="17"/>
  <c r="X6" i="17"/>
  <c r="J6" i="17"/>
  <c r="I31" i="17"/>
  <c r="Y6" i="17"/>
  <c r="AO56" i="17"/>
  <c r="AB130" i="17"/>
  <c r="AM7" i="17"/>
  <c r="N130" i="17"/>
  <c r="M7" i="17"/>
  <c r="AL74" i="17"/>
  <c r="AA103" i="17"/>
  <c r="N7" i="17"/>
  <c r="H103" i="17"/>
  <c r="Z130" i="17"/>
  <c r="P74" i="17"/>
  <c r="Q6" i="17"/>
  <c r="Z7" i="17"/>
  <c r="Z103" i="17"/>
  <c r="AJ5" i="17"/>
  <c r="AH7" i="17"/>
  <c r="AK57" i="17"/>
  <c r="Y31" i="17"/>
  <c r="X5" i="17"/>
  <c r="K7" i="17"/>
  <c r="L56" i="17"/>
  <c r="AG31" i="17"/>
  <c r="AE5" i="17"/>
  <c r="S7" i="17"/>
  <c r="H74" i="17"/>
  <c r="Z31" i="17"/>
  <c r="AK6" i="17"/>
  <c r="AB7" i="17"/>
  <c r="AA74" i="17"/>
  <c r="K103" i="17"/>
  <c r="AE103" i="17"/>
  <c r="AG103" i="17"/>
  <c r="R130" i="17"/>
  <c r="AN103" i="17"/>
  <c r="P103" i="17"/>
  <c r="U131" i="17"/>
  <c r="AM74" i="17"/>
  <c r="AJ74" i="17"/>
  <c r="Y56" i="17"/>
  <c r="AN74" i="17"/>
  <c r="Y103" i="17"/>
  <c r="W130" i="17"/>
  <c r="Q55" i="17"/>
  <c r="T74" i="17"/>
  <c r="T56" i="17"/>
  <c r="Q56" i="17"/>
  <c r="AD55" i="17"/>
  <c r="I103" i="17"/>
  <c r="AC55" i="17"/>
  <c r="P55" i="17"/>
  <c r="K55" i="17"/>
  <c r="AE74" i="17"/>
  <c r="O55" i="17"/>
  <c r="AF56" i="17"/>
  <c r="AE56" i="17"/>
  <c r="AM103" i="17"/>
  <c r="AC74" i="17"/>
  <c r="L130" i="17"/>
  <c r="AI54" i="17"/>
  <c r="AK130" i="17"/>
  <c r="AL55" i="17"/>
  <c r="P56" i="17"/>
  <c r="O54" i="17"/>
  <c r="AO130" i="17"/>
  <c r="AD56" i="17"/>
  <c r="X130" i="17"/>
  <c r="K54" i="17"/>
  <c r="L75" i="17"/>
  <c r="AN55" i="17"/>
  <c r="Z74" i="17"/>
  <c r="AF103" i="17"/>
  <c r="AH74" i="17"/>
  <c r="H130" i="17"/>
  <c r="G130" i="17"/>
  <c r="R54" i="17"/>
  <c r="AH130" i="17"/>
  <c r="AO55" i="17"/>
  <c r="AG56" i="17"/>
  <c r="Y55" i="17"/>
  <c r="AN54" i="17"/>
  <c r="AH55" i="17"/>
  <c r="M130" i="17"/>
  <c r="AD54" i="17"/>
  <c r="AF54" i="17"/>
  <c r="AI103" i="17"/>
  <c r="AI56" i="17"/>
  <c r="AJ55" i="17"/>
  <c r="I54" i="17"/>
  <c r="O56" i="17"/>
  <c r="W103" i="17"/>
  <c r="N54" i="17"/>
  <c r="N55" i="17"/>
  <c r="H104" i="17"/>
  <c r="AN56" i="17"/>
  <c r="M74" i="17"/>
  <c r="AD74" i="17"/>
  <c r="Q74" i="17"/>
  <c r="AE130" i="17"/>
  <c r="X56" i="17"/>
  <c r="AB74" i="17"/>
  <c r="N74" i="17"/>
  <c r="K74" i="17"/>
  <c r="O130" i="17"/>
  <c r="J56" i="17"/>
  <c r="L103" i="17"/>
  <c r="U55" i="17"/>
  <c r="Z55" i="17"/>
  <c r="AC130" i="17"/>
  <c r="AA55" i="17"/>
  <c r="U130" i="17"/>
  <c r="W55" i="17"/>
  <c r="Q130" i="17"/>
  <c r="I130" i="17"/>
  <c r="L55" i="17"/>
  <c r="T54" i="17"/>
  <c r="G54" i="17"/>
  <c r="S54" i="17"/>
  <c r="U54" i="17"/>
  <c r="AO5" i="17"/>
  <c r="AK74" i="17"/>
  <c r="AA104" i="17"/>
  <c r="V104" i="17"/>
  <c r="G56" i="17"/>
  <c r="J74" i="17"/>
  <c r="AI74" i="17"/>
  <c r="L74" i="17"/>
  <c r="AA131" i="17"/>
  <c r="J130" i="17"/>
  <c r="M103" i="17"/>
  <c r="S74" i="17"/>
  <c r="AB103" i="17"/>
  <c r="AF130" i="17"/>
  <c r="AK55" i="17"/>
  <c r="X103" i="17"/>
  <c r="M55" i="17"/>
  <c r="T55" i="17"/>
  <c r="AG130" i="17"/>
  <c r="AJ130" i="17"/>
  <c r="Y130" i="17"/>
  <c r="S56" i="17"/>
  <c r="P130" i="17"/>
  <c r="AI55" i="17"/>
  <c r="G55" i="17"/>
  <c r="AB54" i="17"/>
  <c r="AE54" i="17"/>
  <c r="AJ54" i="17"/>
  <c r="X54" i="17"/>
  <c r="R56" i="17"/>
  <c r="AK103" i="17"/>
  <c r="U103" i="17"/>
  <c r="AF57" i="17"/>
  <c r="W131" i="17"/>
  <c r="AN130" i="17"/>
  <c r="Q103" i="17"/>
  <c r="AJ103" i="17"/>
  <c r="N103" i="17"/>
  <c r="T103" i="17"/>
  <c r="K130" i="17"/>
  <c r="AM56" i="17"/>
  <c r="V130" i="17"/>
  <c r="O103" i="17"/>
  <c r="R55" i="17"/>
  <c r="AM55" i="17"/>
  <c r="AG55" i="17"/>
  <c r="U56" i="17"/>
  <c r="O74" i="17"/>
  <c r="AH56" i="17"/>
  <c r="AC103" i="17"/>
  <c r="V54" i="17"/>
  <c r="W54" i="17"/>
  <c r="M54" i="17"/>
  <c r="Z54" i="17"/>
  <c r="W56" i="17"/>
  <c r="AE55" i="17"/>
  <c r="Z104" i="17"/>
  <c r="N56" i="17"/>
  <c r="AM130" i="17"/>
  <c r="G103" i="17"/>
  <c r="S103" i="17"/>
  <c r="N57" i="17"/>
  <c r="AF131" i="17"/>
  <c r="AG74" i="17"/>
  <c r="AD103" i="17"/>
  <c r="AH103" i="17"/>
  <c r="AK56" i="17"/>
  <c r="R103" i="17"/>
  <c r="AD130" i="17"/>
  <c r="J55" i="17"/>
  <c r="V55" i="17"/>
  <c r="V56" i="17"/>
  <c r="AF74" i="17"/>
  <c r="AC56" i="17"/>
  <c r="W74" i="17"/>
  <c r="AA56" i="17"/>
  <c r="R74" i="17"/>
  <c r="I56" i="17"/>
  <c r="I55" i="17"/>
  <c r="L54" i="17"/>
  <c r="AA54" i="17"/>
  <c r="AH54" i="17"/>
  <c r="H54" i="17"/>
  <c r="S130" i="17"/>
  <c r="M56" i="17"/>
  <c r="AL54" i="17"/>
  <c r="Y54" i="17"/>
  <c r="AG54" i="17"/>
  <c r="P54" i="17"/>
  <c r="AC54" i="17"/>
  <c r="AL130" i="17"/>
  <c r="G74" i="17"/>
  <c r="L104" i="17"/>
  <c r="K56" i="17"/>
  <c r="X74" i="17"/>
  <c r="AO74" i="17"/>
  <c r="AL103" i="17"/>
  <c r="T130" i="17"/>
  <c r="Z56" i="17"/>
  <c r="V74" i="17"/>
  <c r="Y74" i="17"/>
  <c r="V103" i="17"/>
  <c r="AI130" i="17"/>
  <c r="AL56" i="17"/>
  <c r="I74" i="17"/>
  <c r="AF55" i="17"/>
  <c r="U74" i="17"/>
  <c r="X55" i="17"/>
  <c r="J103" i="17"/>
  <c r="H55" i="17"/>
  <c r="AO103" i="17"/>
  <c r="H56" i="17"/>
  <c r="AB55" i="17"/>
  <c r="AA130" i="17"/>
  <c r="Q54" i="17"/>
  <c r="AM54" i="17"/>
  <c r="AO54" i="17"/>
  <c r="AK54" i="17"/>
  <c r="J54" i="17"/>
  <c r="S55" i="17"/>
  <c r="AJ56" i="17"/>
  <c r="Q104" i="17"/>
  <c r="AB104" i="17"/>
  <c r="AD104" i="17"/>
  <c r="AN104" i="17"/>
  <c r="K57" i="17"/>
  <c r="R131" i="17"/>
  <c r="AG104" i="17"/>
  <c r="AJ104" i="17"/>
  <c r="AL104" i="17"/>
  <c r="L131" i="17"/>
  <c r="K104" i="17"/>
  <c r="J104" i="17"/>
  <c r="U104" i="17"/>
  <c r="O104" i="17"/>
  <c r="AO104" i="17"/>
  <c r="M104" i="17"/>
  <c r="G104" i="17"/>
  <c r="S104" i="17"/>
  <c r="R104" i="17"/>
  <c r="AC104" i="17"/>
  <c r="W104" i="17"/>
  <c r="X104" i="17"/>
  <c r="AA57" i="17"/>
  <c r="W57" i="17"/>
  <c r="AM104" i="17"/>
  <c r="AI57" i="17"/>
  <c r="AM57" i="17"/>
  <c r="K131" i="17"/>
  <c r="AD131" i="17"/>
  <c r="Y104" i="17"/>
  <c r="T104" i="17"/>
  <c r="N104" i="17"/>
  <c r="T57" i="17"/>
  <c r="X57" i="17"/>
  <c r="Q131" i="17"/>
  <c r="G131" i="17"/>
  <c r="W75" i="17"/>
  <c r="M57" i="17"/>
  <c r="I57" i="17"/>
  <c r="AO131" i="17"/>
  <c r="P131" i="17"/>
  <c r="Y57" i="17"/>
  <c r="R57" i="17"/>
  <c r="AD57" i="17"/>
  <c r="AJ131" i="17"/>
  <c r="AC75" i="17"/>
  <c r="P75" i="17"/>
  <c r="AO75" i="17"/>
  <c r="AI75" i="17"/>
  <c r="J57" i="17"/>
  <c r="L57" i="17"/>
  <c r="V57" i="17"/>
  <c r="AE57" i="17"/>
  <c r="Q57" i="17"/>
  <c r="S131" i="17"/>
  <c r="J131" i="17"/>
  <c r="M131" i="17"/>
  <c r="AL131" i="17"/>
  <c r="X131" i="17"/>
  <c r="G75" i="17"/>
  <c r="AK75" i="17"/>
  <c r="X75" i="17"/>
  <c r="J75" i="17"/>
  <c r="W76" i="17"/>
  <c r="AF75" i="17"/>
  <c r="R75" i="17"/>
  <c r="T75" i="17"/>
  <c r="Q105" i="17"/>
  <c r="V105" i="17"/>
  <c r="AE104" i="17"/>
  <c r="Z57" i="17"/>
  <c r="AB57" i="17"/>
  <c r="AL57" i="17"/>
  <c r="H57" i="17"/>
  <c r="AG57" i="17"/>
  <c r="AI131" i="17"/>
  <c r="Z131" i="17"/>
  <c r="AC131" i="17"/>
  <c r="O131" i="17"/>
  <c r="AN131" i="17"/>
  <c r="O75" i="17"/>
  <c r="N75" i="17"/>
  <c r="AN75" i="17"/>
  <c r="Z75" i="17"/>
  <c r="AB75" i="17"/>
  <c r="AH57" i="17"/>
  <c r="AJ57" i="17"/>
  <c r="U57" i="17"/>
  <c r="P57" i="17"/>
  <c r="AO57" i="17"/>
  <c r="I131" i="17"/>
  <c r="AH131" i="17"/>
  <c r="AK131" i="17"/>
  <c r="AE75" i="17"/>
  <c r="V75" i="17"/>
  <c r="I75" i="17"/>
  <c r="AH75" i="17"/>
  <c r="AJ75" i="17"/>
  <c r="AA132" i="17"/>
  <c r="AE131" i="17"/>
  <c r="AM75" i="17"/>
  <c r="AD75" i="17"/>
  <c r="Q75" i="17"/>
  <c r="K75" i="17"/>
  <c r="S57" i="17"/>
  <c r="AC57" i="17"/>
  <c r="G57" i="17"/>
  <c r="Y131" i="17"/>
  <c r="T131" i="17"/>
  <c r="N131" i="17"/>
  <c r="AM131" i="17"/>
  <c r="M75" i="17"/>
  <c r="AL75" i="17"/>
  <c r="Y75" i="17"/>
  <c r="S75" i="17"/>
  <c r="AJ58" i="17"/>
  <c r="O57" i="17"/>
  <c r="AN57" i="17"/>
  <c r="AG131" i="17"/>
  <c r="AB131" i="17"/>
  <c r="V131" i="17"/>
  <c r="H131" i="17"/>
  <c r="U75" i="17"/>
  <c r="H75" i="17"/>
  <c r="AG75" i="17"/>
  <c r="AA75" i="17"/>
  <c r="K17" i="17"/>
  <c r="AE17" i="17"/>
  <c r="S17" i="17"/>
  <c r="N17" i="17"/>
  <c r="AM17" i="17"/>
  <c r="Y17" i="17"/>
  <c r="Q17" i="17"/>
  <c r="AA17" i="17"/>
  <c r="V17" i="17"/>
  <c r="H17" i="17"/>
  <c r="AG17" i="17"/>
  <c r="AI17" i="17"/>
  <c r="AD17" i="17"/>
  <c r="P17" i="17"/>
  <c r="AO17" i="17"/>
  <c r="W41" i="17"/>
  <c r="L41" i="17"/>
  <c r="J41" i="17"/>
  <c r="G40" i="17"/>
  <c r="AF40" i="17"/>
  <c r="R40" i="17"/>
  <c r="U40" i="17"/>
  <c r="AK32" i="17"/>
  <c r="AC32" i="17"/>
  <c r="L32" i="17"/>
  <c r="AA32" i="17"/>
  <c r="J32" i="17"/>
  <c r="AF32" i="17"/>
  <c r="W32" i="17"/>
  <c r="G32" i="17"/>
  <c r="AC31" i="17"/>
  <c r="P31" i="17"/>
  <c r="AO31" i="17"/>
  <c r="AI31" i="17"/>
  <c r="U7" i="17"/>
  <c r="H7" i="17"/>
  <c r="AG7" i="17"/>
  <c r="AA7" i="17"/>
  <c r="M17" i="17"/>
  <c r="L17" i="17"/>
  <c r="AL17" i="17"/>
  <c r="X17" i="17"/>
  <c r="J17" i="17"/>
  <c r="AL40" i="17"/>
  <c r="O40" i="17"/>
  <c r="AN40" i="17"/>
  <c r="Z40" i="17"/>
  <c r="AC40" i="17"/>
  <c r="N31" i="17"/>
  <c r="AK31" i="17"/>
  <c r="X31" i="17"/>
  <c r="J31" i="17"/>
  <c r="AC7" i="17"/>
  <c r="P7" i="17"/>
  <c r="AO7" i="17"/>
  <c r="AI7" i="17"/>
  <c r="U17" i="17"/>
  <c r="T17" i="17"/>
  <c r="G17" i="17"/>
  <c r="AF17" i="17"/>
  <c r="U18" i="17"/>
  <c r="AJ18" i="17"/>
  <c r="S18" i="17"/>
  <c r="AH18" i="17"/>
  <c r="Y18" i="17"/>
  <c r="I18" i="17"/>
  <c r="AL18" i="17"/>
  <c r="V18" i="17"/>
  <c r="H18" i="17"/>
  <c r="K40" i="17"/>
  <c r="W40" i="17"/>
  <c r="I40" i="17"/>
  <c r="AH40" i="17"/>
  <c r="AK40" i="17"/>
  <c r="L31" i="17"/>
  <c r="G31" i="17"/>
  <c r="AF31" i="17"/>
  <c r="R31" i="17"/>
  <c r="O7" i="17"/>
  <c r="AK7" i="17"/>
  <c r="X7" i="17"/>
  <c r="J7" i="17"/>
  <c r="AK17" i="17"/>
  <c r="AB17" i="17"/>
  <c r="O17" i="17"/>
  <c r="AN17" i="17"/>
  <c r="Z17" i="17"/>
  <c r="AM8" i="17"/>
  <c r="G8" i="17"/>
  <c r="AL8" i="17"/>
  <c r="AD8" i="17"/>
  <c r="V8" i="17"/>
  <c r="N8" i="17"/>
  <c r="W8" i="17"/>
  <c r="U8" i="17"/>
  <c r="M8" i="17"/>
  <c r="AJ8" i="17"/>
  <c r="AB8" i="17"/>
  <c r="T8" i="17"/>
  <c r="L8" i="17"/>
  <c r="S8" i="17"/>
  <c r="K8" i="17"/>
  <c r="AO8" i="17"/>
  <c r="AG8" i="17"/>
  <c r="Y8" i="17"/>
  <c r="Q8" i="17"/>
  <c r="AF8" i="17"/>
  <c r="X8" i="17"/>
  <c r="P8" i="17"/>
  <c r="H8" i="17"/>
  <c r="R8" i="17"/>
  <c r="J8" i="17"/>
  <c r="AF7" i="17"/>
  <c r="R7" i="17"/>
  <c r="T7" i="17"/>
  <c r="AC17" i="17"/>
  <c r="AJ17" i="17"/>
  <c r="W17" i="17"/>
  <c r="I17" i="17"/>
  <c r="AH17" i="17"/>
  <c r="G132" i="17" l="1"/>
  <c r="Z76" i="17"/>
  <c r="Y76" i="17"/>
  <c r="AF132" i="17"/>
  <c r="O105" i="17"/>
  <c r="P76" i="17"/>
  <c r="AL76" i="17"/>
  <c r="AI105" i="17"/>
  <c r="Q76" i="17"/>
  <c r="G58" i="17"/>
  <c r="AD105" i="17"/>
  <c r="AG76" i="17"/>
  <c r="X58" i="17"/>
  <c r="T76" i="17"/>
  <c r="AJ76" i="17"/>
  <c r="L132" i="17"/>
  <c r="AG105" i="17"/>
  <c r="M76" i="17"/>
  <c r="Z105" i="17"/>
  <c r="AF58" i="17"/>
  <c r="R132" i="17"/>
  <c r="L105" i="17"/>
  <c r="AM105" i="17"/>
  <c r="AH76" i="17"/>
  <c r="AO76" i="17"/>
  <c r="N76" i="17"/>
  <c r="I58" i="17"/>
  <c r="R58" i="17"/>
  <c r="T105" i="17"/>
  <c r="S105" i="17"/>
  <c r="J76" i="17"/>
  <c r="K76" i="17"/>
  <c r="V76" i="17"/>
  <c r="AK58" i="17"/>
  <c r="K58" i="17"/>
  <c r="AF105" i="17"/>
  <c r="AB105" i="17"/>
  <c r="H76" i="17"/>
  <c r="L76" i="17"/>
  <c r="AD76" i="17"/>
  <c r="T58" i="17"/>
  <c r="U58" i="17"/>
  <c r="X105" i="17"/>
  <c r="X76" i="17"/>
  <c r="AB76" i="17"/>
  <c r="AM76" i="17"/>
  <c r="N58" i="17"/>
  <c r="W58" i="17"/>
  <c r="Y58" i="17"/>
  <c r="AH58" i="17"/>
  <c r="AB132" i="17"/>
  <c r="W132" i="17"/>
  <c r="I132" i="17"/>
  <c r="AH132" i="17"/>
  <c r="AE105" i="17"/>
  <c r="AH105" i="17"/>
  <c r="AJ105" i="17"/>
  <c r="AN105" i="17"/>
  <c r="AF76" i="17"/>
  <c r="S76" i="17"/>
  <c r="U76" i="17"/>
  <c r="G76" i="17"/>
  <c r="W59" i="17"/>
  <c r="AB59" i="17"/>
  <c r="O58" i="17"/>
  <c r="Q58" i="17"/>
  <c r="Z58" i="17"/>
  <c r="AB58" i="17"/>
  <c r="T132" i="17"/>
  <c r="AN132" i="17"/>
  <c r="V58" i="17"/>
  <c r="AE58" i="17"/>
  <c r="AG58" i="17"/>
  <c r="S58" i="17"/>
  <c r="AL132" i="17"/>
  <c r="AJ132" i="17"/>
  <c r="AE132" i="17"/>
  <c r="Q132" i="17"/>
  <c r="K132" i="17"/>
  <c r="AO105" i="17"/>
  <c r="H105" i="17"/>
  <c r="J105" i="17"/>
  <c r="AC105" i="17"/>
  <c r="R76" i="17"/>
  <c r="AN76" i="17"/>
  <c r="AA76" i="17"/>
  <c r="AC76" i="17"/>
  <c r="O76" i="17"/>
  <c r="O132" i="17"/>
  <c r="Z132" i="17"/>
  <c r="AD58" i="17"/>
  <c r="AM58" i="17"/>
  <c r="AO58" i="17"/>
  <c r="AA58" i="17"/>
  <c r="V132" i="17"/>
  <c r="M132" i="17"/>
  <c r="AM132" i="17"/>
  <c r="Y132" i="17"/>
  <c r="S132" i="17"/>
  <c r="N105" i="17"/>
  <c r="M105" i="17"/>
  <c r="P105" i="17"/>
  <c r="R105" i="17"/>
  <c r="AK105" i="17"/>
  <c r="I76" i="17"/>
  <c r="AI76" i="17"/>
  <c r="AK76" i="17"/>
  <c r="AL58" i="17"/>
  <c r="H58" i="17"/>
  <c r="P58" i="17"/>
  <c r="AI58" i="17"/>
  <c r="AD132" i="17"/>
  <c r="U132" i="17"/>
  <c r="H132" i="17"/>
  <c r="AG132" i="17"/>
  <c r="W105" i="17"/>
  <c r="U105" i="17"/>
  <c r="Y105" i="17"/>
  <c r="AA105" i="17"/>
  <c r="AJ77" i="17"/>
  <c r="AE76" i="17"/>
  <c r="AD133" i="17"/>
  <c r="AC132" i="17"/>
  <c r="P132" i="17"/>
  <c r="AO132" i="17"/>
  <c r="AI132" i="17"/>
  <c r="M58" i="17"/>
  <c r="AC58" i="17"/>
  <c r="AN58" i="17"/>
  <c r="J58" i="17"/>
  <c r="L58" i="17"/>
  <c r="N132" i="17"/>
  <c r="AK132" i="17"/>
  <c r="X132" i="17"/>
  <c r="J132" i="17"/>
  <c r="AN106" i="17"/>
  <c r="AK106" i="17"/>
  <c r="G105" i="17"/>
  <c r="I105" i="17"/>
  <c r="K105" i="17"/>
  <c r="AL105" i="17"/>
  <c r="W19" i="17"/>
  <c r="L19" i="17"/>
  <c r="Q19" i="17"/>
  <c r="AE18" i="17"/>
  <c r="R18" i="17"/>
  <c r="T18" i="17"/>
  <c r="AG32" i="17"/>
  <c r="P32" i="17"/>
  <c r="K32" i="17"/>
  <c r="M32" i="17"/>
  <c r="AL32" i="17"/>
  <c r="AG41" i="17"/>
  <c r="AA41" i="17"/>
  <c r="AC41" i="17"/>
  <c r="O41" i="17"/>
  <c r="AN41" i="17"/>
  <c r="N18" i="17"/>
  <c r="AM18" i="17"/>
  <c r="Z18" i="17"/>
  <c r="AB18" i="17"/>
  <c r="AO32" i="17"/>
  <c r="X32" i="17"/>
  <c r="S32" i="17"/>
  <c r="U32" i="17"/>
  <c r="AO41" i="17"/>
  <c r="AI41" i="17"/>
  <c r="AK41" i="17"/>
  <c r="S42" i="17"/>
  <c r="Y42" i="17"/>
  <c r="AM42" i="17"/>
  <c r="N42" i="17"/>
  <c r="AJ42" i="17"/>
  <c r="AB42" i="17"/>
  <c r="AE41" i="17"/>
  <c r="AN18" i="17"/>
  <c r="AD18" i="17"/>
  <c r="Q18" i="17"/>
  <c r="K18" i="17"/>
  <c r="M18" i="17"/>
  <c r="O32" i="17"/>
  <c r="AN32" i="17"/>
  <c r="AI32" i="17"/>
  <c r="R41" i="17"/>
  <c r="T41" i="17"/>
  <c r="N41" i="17"/>
  <c r="AM41" i="17"/>
  <c r="AG33" i="17"/>
  <c r="Y33" i="17"/>
  <c r="H33" i="17"/>
  <c r="AM33" i="17"/>
  <c r="V33" i="17"/>
  <c r="N33" i="17"/>
  <c r="I33" i="17"/>
  <c r="AA33" i="17"/>
  <c r="S33" i="17"/>
  <c r="K33" i="17"/>
  <c r="T33" i="17"/>
  <c r="L33" i="17"/>
  <c r="AB33" i="17"/>
  <c r="Z41" i="17"/>
  <c r="AB41" i="17"/>
  <c r="V41" i="17"/>
  <c r="H41" i="17"/>
  <c r="Z8" i="17"/>
  <c r="AN8" i="17"/>
  <c r="AA8" i="17"/>
  <c r="AC8" i="17"/>
  <c r="O8" i="17"/>
  <c r="P18" i="17"/>
  <c r="G18" i="17"/>
  <c r="AG18" i="17"/>
  <c r="AA18" i="17"/>
  <c r="AC18" i="17"/>
  <c r="I32" i="17"/>
  <c r="AE32" i="17"/>
  <c r="R32" i="17"/>
  <c r="T32" i="17"/>
  <c r="N32" i="17"/>
  <c r="Q41" i="17"/>
  <c r="AH41" i="17"/>
  <c r="AJ41" i="17"/>
  <c r="AD41" i="17"/>
  <c r="P41" i="17"/>
  <c r="AH8" i="17"/>
  <c r="I8" i="17"/>
  <c r="AI8" i="17"/>
  <c r="AK8" i="17"/>
  <c r="X18" i="17"/>
  <c r="O18" i="17"/>
  <c r="AO18" i="17"/>
  <c r="AI18" i="17"/>
  <c r="AK18" i="17"/>
  <c r="Q32" i="17"/>
  <c r="AM32" i="17"/>
  <c r="Z32" i="17"/>
  <c r="AB32" i="17"/>
  <c r="V32" i="17"/>
  <c r="I41" i="17"/>
  <c r="K41" i="17"/>
  <c r="M41" i="17"/>
  <c r="AL41" i="17"/>
  <c r="X41" i="17"/>
  <c r="R9" i="17"/>
  <c r="J9" i="17"/>
  <c r="AO9" i="17"/>
  <c r="AF9" i="17"/>
  <c r="X9" i="17"/>
  <c r="P9" i="17"/>
  <c r="G9" i="17"/>
  <c r="AL9" i="17"/>
  <c r="AD9" i="17"/>
  <c r="AH9" i="17"/>
  <c r="T9" i="17"/>
  <c r="L9" i="17"/>
  <c r="AI9" i="17"/>
  <c r="K9" i="17"/>
  <c r="U9" i="17"/>
  <c r="M9" i="17"/>
  <c r="AE8" i="17"/>
  <c r="AF18" i="17"/>
  <c r="W18" i="17"/>
  <c r="J18" i="17"/>
  <c r="L18" i="17"/>
  <c r="Y32" i="17"/>
  <c r="H32" i="17"/>
  <c r="AH32" i="17"/>
  <c r="AJ32" i="17"/>
  <c r="AD32" i="17"/>
  <c r="Y41" i="17"/>
  <c r="S41" i="17"/>
  <c r="U41" i="17"/>
  <c r="G41" i="17"/>
  <c r="AF41" i="17"/>
  <c r="AH106" i="17" l="1"/>
  <c r="AG133" i="17"/>
  <c r="W106" i="17"/>
  <c r="X133" i="17"/>
  <c r="S133" i="17"/>
  <c r="Z106" i="17"/>
  <c r="X77" i="17"/>
  <c r="AI59" i="17"/>
  <c r="U133" i="17"/>
  <c r="P77" i="17"/>
  <c r="U59" i="17"/>
  <c r="Z77" i="17"/>
  <c r="J106" i="17"/>
  <c r="V77" i="17"/>
  <c r="R77" i="17"/>
  <c r="G59" i="17"/>
  <c r="AD106" i="17"/>
  <c r="AF77" i="17"/>
  <c r="AO77" i="17"/>
  <c r="T77" i="17"/>
  <c r="AC77" i="17"/>
  <c r="AG59" i="17"/>
  <c r="J59" i="17"/>
  <c r="N77" i="17"/>
  <c r="AJ106" i="17"/>
  <c r="T106" i="17"/>
  <c r="M106" i="17"/>
  <c r="I106" i="17"/>
  <c r="G133" i="17"/>
  <c r="AF133" i="17"/>
  <c r="AA133" i="17"/>
  <c r="AC133" i="17"/>
  <c r="M77" i="17"/>
  <c r="AD77" i="17"/>
  <c r="AH77" i="17"/>
  <c r="AL77" i="17"/>
  <c r="H59" i="17"/>
  <c r="L59" i="17"/>
  <c r="AC59" i="17"/>
  <c r="O59" i="17"/>
  <c r="O106" i="17"/>
  <c r="Q106" i="17"/>
  <c r="O133" i="17"/>
  <c r="AN133" i="17"/>
  <c r="AI133" i="17"/>
  <c r="AK133" i="17"/>
  <c r="W78" i="17"/>
  <c r="H77" i="17"/>
  <c r="J77" i="17"/>
  <c r="U77" i="17"/>
  <c r="P59" i="17"/>
  <c r="T59" i="17"/>
  <c r="AL59" i="17"/>
  <c r="AE60" i="17"/>
  <c r="AE59" i="17"/>
  <c r="W133" i="17"/>
  <c r="J133" i="17"/>
  <c r="L133" i="17"/>
  <c r="R106" i="17"/>
  <c r="AL106" i="17"/>
  <c r="U106" i="17"/>
  <c r="H106" i="17"/>
  <c r="AG106" i="17"/>
  <c r="AO133" i="17"/>
  <c r="AE133" i="17"/>
  <c r="R133" i="17"/>
  <c r="T133" i="17"/>
  <c r="N133" i="17"/>
  <c r="K77" i="17"/>
  <c r="W77" i="17"/>
  <c r="Y77" i="17"/>
  <c r="AA77" i="17"/>
  <c r="AK77" i="17"/>
  <c r="X59" i="17"/>
  <c r="R59" i="17"/>
  <c r="AK59" i="17"/>
  <c r="N59" i="17"/>
  <c r="AN59" i="17"/>
  <c r="AB106" i="17"/>
  <c r="G106" i="17"/>
  <c r="AE106" i="17"/>
  <c r="P106" i="17"/>
  <c r="I133" i="17"/>
  <c r="AM133" i="17"/>
  <c r="Z133" i="17"/>
  <c r="AB133" i="17"/>
  <c r="V133" i="17"/>
  <c r="S77" i="17"/>
  <c r="AG77" i="17"/>
  <c r="AI77" i="17"/>
  <c r="AN77" i="17"/>
  <c r="I59" i="17"/>
  <c r="Z59" i="17"/>
  <c r="K59" i="17"/>
  <c r="V59" i="17"/>
  <c r="AF59" i="17"/>
  <c r="K106" i="17"/>
  <c r="AO106" i="17"/>
  <c r="AM106" i="17"/>
  <c r="S106" i="17"/>
  <c r="L106" i="17"/>
  <c r="X106" i="17"/>
  <c r="Q133" i="17"/>
  <c r="H133" i="17"/>
  <c r="AH133" i="17"/>
  <c r="AJ133" i="17"/>
  <c r="AB77" i="17"/>
  <c r="G77" i="17"/>
  <c r="I77" i="17"/>
  <c r="AE77" i="17"/>
  <c r="Q59" i="17"/>
  <c r="AH59" i="17"/>
  <c r="AA59" i="17"/>
  <c r="AD59" i="17"/>
  <c r="AO59" i="17"/>
  <c r="X107" i="17"/>
  <c r="AA106" i="17"/>
  <c r="AI106" i="17"/>
  <c r="Y106" i="17"/>
  <c r="K134" i="17"/>
  <c r="N106" i="17"/>
  <c r="AC106" i="17"/>
  <c r="V106" i="17"/>
  <c r="AF106" i="17"/>
  <c r="Y133" i="17"/>
  <c r="P133" i="17"/>
  <c r="K133" i="17"/>
  <c r="M133" i="17"/>
  <c r="AL133" i="17"/>
  <c r="L77" i="17"/>
  <c r="O77" i="17"/>
  <c r="Q77" i="17"/>
  <c r="AM77" i="17"/>
  <c r="Y59" i="17"/>
  <c r="S59" i="17"/>
  <c r="M59" i="17"/>
  <c r="AM59" i="17"/>
  <c r="AJ59" i="17"/>
  <c r="AL43" i="17"/>
  <c r="V43" i="17"/>
  <c r="AK43" i="17"/>
  <c r="AC43" i="17"/>
  <c r="U43" i="17"/>
  <c r="M43" i="17"/>
  <c r="AB43" i="17"/>
  <c r="L43" i="17"/>
  <c r="AA43" i="17"/>
  <c r="S43" i="17"/>
  <c r="K43" i="17"/>
  <c r="Z43" i="17"/>
  <c r="J43" i="17"/>
  <c r="AG43" i="17"/>
  <c r="Y43" i="17"/>
  <c r="Q43" i="17"/>
  <c r="AN43" i="17"/>
  <c r="X43" i="17"/>
  <c r="H43" i="17"/>
  <c r="AM43" i="17"/>
  <c r="AE43" i="17"/>
  <c r="O43" i="17"/>
  <c r="AE42" i="17"/>
  <c r="Q42" i="17"/>
  <c r="K42" i="17"/>
  <c r="I19" i="17"/>
  <c r="AH19" i="17"/>
  <c r="AK19" i="17"/>
  <c r="AH20" i="17"/>
  <c r="AO20" i="17"/>
  <c r="AG20" i="17"/>
  <c r="Y20" i="17"/>
  <c r="I20" i="17"/>
  <c r="P20" i="17"/>
  <c r="H20" i="17"/>
  <c r="AL20" i="17"/>
  <c r="V20" i="17"/>
  <c r="J20" i="17"/>
  <c r="S20" i="17"/>
  <c r="AE20" i="17"/>
  <c r="O20" i="17"/>
  <c r="M20" i="17"/>
  <c r="L20" i="17"/>
  <c r="K20" i="17"/>
  <c r="AK20" i="17"/>
  <c r="U20" i="17"/>
  <c r="T20" i="17"/>
  <c r="W20" i="17"/>
  <c r="AE19" i="17"/>
  <c r="AC9" i="17"/>
  <c r="AB9" i="17"/>
  <c r="O9" i="17"/>
  <c r="AN9" i="17"/>
  <c r="Z9" i="17"/>
  <c r="AJ33" i="17"/>
  <c r="AI33" i="17"/>
  <c r="AD33" i="17"/>
  <c r="P33" i="17"/>
  <c r="AO33" i="17"/>
  <c r="L42" i="17"/>
  <c r="V42" i="17"/>
  <c r="H42" i="17"/>
  <c r="AG42" i="17"/>
  <c r="AA42" i="17"/>
  <c r="Y19" i="17"/>
  <c r="T19" i="17"/>
  <c r="N19" i="17"/>
  <c r="AM19" i="17"/>
  <c r="AK9" i="17"/>
  <c r="AJ9" i="17"/>
  <c r="W9" i="17"/>
  <c r="I9" i="17"/>
  <c r="J33" i="17"/>
  <c r="M33" i="17"/>
  <c r="AL33" i="17"/>
  <c r="X33" i="17"/>
  <c r="T42" i="17"/>
  <c r="AD42" i="17"/>
  <c r="P42" i="17"/>
  <c r="AO42" i="17"/>
  <c r="AI42" i="17"/>
  <c r="AG19" i="17"/>
  <c r="AB19" i="17"/>
  <c r="V19" i="17"/>
  <c r="H19" i="17"/>
  <c r="AC10" i="17"/>
  <c r="M10" i="17"/>
  <c r="AJ10" i="17"/>
  <c r="AB10" i="17"/>
  <c r="L10" i="17"/>
  <c r="AA10" i="17"/>
  <c r="K10" i="17"/>
  <c r="AH10" i="17"/>
  <c r="Z10" i="17"/>
  <c r="J10" i="17"/>
  <c r="AG10" i="17"/>
  <c r="Q10" i="17"/>
  <c r="I10" i="17"/>
  <c r="AM10" i="17"/>
  <c r="W10" i="17"/>
  <c r="G10" i="17"/>
  <c r="AD10" i="17"/>
  <c r="V10" i="17"/>
  <c r="N10" i="17"/>
  <c r="AK10" i="17"/>
  <c r="H10" i="17"/>
  <c r="X10" i="17"/>
  <c r="AF10" i="17"/>
  <c r="AE9" i="17"/>
  <c r="Q9" i="17"/>
  <c r="R33" i="17"/>
  <c r="U33" i="17"/>
  <c r="G33" i="17"/>
  <c r="AF33" i="17"/>
  <c r="M42" i="17"/>
  <c r="AL42" i="17"/>
  <c r="X42" i="17"/>
  <c r="J42" i="17"/>
  <c r="K19" i="17"/>
  <c r="AO19" i="17"/>
  <c r="AJ19" i="17"/>
  <c r="AD19" i="17"/>
  <c r="P19" i="17"/>
  <c r="S9" i="17"/>
  <c r="N9" i="17"/>
  <c r="AM9" i="17"/>
  <c r="Y9" i="17"/>
  <c r="Z33" i="17"/>
  <c r="AC33" i="17"/>
  <c r="O33" i="17"/>
  <c r="AN33" i="17"/>
  <c r="U42" i="17"/>
  <c r="G42" i="17"/>
  <c r="AF42" i="17"/>
  <c r="R42" i="17"/>
  <c r="AA19" i="17"/>
  <c r="J19" i="17"/>
  <c r="M19" i="17"/>
  <c r="AL19" i="17"/>
  <c r="X19" i="17"/>
  <c r="AA9" i="17"/>
  <c r="V9" i="17"/>
  <c r="H9" i="17"/>
  <c r="AG9" i="17"/>
  <c r="AH33" i="17"/>
  <c r="AK33" i="17"/>
  <c r="W33" i="17"/>
  <c r="AC42" i="17"/>
  <c r="O42" i="17"/>
  <c r="AN42" i="17"/>
  <c r="Z42" i="17"/>
  <c r="AI19" i="17"/>
  <c r="R19" i="17"/>
  <c r="U19" i="17"/>
  <c r="G19" i="17"/>
  <c r="AF19" i="17"/>
  <c r="AM34" i="17"/>
  <c r="AE34" i="17"/>
  <c r="AL34" i="17"/>
  <c r="AA34" i="17"/>
  <c r="AI34" i="17"/>
  <c r="Y34" i="17"/>
  <c r="AF34" i="17"/>
  <c r="V34" i="17"/>
  <c r="AN34" i="17"/>
  <c r="AG34" i="17"/>
  <c r="W34" i="17"/>
  <c r="G34" i="17"/>
  <c r="AE33" i="17"/>
  <c r="Q33" i="17"/>
  <c r="AK42" i="17"/>
  <c r="W42" i="17"/>
  <c r="I42" i="17"/>
  <c r="AH42" i="17"/>
  <c r="S19" i="17"/>
  <c r="Z19" i="17"/>
  <c r="AC19" i="17"/>
  <c r="O19" i="17"/>
  <c r="AN19" i="17"/>
  <c r="AK134" i="17" l="1"/>
  <c r="V107" i="17"/>
  <c r="AG78" i="17"/>
  <c r="AL107" i="17"/>
  <c r="M78" i="17"/>
  <c r="AI107" i="17"/>
  <c r="J78" i="17"/>
  <c r="AF107" i="17"/>
  <c r="N78" i="17"/>
  <c r="AM107" i="17"/>
  <c r="AL78" i="17"/>
  <c r="AD107" i="17"/>
  <c r="AD134" i="17"/>
  <c r="O107" i="17"/>
  <c r="AJ107" i="17"/>
  <c r="AI78" i="17"/>
  <c r="AM78" i="17"/>
  <c r="W134" i="17"/>
  <c r="S78" i="17"/>
  <c r="X78" i="17"/>
  <c r="P134" i="17"/>
  <c r="AJ134" i="17"/>
  <c r="I134" i="17"/>
  <c r="R78" i="17"/>
  <c r="AH134" i="17"/>
  <c r="AO134" i="17"/>
  <c r="G107" i="17"/>
  <c r="L78" i="17"/>
  <c r="AI134" i="17"/>
  <c r="J134" i="17"/>
  <c r="M134" i="17"/>
  <c r="AL134" i="17"/>
  <c r="X134" i="17"/>
  <c r="N107" i="17"/>
  <c r="U107" i="17"/>
  <c r="K107" i="17"/>
  <c r="H107" i="17"/>
  <c r="P60" i="17"/>
  <c r="AJ60" i="17"/>
  <c r="T60" i="17"/>
  <c r="V60" i="17"/>
  <c r="AA78" i="17"/>
  <c r="AO78" i="17"/>
  <c r="T78" i="17"/>
  <c r="G78" i="17"/>
  <c r="AF78" i="17"/>
  <c r="R134" i="17"/>
  <c r="U134" i="17"/>
  <c r="G134" i="17"/>
  <c r="AF134" i="17"/>
  <c r="Z107" i="17"/>
  <c r="AH107" i="17"/>
  <c r="S107" i="17"/>
  <c r="P107" i="17"/>
  <c r="Y60" i="17"/>
  <c r="H60" i="17"/>
  <c r="AC60" i="17"/>
  <c r="AF60" i="17"/>
  <c r="I78" i="17"/>
  <c r="U78" i="17"/>
  <c r="AB78" i="17"/>
  <c r="O78" i="17"/>
  <c r="AN78" i="17"/>
  <c r="Z134" i="17"/>
  <c r="AC134" i="17"/>
  <c r="O134" i="17"/>
  <c r="AN134" i="17"/>
  <c r="Q107" i="17"/>
  <c r="I107" i="17"/>
  <c r="AA107" i="17"/>
  <c r="AH60" i="17"/>
  <c r="Z60" i="17"/>
  <c r="AL60" i="17"/>
  <c r="AO60" i="17"/>
  <c r="AC78" i="17"/>
  <c r="Y78" i="17"/>
  <c r="AJ78" i="17"/>
  <c r="Q60" i="17"/>
  <c r="J60" i="17"/>
  <c r="L60" i="17"/>
  <c r="G60" i="17"/>
  <c r="AI79" i="17"/>
  <c r="AE78" i="17"/>
  <c r="L108" i="17"/>
  <c r="AK107" i="17"/>
  <c r="L107" i="17"/>
  <c r="AN107" i="17"/>
  <c r="N60" i="17"/>
  <c r="AI60" i="17"/>
  <c r="S60" i="17"/>
  <c r="U60" i="17"/>
  <c r="O60" i="17"/>
  <c r="AC135" i="17"/>
  <c r="AE134" i="17"/>
  <c r="Q134" i="17"/>
  <c r="AC107" i="17"/>
  <c r="L134" i="17"/>
  <c r="S134" i="17"/>
  <c r="N134" i="17"/>
  <c r="AM134" i="17"/>
  <c r="Y134" i="17"/>
  <c r="M107" i="17"/>
  <c r="R107" i="17"/>
  <c r="J107" i="17"/>
  <c r="T107" i="17"/>
  <c r="AG107" i="17"/>
  <c r="X60" i="17"/>
  <c r="I60" i="17"/>
  <c r="AB60" i="17"/>
  <c r="AD60" i="17"/>
  <c r="W60" i="17"/>
  <c r="Q78" i="17"/>
  <c r="Z78" i="17"/>
  <c r="V78" i="17"/>
  <c r="H78" i="17"/>
  <c r="T134" i="17"/>
  <c r="AB134" i="17"/>
  <c r="AA134" i="17"/>
  <c r="V134" i="17"/>
  <c r="H134" i="17"/>
  <c r="AG134" i="17"/>
  <c r="Y107" i="17"/>
  <c r="AE107" i="17"/>
  <c r="W107" i="17"/>
  <c r="AB107" i="17"/>
  <c r="AO107" i="17"/>
  <c r="AG60" i="17"/>
  <c r="R60" i="17"/>
  <c r="AK60" i="17"/>
  <c r="AN60" i="17"/>
  <c r="K78" i="17"/>
  <c r="AK78" i="17"/>
  <c r="AH78" i="17"/>
  <c r="AD78" i="17"/>
  <c r="P78" i="17"/>
  <c r="J61" i="17"/>
  <c r="AA60" i="17"/>
  <c r="K60" i="17"/>
  <c r="M60" i="17"/>
  <c r="AM60" i="17"/>
  <c r="J34" i="17"/>
  <c r="M34" i="17"/>
  <c r="H34" i="17"/>
  <c r="L34" i="17"/>
  <c r="U34" i="17"/>
  <c r="P34" i="17"/>
  <c r="R34" i="17"/>
  <c r="T34" i="17"/>
  <c r="P10" i="17"/>
  <c r="AL10" i="17"/>
  <c r="Y10" i="17"/>
  <c r="S10" i="17"/>
  <c r="U10" i="17"/>
  <c r="G20" i="17"/>
  <c r="AA20" i="17"/>
  <c r="AI20" i="17"/>
  <c r="X20" i="17"/>
  <c r="P43" i="17"/>
  <c r="AO43" i="17"/>
  <c r="AI43" i="17"/>
  <c r="AJ21" i="17"/>
  <c r="T21" i="17"/>
  <c r="AO21" i="17"/>
  <c r="Y21" i="17"/>
  <c r="J21" i="17"/>
  <c r="X21" i="17"/>
  <c r="AL21" i="17"/>
  <c r="V21" i="17"/>
  <c r="L21" i="17"/>
  <c r="AF21" i="17"/>
  <c r="R21" i="17"/>
  <c r="AF20" i="17"/>
  <c r="R20" i="17"/>
  <c r="AO44" i="17"/>
  <c r="AG44" i="17"/>
  <c r="AN44" i="17"/>
  <c r="AF44" i="17"/>
  <c r="X44" i="17"/>
  <c r="P44" i="17"/>
  <c r="H44" i="17"/>
  <c r="O44" i="17"/>
  <c r="G44" i="17"/>
  <c r="AL44" i="17"/>
  <c r="AD44" i="17"/>
  <c r="V44" i="17"/>
  <c r="I44" i="17"/>
  <c r="AC44" i="17"/>
  <c r="U44" i="17"/>
  <c r="M44" i="17"/>
  <c r="AJ44" i="17"/>
  <c r="AB44" i="17"/>
  <c r="L44" i="17"/>
  <c r="AA44" i="17"/>
  <c r="S44" i="17"/>
  <c r="K44" i="17"/>
  <c r="J44" i="17"/>
  <c r="Z44" i="17"/>
  <c r="AH44" i="17"/>
  <c r="AD34" i="17"/>
  <c r="X34" i="17"/>
  <c r="Z34" i="17"/>
  <c r="AB34" i="17"/>
  <c r="AO34" i="17"/>
  <c r="AH34" i="17"/>
  <c r="AJ34" i="17"/>
  <c r="AN10" i="17"/>
  <c r="O10" i="17"/>
  <c r="AO10" i="17"/>
  <c r="AI10" i="17"/>
  <c r="AM20" i="17"/>
  <c r="AB20" i="17"/>
  <c r="N20" i="17"/>
  <c r="AN20" i="17"/>
  <c r="Z20" i="17"/>
  <c r="G43" i="17"/>
  <c r="AF43" i="17"/>
  <c r="R43" i="17"/>
  <c r="T43" i="17"/>
  <c r="N43" i="17"/>
  <c r="AL35" i="17"/>
  <c r="AK35" i="17"/>
  <c r="AC35" i="17"/>
  <c r="AH35" i="17"/>
  <c r="Z35" i="17"/>
  <c r="R35" i="17"/>
  <c r="X35" i="17"/>
  <c r="P35" i="17"/>
  <c r="H35" i="17"/>
  <c r="AA35" i="17"/>
  <c r="M35" i="17"/>
  <c r="AM35" i="17"/>
  <c r="W35" i="17"/>
  <c r="K35" i="17"/>
  <c r="AJ35" i="17"/>
  <c r="U35" i="17"/>
  <c r="G35" i="17"/>
  <c r="AE35" i="17"/>
  <c r="Q35" i="17"/>
  <c r="AB35" i="17"/>
  <c r="O35" i="17"/>
  <c r="N35" i="17"/>
  <c r="I34" i="17"/>
  <c r="K34" i="17"/>
  <c r="AC34" i="17"/>
  <c r="O34" i="17"/>
  <c r="N34" i="17"/>
  <c r="Q34" i="17"/>
  <c r="S34" i="17"/>
  <c r="AK34" i="17"/>
  <c r="AN11" i="17"/>
  <c r="AF11" i="17"/>
  <c r="X11" i="17"/>
  <c r="P11" i="17"/>
  <c r="H11" i="17"/>
  <c r="O11" i="17"/>
  <c r="G11" i="17"/>
  <c r="AL11" i="17"/>
  <c r="AD11" i="17"/>
  <c r="V11" i="17"/>
  <c r="W11" i="17"/>
  <c r="AC11" i="17"/>
  <c r="U11" i="17"/>
  <c r="M11" i="17"/>
  <c r="AJ11" i="17"/>
  <c r="AB11" i="17"/>
  <c r="Z11" i="17"/>
  <c r="R11" i="17"/>
  <c r="J11" i="17"/>
  <c r="AO11" i="17"/>
  <c r="AG11" i="17"/>
  <c r="AI11" i="17"/>
  <c r="AA11" i="17"/>
  <c r="S11" i="17"/>
  <c r="K11" i="17"/>
  <c r="AE10" i="17"/>
  <c r="R10" i="17"/>
  <c r="T10" i="17"/>
  <c r="AJ20" i="17"/>
  <c r="AC20" i="17"/>
  <c r="AD20" i="17"/>
  <c r="Q20" i="17"/>
  <c r="W43" i="17"/>
  <c r="I43" i="17"/>
  <c r="AH43" i="17"/>
  <c r="AJ43" i="17"/>
  <c r="AD43" i="17"/>
  <c r="AC61" i="17" l="1"/>
  <c r="R61" i="17"/>
  <c r="I61" i="17"/>
  <c r="K61" i="17"/>
  <c r="T61" i="17"/>
  <c r="AG61" i="17"/>
  <c r="N61" i="17"/>
  <c r="X61" i="17"/>
  <c r="AN108" i="17"/>
  <c r="AF108" i="17"/>
  <c r="K108" i="17"/>
  <c r="AL79" i="17"/>
  <c r="AG79" i="17"/>
  <c r="M61" i="17"/>
  <c r="U61" i="17"/>
  <c r="O61" i="17"/>
  <c r="AF61" i="17"/>
  <c r="R108" i="17"/>
  <c r="AG108" i="17"/>
  <c r="AI108" i="17"/>
  <c r="V79" i="17"/>
  <c r="Z79" i="17"/>
  <c r="AH79" i="17"/>
  <c r="G61" i="17"/>
  <c r="L61" i="17"/>
  <c r="AH61" i="17"/>
  <c r="I108" i="17"/>
  <c r="N108" i="17"/>
  <c r="AJ108" i="17"/>
  <c r="M79" i="17"/>
  <c r="AO108" i="17"/>
  <c r="V108" i="17"/>
  <c r="U79" i="17"/>
  <c r="AH108" i="17"/>
  <c r="T108" i="17"/>
  <c r="AD61" i="17"/>
  <c r="W61" i="17"/>
  <c r="AE61" i="17"/>
  <c r="J108" i="17"/>
  <c r="G108" i="17"/>
  <c r="H79" i="17"/>
  <c r="G79" i="17"/>
  <c r="AL61" i="17"/>
  <c r="H61" i="17"/>
  <c r="Z108" i="17"/>
  <c r="W108" i="17"/>
  <c r="L79" i="17"/>
  <c r="AM79" i="17"/>
  <c r="S61" i="17"/>
  <c r="P61" i="17"/>
  <c r="X108" i="17"/>
  <c r="M108" i="17"/>
  <c r="AM108" i="17"/>
  <c r="P79" i="17"/>
  <c r="I79" i="17"/>
  <c r="AL135" i="17"/>
  <c r="O135" i="17"/>
  <c r="S135" i="17"/>
  <c r="AF135" i="17"/>
  <c r="Q135" i="17"/>
  <c r="V61" i="17"/>
  <c r="Y61" i="17"/>
  <c r="AB61" i="17"/>
  <c r="AN61" i="17"/>
  <c r="P135" i="17"/>
  <c r="Z135" i="17"/>
  <c r="AD135" i="17"/>
  <c r="L135" i="17"/>
  <c r="Y135" i="17"/>
  <c r="U108" i="17"/>
  <c r="AC108" i="17"/>
  <c r="AD108" i="17"/>
  <c r="S108" i="17"/>
  <c r="N79" i="17"/>
  <c r="T79" i="17"/>
  <c r="AC79" i="17"/>
  <c r="Q79" i="17"/>
  <c r="K79" i="17"/>
  <c r="Q61" i="17"/>
  <c r="AK61" i="17"/>
  <c r="AO61" i="17"/>
  <c r="AJ61" i="17"/>
  <c r="AA135" i="17"/>
  <c r="AJ135" i="17"/>
  <c r="AN135" i="17"/>
  <c r="W135" i="17"/>
  <c r="AG135" i="17"/>
  <c r="AK108" i="17"/>
  <c r="P108" i="17"/>
  <c r="AL108" i="17"/>
  <c r="AA108" i="17"/>
  <c r="AJ79" i="17"/>
  <c r="AN79" i="17"/>
  <c r="AK79" i="17"/>
  <c r="Y79" i="17"/>
  <c r="S79" i="17"/>
  <c r="G135" i="17"/>
  <c r="H135" i="17"/>
  <c r="J135" i="17"/>
  <c r="AH135" i="17"/>
  <c r="AO135" i="17"/>
  <c r="AA79" i="17"/>
  <c r="AK62" i="17"/>
  <c r="AI61" i="17"/>
  <c r="AA61" i="17"/>
  <c r="AM61" i="17"/>
  <c r="Z61" i="17"/>
  <c r="N135" i="17"/>
  <c r="R135" i="17"/>
  <c r="T135" i="17"/>
  <c r="M135" i="17"/>
  <c r="H108" i="17"/>
  <c r="Y108" i="17"/>
  <c r="Q108" i="17"/>
  <c r="O108" i="17"/>
  <c r="AD79" i="17"/>
  <c r="X79" i="17"/>
  <c r="O79" i="17"/>
  <c r="AO79" i="17"/>
  <c r="X135" i="17"/>
  <c r="AB135" i="17"/>
  <c r="AE135" i="17"/>
  <c r="U135" i="17"/>
  <c r="AL80" i="17"/>
  <c r="I80" i="17"/>
  <c r="X80" i="17"/>
  <c r="K80" i="17"/>
  <c r="W79" i="17"/>
  <c r="J79" i="17"/>
  <c r="AI135" i="17"/>
  <c r="AM135" i="17"/>
  <c r="K135" i="17"/>
  <c r="J109" i="17"/>
  <c r="AE108" i="17"/>
  <c r="AB108" i="17"/>
  <c r="AF79" i="17"/>
  <c r="AB79" i="17"/>
  <c r="AE79" i="17"/>
  <c r="R79" i="17"/>
  <c r="AN136" i="17"/>
  <c r="I135" i="17"/>
  <c r="V135" i="17"/>
  <c r="AK135" i="17"/>
  <c r="Z21" i="17"/>
  <c r="K21" i="17"/>
  <c r="M21" i="17"/>
  <c r="I11" i="17"/>
  <c r="AH11" i="17"/>
  <c r="AK11" i="17"/>
  <c r="AG35" i="17"/>
  <c r="T35" i="17"/>
  <c r="L35" i="17"/>
  <c r="AF35" i="17"/>
  <c r="AI44" i="17"/>
  <c r="AK44" i="17"/>
  <c r="W44" i="17"/>
  <c r="AH21" i="17"/>
  <c r="G21" i="17"/>
  <c r="N21" i="17"/>
  <c r="S21" i="17"/>
  <c r="U21" i="17"/>
  <c r="AI12" i="17"/>
  <c r="Z12" i="17"/>
  <c r="R12" i="17"/>
  <c r="J12" i="17"/>
  <c r="AO12" i="17"/>
  <c r="AN12" i="17"/>
  <c r="AF12" i="17"/>
  <c r="X12" i="17"/>
  <c r="P12" i="17"/>
  <c r="O12" i="17"/>
  <c r="G12" i="17"/>
  <c r="AK12" i="17"/>
  <c r="AC12" i="17"/>
  <c r="T12" i="17"/>
  <c r="L12" i="17"/>
  <c r="AL12" i="17"/>
  <c r="AD12" i="17"/>
  <c r="K12" i="17"/>
  <c r="AE11" i="17"/>
  <c r="X36" i="17"/>
  <c r="AI35" i="17"/>
  <c r="Y35" i="17"/>
  <c r="AN35" i="17"/>
  <c r="V35" i="17"/>
  <c r="AJ45" i="17"/>
  <c r="AB45" i="17"/>
  <c r="T45" i="17"/>
  <c r="L45" i="17"/>
  <c r="AH45" i="17"/>
  <c r="Z45" i="17"/>
  <c r="R45" i="17"/>
  <c r="J45" i="17"/>
  <c r="I45" i="17"/>
  <c r="AN45" i="17"/>
  <c r="AF45" i="17"/>
  <c r="X45" i="17"/>
  <c r="W45" i="17"/>
  <c r="O45" i="17"/>
  <c r="G45" i="17"/>
  <c r="AL45" i="17"/>
  <c r="AK45" i="17"/>
  <c r="AC45" i="17"/>
  <c r="U45" i="17"/>
  <c r="M45" i="17"/>
  <c r="AE44" i="17"/>
  <c r="Q44" i="17"/>
  <c r="O21" i="17"/>
  <c r="W21" i="17"/>
  <c r="AD21" i="17"/>
  <c r="AA21" i="17"/>
  <c r="AC21" i="17"/>
  <c r="Q11" i="17"/>
  <c r="L11" i="17"/>
  <c r="Y11" i="17"/>
  <c r="T11" i="17"/>
  <c r="N11" i="17"/>
  <c r="AM11" i="17"/>
  <c r="S35" i="17"/>
  <c r="I35" i="17"/>
  <c r="AO35" i="17"/>
  <c r="J35" i="17"/>
  <c r="AD35" i="17"/>
  <c r="R44" i="17"/>
  <c r="T44" i="17"/>
  <c r="N44" i="17"/>
  <c r="AM44" i="17"/>
  <c r="Y44" i="17"/>
  <c r="AE21" i="17"/>
  <c r="AM21" i="17"/>
  <c r="I21" i="17"/>
  <c r="AI21" i="17"/>
  <c r="AK21" i="17"/>
  <c r="P21" i="17"/>
  <c r="H21" i="17"/>
  <c r="Q21" i="17"/>
  <c r="AN22" i="17"/>
  <c r="W22" i="17"/>
  <c r="O22" i="17"/>
  <c r="AJ22" i="17"/>
  <c r="AB22" i="17"/>
  <c r="U22" i="17"/>
  <c r="AI22" i="17"/>
  <c r="K22" i="17"/>
  <c r="Z22" i="17"/>
  <c r="AN21" i="17"/>
  <c r="AG21" i="17"/>
  <c r="AB21" i="17"/>
  <c r="Y80" i="17" l="1"/>
  <c r="L80" i="17"/>
  <c r="AC136" i="17"/>
  <c r="AB80" i="17"/>
  <c r="K136" i="17"/>
  <c r="AJ80" i="17"/>
  <c r="U136" i="17"/>
  <c r="S80" i="17"/>
  <c r="AC80" i="17"/>
  <c r="Y136" i="17"/>
  <c r="Q80" i="17"/>
  <c r="U80" i="17"/>
  <c r="AE80" i="17"/>
  <c r="AO80" i="17"/>
  <c r="AM80" i="17"/>
  <c r="J80" i="17"/>
  <c r="AD80" i="17"/>
  <c r="G80" i="17"/>
  <c r="AH80" i="17"/>
  <c r="AE136" i="17"/>
  <c r="AA136" i="17"/>
  <c r="L136" i="17"/>
  <c r="M136" i="17"/>
  <c r="AL136" i="17"/>
  <c r="T136" i="17"/>
  <c r="Y62" i="17"/>
  <c r="AG62" i="17"/>
  <c r="N136" i="17"/>
  <c r="R136" i="17"/>
  <c r="H62" i="17"/>
  <c r="R62" i="17"/>
  <c r="V136" i="17"/>
  <c r="O136" i="17"/>
  <c r="AM136" i="17"/>
  <c r="P80" i="17"/>
  <c r="Z80" i="17"/>
  <c r="AK80" i="17"/>
  <c r="AF62" i="17"/>
  <c r="N62" i="17"/>
  <c r="S62" i="17"/>
  <c r="Z62" i="17"/>
  <c r="L62" i="17"/>
  <c r="V62" i="17"/>
  <c r="AA62" i="17"/>
  <c r="S136" i="17"/>
  <c r="Z136" i="17"/>
  <c r="X136" i="17"/>
  <c r="AD136" i="17"/>
  <c r="AK136" i="17"/>
  <c r="AF136" i="17"/>
  <c r="O80" i="17"/>
  <c r="AN80" i="17"/>
  <c r="AI80" i="17"/>
  <c r="V80" i="17"/>
  <c r="P62" i="17"/>
  <c r="G62" i="17"/>
  <c r="U62" i="17"/>
  <c r="AO136" i="17"/>
  <c r="Q62" i="17"/>
  <c r="O62" i="17"/>
  <c r="AC62" i="17"/>
  <c r="AN62" i="17"/>
  <c r="AM62" i="17"/>
  <c r="M109" i="17"/>
  <c r="H109" i="17"/>
  <c r="AE109" i="17"/>
  <c r="X109" i="17"/>
  <c r="N109" i="17"/>
  <c r="J136" i="17"/>
  <c r="AI136" i="17"/>
  <c r="G136" i="17"/>
  <c r="P109" i="17"/>
  <c r="AN109" i="17"/>
  <c r="AG109" i="17"/>
  <c r="V109" i="17"/>
  <c r="AA80" i="17"/>
  <c r="AF80" i="17"/>
  <c r="R80" i="17"/>
  <c r="M80" i="17"/>
  <c r="AJ62" i="17"/>
  <c r="AB62" i="17"/>
  <c r="W62" i="17"/>
  <c r="AH62" i="17"/>
  <c r="AF109" i="17"/>
  <c r="K109" i="17"/>
  <c r="AO109" i="17"/>
  <c r="AD109" i="17"/>
  <c r="AE63" i="17"/>
  <c r="AL63" i="17"/>
  <c r="AM63" i="17"/>
  <c r="I63" i="17"/>
  <c r="K63" i="17"/>
  <c r="G63" i="17"/>
  <c r="AE62" i="17"/>
  <c r="K62" i="17"/>
  <c r="Q109" i="17"/>
  <c r="Y110" i="17"/>
  <c r="T109" i="17"/>
  <c r="AA109" i="17"/>
  <c r="AL109" i="17"/>
  <c r="U137" i="17"/>
  <c r="H136" i="17"/>
  <c r="AB136" i="17"/>
  <c r="S109" i="17"/>
  <c r="U109" i="17"/>
  <c r="AB109" i="17"/>
  <c r="Z109" i="17"/>
  <c r="O109" i="17"/>
  <c r="AL81" i="17"/>
  <c r="Q81" i="17"/>
  <c r="AB81" i="17"/>
  <c r="T62" i="17"/>
  <c r="AD62" i="17"/>
  <c r="AO62" i="17"/>
  <c r="AI62" i="17"/>
  <c r="AJ109" i="17"/>
  <c r="L109" i="17"/>
  <c r="R109" i="17"/>
  <c r="G109" i="17"/>
  <c r="AG136" i="17"/>
  <c r="W136" i="17"/>
  <c r="I136" i="17"/>
  <c r="AH136" i="17"/>
  <c r="Q136" i="17"/>
  <c r="P136" i="17"/>
  <c r="AJ136" i="17"/>
  <c r="AI109" i="17"/>
  <c r="AK109" i="17"/>
  <c r="I109" i="17"/>
  <c r="AH109" i="17"/>
  <c r="W109" i="17"/>
  <c r="W80" i="17"/>
  <c r="H80" i="17"/>
  <c r="AG80" i="17"/>
  <c r="T80" i="17"/>
  <c r="N80" i="17"/>
  <c r="I62" i="17"/>
  <c r="X62" i="17"/>
  <c r="AL62" i="17"/>
  <c r="J62" i="17"/>
  <c r="M62" i="17"/>
  <c r="AC109" i="17"/>
  <c r="Y109" i="17"/>
  <c r="AM109" i="17"/>
  <c r="Q22" i="17"/>
  <c r="I22" i="17"/>
  <c r="N22" i="17"/>
  <c r="AM22" i="17"/>
  <c r="AB36" i="17"/>
  <c r="U36" i="17"/>
  <c r="P36" i="17"/>
  <c r="G46" i="17"/>
  <c r="AL46" i="17"/>
  <c r="V46" i="17"/>
  <c r="W46" i="17"/>
  <c r="U46" i="17"/>
  <c r="M46" i="17"/>
  <c r="AB46" i="17"/>
  <c r="L46" i="17"/>
  <c r="S46" i="17"/>
  <c r="K46" i="17"/>
  <c r="Z46" i="17"/>
  <c r="J46" i="17"/>
  <c r="Y46" i="17"/>
  <c r="Q46" i="17"/>
  <c r="AN46" i="17"/>
  <c r="P46" i="17"/>
  <c r="AE45" i="17"/>
  <c r="Q45" i="17"/>
  <c r="K45" i="17"/>
  <c r="J36" i="17"/>
  <c r="Z36" i="17"/>
  <c r="AC36" i="17"/>
  <c r="AB12" i="17"/>
  <c r="W12" i="17"/>
  <c r="I12" i="17"/>
  <c r="AH12" i="17"/>
  <c r="AB37" i="17"/>
  <c r="S37" i="17"/>
  <c r="K37" i="17"/>
  <c r="AG37" i="17"/>
  <c r="AF37" i="17"/>
  <c r="X37" i="17"/>
  <c r="H37" i="17"/>
  <c r="G37" i="17"/>
  <c r="AL37" i="17"/>
  <c r="V37" i="17"/>
  <c r="AI37" i="17"/>
  <c r="J37" i="17"/>
  <c r="AK37" i="17"/>
  <c r="Z37" i="17"/>
  <c r="AC37" i="17"/>
  <c r="AO36" i="17"/>
  <c r="Y22" i="17"/>
  <c r="AC22" i="17"/>
  <c r="R22" i="17"/>
  <c r="AO22" i="17"/>
  <c r="AD22" i="17"/>
  <c r="P22" i="17"/>
  <c r="N45" i="17"/>
  <c r="AM45" i="17"/>
  <c r="Y45" i="17"/>
  <c r="S45" i="17"/>
  <c r="AE36" i="17"/>
  <c r="K36" i="17"/>
  <c r="AK36" i="17"/>
  <c r="AF36" i="17"/>
  <c r="V12" i="17"/>
  <c r="AJ12" i="17"/>
  <c r="AE12" i="17"/>
  <c r="Q12" i="17"/>
  <c r="AA22" i="17"/>
  <c r="AK22" i="17"/>
  <c r="AE22" i="17"/>
  <c r="V22" i="17"/>
  <c r="M22" i="17"/>
  <c r="AH22" i="17"/>
  <c r="L22" i="17"/>
  <c r="AL22" i="17"/>
  <c r="X22" i="17"/>
  <c r="V45" i="17"/>
  <c r="H45" i="17"/>
  <c r="AG45" i="17"/>
  <c r="AA45" i="17"/>
  <c r="O36" i="17"/>
  <c r="S36" i="17"/>
  <c r="N36" i="17"/>
  <c r="AN36" i="17"/>
  <c r="AD13" i="17"/>
  <c r="N13" i="17"/>
  <c r="AK13" i="17"/>
  <c r="AC13" i="17"/>
  <c r="U13" i="17"/>
  <c r="AJ13" i="17"/>
  <c r="T13" i="17"/>
  <c r="L13" i="17"/>
  <c r="AI13" i="17"/>
  <c r="AA13" i="17"/>
  <c r="S13" i="17"/>
  <c r="AH13" i="17"/>
  <c r="R13" i="17"/>
  <c r="J13" i="17"/>
  <c r="AN13" i="17"/>
  <c r="AF13" i="17"/>
  <c r="X13" i="17"/>
  <c r="H13" i="17"/>
  <c r="AE13" i="17"/>
  <c r="W13" i="17"/>
  <c r="O13" i="17"/>
  <c r="G13" i="17"/>
  <c r="Y13" i="17"/>
  <c r="I13" i="17"/>
  <c r="AG13" i="17"/>
  <c r="M12" i="17"/>
  <c r="AM12" i="17"/>
  <c r="Y12" i="17"/>
  <c r="S12" i="17"/>
  <c r="AG22" i="17"/>
  <c r="H22" i="17"/>
  <c r="J22" i="17"/>
  <c r="S22" i="17"/>
  <c r="T22" i="17"/>
  <c r="G22" i="17"/>
  <c r="AF22" i="17"/>
  <c r="AD45" i="17"/>
  <c r="P45" i="17"/>
  <c r="AO45" i="17"/>
  <c r="AI45" i="17"/>
  <c r="AM36" i="17"/>
  <c r="AA36" i="17"/>
  <c r="V36" i="17"/>
  <c r="I36" i="17"/>
  <c r="N12" i="17"/>
  <c r="U12" i="17"/>
  <c r="H12" i="17"/>
  <c r="AG12" i="17"/>
  <c r="AA12" i="17"/>
  <c r="L36" i="17"/>
  <c r="R36" i="17"/>
  <c r="AI36" i="17"/>
  <c r="AD36" i="17"/>
  <c r="Q36" i="17"/>
  <c r="AH36" i="17"/>
  <c r="T36" i="17"/>
  <c r="AJ36" i="17"/>
  <c r="AL36" i="17"/>
  <c r="Y36" i="17"/>
  <c r="G36" i="17"/>
  <c r="W36" i="17"/>
  <c r="M36" i="17"/>
  <c r="H36" i="17"/>
  <c r="AG36" i="17"/>
  <c r="E11" i="2"/>
  <c r="P4" i="2"/>
  <c r="E11" i="1"/>
  <c r="F11" i="1" s="1"/>
  <c r="G11" i="1" s="1"/>
  <c r="P4" i="1"/>
  <c r="M110" i="17" l="1"/>
  <c r="AO63" i="17"/>
  <c r="X63" i="17"/>
  <c r="R63" i="17"/>
  <c r="L63" i="17"/>
  <c r="T63" i="17"/>
  <c r="W63" i="17"/>
  <c r="AJ63" i="17"/>
  <c r="W110" i="17"/>
  <c r="AE110" i="17"/>
  <c r="P110" i="17"/>
  <c r="AC110" i="17"/>
  <c r="K110" i="17"/>
  <c r="AF110" i="17"/>
  <c r="AN110" i="17"/>
  <c r="O81" i="17"/>
  <c r="X137" i="17"/>
  <c r="G110" i="17"/>
  <c r="AI110" i="17"/>
  <c r="Q110" i="17"/>
  <c r="J110" i="17"/>
  <c r="Q137" i="17"/>
  <c r="AM110" i="17"/>
  <c r="V110" i="17"/>
  <c r="Z110" i="17"/>
  <c r="O63" i="17"/>
  <c r="U63" i="17"/>
  <c r="Z81" i="17"/>
  <c r="W137" i="17"/>
  <c r="X110" i="17"/>
  <c r="T110" i="17"/>
  <c r="AH110" i="17"/>
  <c r="S81" i="17"/>
  <c r="AD110" i="17"/>
  <c r="AB110" i="17"/>
  <c r="Q63" i="17"/>
  <c r="AD63" i="17"/>
  <c r="AA81" i="17"/>
  <c r="G81" i="17"/>
  <c r="R137" i="17"/>
  <c r="AG137" i="17"/>
  <c r="AE137" i="17"/>
  <c r="I110" i="17"/>
  <c r="Y63" i="17"/>
  <c r="M63" i="17"/>
  <c r="H63" i="17"/>
  <c r="K137" i="17"/>
  <c r="AM137" i="17"/>
  <c r="M81" i="17"/>
  <c r="H81" i="17"/>
  <c r="AL137" i="17"/>
  <c r="L137" i="17"/>
  <c r="N110" i="17"/>
  <c r="L110" i="17"/>
  <c r="AG110" i="17"/>
  <c r="AA63" i="17"/>
  <c r="J63" i="17"/>
  <c r="AK63" i="17"/>
  <c r="AN63" i="17"/>
  <c r="U81" i="17"/>
  <c r="X81" i="17"/>
  <c r="Y137" i="17"/>
  <c r="AB137" i="17"/>
  <c r="AC81" i="17"/>
  <c r="AF81" i="17"/>
  <c r="AO137" i="17"/>
  <c r="AJ137" i="17"/>
  <c r="AH63" i="17"/>
  <c r="N63" i="17"/>
  <c r="AN81" i="17"/>
  <c r="J137" i="17"/>
  <c r="M137" i="17"/>
  <c r="K81" i="17"/>
  <c r="V81" i="17"/>
  <c r="AG81" i="17"/>
  <c r="H137" i="17"/>
  <c r="P137" i="17"/>
  <c r="G137" i="17"/>
  <c r="AI81" i="17"/>
  <c r="AK81" i="17"/>
  <c r="W81" i="17"/>
  <c r="I81" i="17"/>
  <c r="AH137" i="17"/>
  <c r="Z137" i="17"/>
  <c r="S137" i="17"/>
  <c r="H110" i="17"/>
  <c r="S110" i="17"/>
  <c r="AJ110" i="17"/>
  <c r="S63" i="17"/>
  <c r="Z63" i="17"/>
  <c r="AC63" i="17"/>
  <c r="AH81" i="17"/>
  <c r="L81" i="17"/>
  <c r="AE81" i="17"/>
  <c r="J138" i="17"/>
  <c r="Q138" i="17"/>
  <c r="N137" i="17"/>
  <c r="AA137" i="17"/>
  <c r="AC137" i="17"/>
  <c r="AH82" i="17"/>
  <c r="R81" i="17"/>
  <c r="T81" i="17"/>
  <c r="N81" i="17"/>
  <c r="AM81" i="17"/>
  <c r="Y81" i="17"/>
  <c r="V137" i="17"/>
  <c r="AD137" i="17"/>
  <c r="AI137" i="17"/>
  <c r="AK137" i="17"/>
  <c r="AK111" i="17"/>
  <c r="U110" i="17"/>
  <c r="AO110" i="17"/>
  <c r="J64" i="17"/>
  <c r="P64" i="17"/>
  <c r="AM64" i="17"/>
  <c r="P63" i="17"/>
  <c r="J81" i="17"/>
  <c r="AJ81" i="17"/>
  <c r="AD81" i="17"/>
  <c r="P81" i="17"/>
  <c r="AO81" i="17"/>
  <c r="AN137" i="17"/>
  <c r="I137" i="17"/>
  <c r="AF137" i="17"/>
  <c r="T137" i="17"/>
  <c r="O137" i="17"/>
  <c r="AA110" i="17"/>
  <c r="O110" i="17"/>
  <c r="AL110" i="17"/>
  <c r="AK110" i="17"/>
  <c r="R110" i="17"/>
  <c r="AI63" i="17"/>
  <c r="AG63" i="17"/>
  <c r="AB63" i="17"/>
  <c r="V63" i="17"/>
  <c r="AF63" i="17"/>
  <c r="V24" i="17"/>
  <c r="AK24" i="17"/>
  <c r="AC24" i="17"/>
  <c r="U24" i="17"/>
  <c r="AB24" i="17"/>
  <c r="L24" i="17"/>
  <c r="Z24" i="17"/>
  <c r="R24" i="17"/>
  <c r="AF24" i="17"/>
  <c r="P24" i="17"/>
  <c r="W24" i="17"/>
  <c r="AO24" i="17"/>
  <c r="Q24" i="17"/>
  <c r="O24" i="17"/>
  <c r="K24" i="17"/>
  <c r="AA24" i="17"/>
  <c r="AE24" i="17"/>
  <c r="P23" i="17"/>
  <c r="W23" i="17"/>
  <c r="J23" i="17"/>
  <c r="M37" i="17"/>
  <c r="O37" i="17"/>
  <c r="AN37" i="17"/>
  <c r="AA37" i="17"/>
  <c r="X46" i="17"/>
  <c r="AG46" i="17"/>
  <c r="AA46" i="17"/>
  <c r="AC46" i="17"/>
  <c r="O46" i="17"/>
  <c r="V23" i="17"/>
  <c r="AJ23" i="17"/>
  <c r="AE23" i="17"/>
  <c r="R23" i="17"/>
  <c r="K14" i="17"/>
  <c r="L14" i="17"/>
  <c r="R37" i="17"/>
  <c r="W37" i="17"/>
  <c r="I37" i="17"/>
  <c r="H46" i="17"/>
  <c r="AO46" i="17"/>
  <c r="AI46" i="17"/>
  <c r="AK46" i="17"/>
  <c r="L23" i="17"/>
  <c r="T23" i="17"/>
  <c r="AM23" i="17"/>
  <c r="Z23" i="17"/>
  <c r="O38" i="17"/>
  <c r="G38" i="17"/>
  <c r="V38" i="17"/>
  <c r="W38" i="17"/>
  <c r="AB38" i="17"/>
  <c r="T38" i="17"/>
  <c r="AA38" i="17"/>
  <c r="K38" i="17"/>
  <c r="Z38" i="17"/>
  <c r="R38" i="17"/>
  <c r="AG38" i="17"/>
  <c r="Q38" i="17"/>
  <c r="M38" i="17"/>
  <c r="AN38" i="17"/>
  <c r="AF38" i="17"/>
  <c r="U38" i="17"/>
  <c r="X38" i="17"/>
  <c r="AE37" i="17"/>
  <c r="Q37" i="17"/>
  <c r="L37" i="17"/>
  <c r="AH47" i="17"/>
  <c r="R47" i="17"/>
  <c r="AO47" i="17"/>
  <c r="AG47" i="17"/>
  <c r="I47" i="17"/>
  <c r="AF47" i="17"/>
  <c r="P47" i="17"/>
  <c r="H47" i="17"/>
  <c r="W47" i="17"/>
  <c r="G47" i="17"/>
  <c r="AL47" i="17"/>
  <c r="AD47" i="17"/>
  <c r="V47" i="17"/>
  <c r="Z47" i="17"/>
  <c r="AK47" i="17"/>
  <c r="U47" i="17"/>
  <c r="M47" i="17"/>
  <c r="AJ47" i="17"/>
  <c r="AB47" i="17"/>
  <c r="L47" i="17"/>
  <c r="AA47" i="17"/>
  <c r="K47" i="17"/>
  <c r="AI47" i="17"/>
  <c r="AE46" i="17"/>
  <c r="AB23" i="17"/>
  <c r="AL23" i="17"/>
  <c r="I23" i="17"/>
  <c r="AH23" i="17"/>
  <c r="AO13" i="17"/>
  <c r="AM13" i="17"/>
  <c r="Z13" i="17"/>
  <c r="AB13" i="17"/>
  <c r="V13" i="17"/>
  <c r="U37" i="17"/>
  <c r="N37" i="17"/>
  <c r="AM37" i="17"/>
  <c r="Y37" i="17"/>
  <c r="T37" i="17"/>
  <c r="AF46" i="17"/>
  <c r="R46" i="17"/>
  <c r="T46" i="17"/>
  <c r="N46" i="17"/>
  <c r="AM46" i="17"/>
  <c r="H23" i="17"/>
  <c r="M23" i="17"/>
  <c r="AC23" i="17"/>
  <c r="Q23" i="17"/>
  <c r="K23" i="17"/>
  <c r="X23" i="17"/>
  <c r="AD23" i="17"/>
  <c r="AK23" i="17"/>
  <c r="Y23" i="17"/>
  <c r="S23" i="17"/>
  <c r="Q13" i="17"/>
  <c r="P13" i="17"/>
  <c r="K13" i="17"/>
  <c r="M13" i="17"/>
  <c r="AL13" i="17"/>
  <c r="AH37" i="17"/>
  <c r="AD37" i="17"/>
  <c r="P37" i="17"/>
  <c r="AO37" i="17"/>
  <c r="AJ37" i="17"/>
  <c r="I46" i="17"/>
  <c r="AH46" i="17"/>
  <c r="AJ46" i="17"/>
  <c r="AD46" i="17"/>
  <c r="U23" i="17"/>
  <c r="N23" i="17"/>
  <c r="G23" i="17"/>
  <c r="AG23" i="17"/>
  <c r="AA23" i="17"/>
  <c r="AN23" i="17"/>
  <c r="AF23" i="17"/>
  <c r="O23" i="17"/>
  <c r="AO23" i="17"/>
  <c r="AI23" i="17"/>
  <c r="E12" i="1"/>
  <c r="F11" i="2"/>
  <c r="E12" i="2" s="1"/>
  <c r="AC111" i="17" l="1"/>
  <c r="AO138" i="17"/>
  <c r="AO64" i="17"/>
  <c r="AK138" i="17"/>
  <c r="R64" i="17"/>
  <c r="V64" i="17"/>
  <c r="AI64" i="17"/>
  <c r="AC64" i="17"/>
  <c r="AK64" i="17"/>
  <c r="G64" i="17"/>
  <c r="Y111" i="17"/>
  <c r="AI138" i="17"/>
  <c r="V82" i="17"/>
  <c r="O64" i="17"/>
  <c r="Z64" i="17"/>
  <c r="AM111" i="17"/>
  <c r="N111" i="17"/>
  <c r="AL82" i="17"/>
  <c r="I82" i="17"/>
  <c r="T82" i="17"/>
  <c r="G82" i="17"/>
  <c r="AG82" i="17"/>
  <c r="AB82" i="17"/>
  <c r="Z111" i="17"/>
  <c r="AD64" i="17"/>
  <c r="X64" i="17"/>
  <c r="X111" i="17"/>
  <c r="M82" i="17"/>
  <c r="O82" i="17"/>
  <c r="J82" i="17"/>
  <c r="AJ82" i="17"/>
  <c r="L64" i="17"/>
  <c r="AF64" i="17"/>
  <c r="AA111" i="17"/>
  <c r="U82" i="17"/>
  <c r="W82" i="17"/>
  <c r="R82" i="17"/>
  <c r="AD138" i="17"/>
  <c r="AN82" i="17"/>
  <c r="L82" i="17"/>
  <c r="P111" i="17"/>
  <c r="T64" i="17"/>
  <c r="AN64" i="17"/>
  <c r="I111" i="17"/>
  <c r="L111" i="17"/>
  <c r="AC82" i="17"/>
  <c r="H82" i="17"/>
  <c r="Z82" i="17"/>
  <c r="P138" i="17"/>
  <c r="AF82" i="17"/>
  <c r="AA82" i="17"/>
  <c r="Q111" i="17"/>
  <c r="T111" i="17"/>
  <c r="AK82" i="17"/>
  <c r="X82" i="17"/>
  <c r="AB64" i="17"/>
  <c r="W64" i="17"/>
  <c r="I64" i="17"/>
  <c r="AH64" i="17"/>
  <c r="AO111" i="17"/>
  <c r="G111" i="17"/>
  <c r="AF111" i="17"/>
  <c r="AB111" i="17"/>
  <c r="V111" i="17"/>
  <c r="W83" i="17"/>
  <c r="AE82" i="17"/>
  <c r="Q82" i="17"/>
  <c r="K82" i="17"/>
  <c r="AG138" i="17"/>
  <c r="K138" i="17"/>
  <c r="AL138" i="17"/>
  <c r="X138" i="17"/>
  <c r="AL64" i="17"/>
  <c r="AJ64" i="17"/>
  <c r="AE64" i="17"/>
  <c r="Q64" i="17"/>
  <c r="K64" i="17"/>
  <c r="AG111" i="17"/>
  <c r="O111" i="17"/>
  <c r="AN111" i="17"/>
  <c r="AJ111" i="17"/>
  <c r="AD111" i="17"/>
  <c r="N82" i="17"/>
  <c r="AM82" i="17"/>
  <c r="Y82" i="17"/>
  <c r="S82" i="17"/>
  <c r="T138" i="17"/>
  <c r="AA138" i="17"/>
  <c r="G138" i="17"/>
  <c r="AF138" i="17"/>
  <c r="AJ138" i="17"/>
  <c r="L138" i="17"/>
  <c r="O138" i="17"/>
  <c r="AN138" i="17"/>
  <c r="AC65" i="17"/>
  <c r="M64" i="17"/>
  <c r="Y64" i="17"/>
  <c r="S64" i="17"/>
  <c r="AH111" i="17"/>
  <c r="W111" i="17"/>
  <c r="K111" i="17"/>
  <c r="M111" i="17"/>
  <c r="AL111" i="17"/>
  <c r="N64" i="17"/>
  <c r="U64" i="17"/>
  <c r="H64" i="17"/>
  <c r="AG64" i="17"/>
  <c r="AA64" i="17"/>
  <c r="J111" i="17"/>
  <c r="AE111" i="17"/>
  <c r="S111" i="17"/>
  <c r="U111" i="17"/>
  <c r="AD82" i="17"/>
  <c r="P82" i="17"/>
  <c r="AO82" i="17"/>
  <c r="AI82" i="17"/>
  <c r="S138" i="17"/>
  <c r="U138" i="17"/>
  <c r="AB138" i="17"/>
  <c r="W138" i="17"/>
  <c r="Q139" i="17"/>
  <c r="AE139" i="17"/>
  <c r="AJ139" i="17"/>
  <c r="O139" i="17"/>
  <c r="L139" i="17"/>
  <c r="AE138" i="17"/>
  <c r="R138" i="17"/>
  <c r="R111" i="17"/>
  <c r="H111" i="17"/>
  <c r="AI111" i="17"/>
  <c r="M138" i="17"/>
  <c r="I138" i="17"/>
  <c r="N138" i="17"/>
  <c r="AM138" i="17"/>
  <c r="Z138" i="17"/>
  <c r="I112" i="17"/>
  <c r="AC138" i="17"/>
  <c r="Y138" i="17"/>
  <c r="V138" i="17"/>
  <c r="H138" i="17"/>
  <c r="AH138" i="17"/>
  <c r="K15" i="17"/>
  <c r="Q15" i="17"/>
  <c r="H15" i="17"/>
  <c r="AD15" i="17"/>
  <c r="L15" i="17"/>
  <c r="U15" i="17"/>
  <c r="O15" i="17"/>
  <c r="AE15" i="17"/>
  <c r="AE14" i="17"/>
  <c r="Q14" i="17"/>
  <c r="T14" i="17"/>
  <c r="S14" i="17"/>
  <c r="N14" i="17"/>
  <c r="AM14" i="17"/>
  <c r="Y14" i="17"/>
  <c r="X47" i="17"/>
  <c r="J47" i="17"/>
  <c r="P38" i="17"/>
  <c r="I38" i="17"/>
  <c r="AH38" i="17"/>
  <c r="AJ38" i="17"/>
  <c r="AB14" i="17"/>
  <c r="AA14" i="17"/>
  <c r="V14" i="17"/>
  <c r="H14" i="17"/>
  <c r="AG14" i="17"/>
  <c r="AG24" i="17"/>
  <c r="H24" i="17"/>
  <c r="AH24" i="17"/>
  <c r="AH39" i="17"/>
  <c r="Z39" i="17"/>
  <c r="R39" i="17"/>
  <c r="J39" i="17"/>
  <c r="AO39" i="17"/>
  <c r="AG39" i="17"/>
  <c r="Y39" i="17"/>
  <c r="Q39" i="17"/>
  <c r="I39" i="17"/>
  <c r="AM39" i="17"/>
  <c r="AE39" i="17"/>
  <c r="W39" i="17"/>
  <c r="O39" i="17"/>
  <c r="G39" i="17"/>
  <c r="AL39" i="17"/>
  <c r="AD39" i="17"/>
  <c r="V39" i="17"/>
  <c r="N39" i="17"/>
  <c r="AK39" i="17"/>
  <c r="AC39" i="17"/>
  <c r="U39" i="17"/>
  <c r="M39" i="17"/>
  <c r="AJ39" i="17"/>
  <c r="AB39" i="17"/>
  <c r="T39" i="17"/>
  <c r="L39" i="17"/>
  <c r="AN39" i="17"/>
  <c r="H39" i="17"/>
  <c r="AI39" i="17"/>
  <c r="AF39" i="17"/>
  <c r="AA39" i="17"/>
  <c r="X39" i="17"/>
  <c r="P39" i="17"/>
  <c r="K39" i="17"/>
  <c r="S39" i="17"/>
  <c r="AE38" i="17"/>
  <c r="AJ14" i="17"/>
  <c r="AI14" i="17"/>
  <c r="AD14" i="17"/>
  <c r="P14" i="17"/>
  <c r="AO14" i="17"/>
  <c r="AN25" i="17"/>
  <c r="AF25" i="17"/>
  <c r="O25" i="17"/>
  <c r="G25" i="17"/>
  <c r="I25" i="17"/>
  <c r="AC25" i="17"/>
  <c r="U25" i="17"/>
  <c r="K25" i="17"/>
  <c r="AJ25" i="17"/>
  <c r="AH25" i="17"/>
  <c r="T25" i="17"/>
  <c r="S47" i="17"/>
  <c r="AC47" i="17"/>
  <c r="O47" i="17"/>
  <c r="AN47" i="17"/>
  <c r="AC38" i="17"/>
  <c r="Y38" i="17"/>
  <c r="S38" i="17"/>
  <c r="N38" i="17"/>
  <c r="AM38" i="17"/>
  <c r="J14" i="17"/>
  <c r="M14" i="17"/>
  <c r="AL14" i="17"/>
  <c r="X14" i="17"/>
  <c r="I24" i="17"/>
  <c r="AI24" i="17"/>
  <c r="X24" i="17"/>
  <c r="T24" i="17"/>
  <c r="N24" i="17"/>
  <c r="R14" i="17"/>
  <c r="U14" i="17"/>
  <c r="G14" i="17"/>
  <c r="AF14" i="17"/>
  <c r="AC48" i="17"/>
  <c r="M48" i="17"/>
  <c r="AJ48" i="17"/>
  <c r="AA48" i="17"/>
  <c r="K48" i="17"/>
  <c r="AH48" i="17"/>
  <c r="AG48" i="17"/>
  <c r="Q48" i="17"/>
  <c r="I48" i="17"/>
  <c r="H48" i="17"/>
  <c r="AE48" i="17"/>
  <c r="W48" i="17"/>
  <c r="V48" i="17"/>
  <c r="N48" i="17"/>
  <c r="AE47" i="17"/>
  <c r="Q47" i="17"/>
  <c r="AK38" i="17"/>
  <c r="AO38" i="17"/>
  <c r="AI38" i="17"/>
  <c r="AD38" i="17"/>
  <c r="Z14" i="17"/>
  <c r="AC14" i="17"/>
  <c r="O14" i="17"/>
  <c r="AN14" i="17"/>
  <c r="Y24" i="17"/>
  <c r="AM24" i="17"/>
  <c r="AN24" i="17"/>
  <c r="AJ24" i="17"/>
  <c r="AD24" i="17"/>
  <c r="T47" i="17"/>
  <c r="N47" i="17"/>
  <c r="AM47" i="17"/>
  <c r="Y47" i="17"/>
  <c r="H38" i="17"/>
  <c r="J38" i="17"/>
  <c r="L38" i="17"/>
  <c r="AL38" i="17"/>
  <c r="AH14" i="17"/>
  <c r="AK14" i="17"/>
  <c r="W14" i="17"/>
  <c r="I14" i="17"/>
  <c r="G24" i="17"/>
  <c r="S24" i="17"/>
  <c r="J24" i="17"/>
  <c r="M24" i="17"/>
  <c r="AL24" i="17"/>
  <c r="E13" i="2"/>
  <c r="F12" i="2"/>
  <c r="G12" i="2" s="1"/>
  <c r="F12" i="1"/>
  <c r="G12" i="1" s="1"/>
  <c r="E13" i="1"/>
  <c r="G11" i="2"/>
  <c r="AN139" i="17" l="1"/>
  <c r="K139" i="17"/>
  <c r="G139" i="17"/>
  <c r="M139" i="17"/>
  <c r="X83" i="17"/>
  <c r="W139" i="17"/>
  <c r="AN83" i="17"/>
  <c r="AJ83" i="17"/>
  <c r="S139" i="17"/>
  <c r="T139" i="17"/>
  <c r="AD139" i="17"/>
  <c r="AM139" i="17"/>
  <c r="H139" i="17"/>
  <c r="Y139" i="17"/>
  <c r="AN65" i="17"/>
  <c r="X139" i="17"/>
  <c r="AG139" i="17"/>
  <c r="AK65" i="17"/>
  <c r="AA139" i="17"/>
  <c r="AG65" i="17"/>
  <c r="K65" i="17"/>
  <c r="AL65" i="17"/>
  <c r="I83" i="17"/>
  <c r="V83" i="17"/>
  <c r="AI139" i="17"/>
  <c r="G65" i="17"/>
  <c r="AA65" i="17"/>
  <c r="J83" i="17"/>
  <c r="AD83" i="17"/>
  <c r="O65" i="17"/>
  <c r="AI65" i="17"/>
  <c r="Z83" i="17"/>
  <c r="W65" i="17"/>
  <c r="L65" i="17"/>
  <c r="AH83" i="17"/>
  <c r="AO139" i="17"/>
  <c r="AL139" i="17"/>
  <c r="P65" i="17"/>
  <c r="M65" i="17"/>
  <c r="L83" i="17"/>
  <c r="J65" i="17"/>
  <c r="AB139" i="17"/>
  <c r="P139" i="17"/>
  <c r="J139" i="17"/>
  <c r="AF65" i="17"/>
  <c r="AB83" i="17"/>
  <c r="AB112" i="17"/>
  <c r="N112" i="17"/>
  <c r="Y112" i="17"/>
  <c r="AN66" i="17"/>
  <c r="Q83" i="17"/>
  <c r="K83" i="17"/>
  <c r="M83" i="17"/>
  <c r="AL83" i="17"/>
  <c r="AK112" i="17"/>
  <c r="AH112" i="17"/>
  <c r="AD112" i="17"/>
  <c r="P112" i="17"/>
  <c r="AO112" i="17"/>
  <c r="J140" i="17"/>
  <c r="R139" i="17"/>
  <c r="U139" i="17"/>
  <c r="Q65" i="17"/>
  <c r="AE65" i="17"/>
  <c r="R65" i="17"/>
  <c r="T65" i="17"/>
  <c r="N65" i="17"/>
  <c r="Y83" i="17"/>
  <c r="S83" i="17"/>
  <c r="U83" i="17"/>
  <c r="G83" i="17"/>
  <c r="AJ112" i="17"/>
  <c r="J112" i="17"/>
  <c r="AE112" i="17"/>
  <c r="AC112" i="17"/>
  <c r="Z112" i="17"/>
  <c r="H112" i="17"/>
  <c r="AG112" i="17"/>
  <c r="L112" i="17"/>
  <c r="K112" i="17"/>
  <c r="AL112" i="17"/>
  <c r="X112" i="17"/>
  <c r="N139" i="17"/>
  <c r="V139" i="17"/>
  <c r="Z139" i="17"/>
  <c r="AC139" i="17"/>
  <c r="I65" i="17"/>
  <c r="AM65" i="17"/>
  <c r="Z65" i="17"/>
  <c r="AB65" i="17"/>
  <c r="V65" i="17"/>
  <c r="P83" i="17"/>
  <c r="AG83" i="17"/>
  <c r="AA83" i="17"/>
  <c r="AC83" i="17"/>
  <c r="O83" i="17"/>
  <c r="R112" i="17"/>
  <c r="AM112" i="17"/>
  <c r="V112" i="17"/>
  <c r="M112" i="17"/>
  <c r="S112" i="17"/>
  <c r="G112" i="17"/>
  <c r="AF112" i="17"/>
  <c r="AF139" i="17"/>
  <c r="I139" i="17"/>
  <c r="AH139" i="17"/>
  <c r="AK139" i="17"/>
  <c r="Y65" i="17"/>
  <c r="H65" i="17"/>
  <c r="AH65" i="17"/>
  <c r="AJ65" i="17"/>
  <c r="AD65" i="17"/>
  <c r="H83" i="17"/>
  <c r="AO83" i="17"/>
  <c r="AI83" i="17"/>
  <c r="AK83" i="17"/>
  <c r="T112" i="17"/>
  <c r="AA112" i="17"/>
  <c r="O112" i="17"/>
  <c r="AN112" i="17"/>
  <c r="AG84" i="17"/>
  <c r="AE83" i="17"/>
  <c r="U112" i="17"/>
  <c r="AI112" i="17"/>
  <c r="W112" i="17"/>
  <c r="AO65" i="17"/>
  <c r="X65" i="17"/>
  <c r="S65" i="17"/>
  <c r="U65" i="17"/>
  <c r="AF83" i="17"/>
  <c r="R83" i="17"/>
  <c r="T83" i="17"/>
  <c r="N83" i="17"/>
  <c r="AM83" i="17"/>
  <c r="AI113" i="17"/>
  <c r="Q112" i="17"/>
  <c r="W49" i="17"/>
  <c r="L49" i="17"/>
  <c r="J49" i="17"/>
  <c r="AM48" i="17"/>
  <c r="Y48" i="17"/>
  <c r="S48" i="17"/>
  <c r="U48" i="17"/>
  <c r="J25" i="17"/>
  <c r="AK25" i="17"/>
  <c r="W25" i="17"/>
  <c r="M15" i="17"/>
  <c r="AL15" i="17"/>
  <c r="Y15" i="17"/>
  <c r="S15" i="17"/>
  <c r="AA26" i="17"/>
  <c r="S26" i="17"/>
  <c r="K26" i="17"/>
  <c r="AG26" i="17"/>
  <c r="Y26" i="17"/>
  <c r="Q26" i="17"/>
  <c r="H26" i="17"/>
  <c r="AL26" i="17"/>
  <c r="AD26" i="17"/>
  <c r="L26" i="17"/>
  <c r="U26" i="17"/>
  <c r="M26" i="17"/>
  <c r="G26" i="17"/>
  <c r="O26" i="17"/>
  <c r="AE25" i="17"/>
  <c r="Q25" i="17"/>
  <c r="AG15" i="17"/>
  <c r="AA15" i="17"/>
  <c r="AD48" i="17"/>
  <c r="P48" i="17"/>
  <c r="AO48" i="17"/>
  <c r="AI48" i="17"/>
  <c r="AK48" i="17"/>
  <c r="L25" i="17"/>
  <c r="S25" i="17"/>
  <c r="N25" i="17"/>
  <c r="AM25" i="17"/>
  <c r="Y25" i="17"/>
  <c r="AC15" i="17"/>
  <c r="P15" i="17"/>
  <c r="AO15" i="17"/>
  <c r="AI15" i="17"/>
  <c r="AL48" i="17"/>
  <c r="X48" i="17"/>
  <c r="J48" i="17"/>
  <c r="L48" i="17"/>
  <c r="R25" i="17"/>
  <c r="AA25" i="17"/>
  <c r="V25" i="17"/>
  <c r="H25" i="17"/>
  <c r="AG25" i="17"/>
  <c r="W15" i="17"/>
  <c r="AK15" i="17"/>
  <c r="X15" i="17"/>
  <c r="J15" i="17"/>
  <c r="G48" i="17"/>
  <c r="AF48" i="17"/>
  <c r="R48" i="17"/>
  <c r="T48" i="17"/>
  <c r="Z25" i="17"/>
  <c r="AI25" i="17"/>
  <c r="AD25" i="17"/>
  <c r="P25" i="17"/>
  <c r="AO25" i="17"/>
  <c r="AM16" i="17"/>
  <c r="AE16" i="17"/>
  <c r="W16" i="17"/>
  <c r="O16" i="17"/>
  <c r="G16" i="17"/>
  <c r="AL16" i="17"/>
  <c r="AD16" i="17"/>
  <c r="V16" i="17"/>
  <c r="N16" i="17"/>
  <c r="AK16" i="17"/>
  <c r="AC16" i="17"/>
  <c r="U16" i="17"/>
  <c r="M16" i="17"/>
  <c r="AJ16" i="17"/>
  <c r="AB16" i="17"/>
  <c r="T16" i="17"/>
  <c r="L16" i="17"/>
  <c r="AI16" i="17"/>
  <c r="AA16" i="17"/>
  <c r="S16" i="17"/>
  <c r="K16" i="17"/>
  <c r="AO16" i="17"/>
  <c r="AG16" i="17"/>
  <c r="Y16" i="17"/>
  <c r="Q16" i="17"/>
  <c r="I16" i="17"/>
  <c r="AN16" i="17"/>
  <c r="AF16" i="17"/>
  <c r="X16" i="17"/>
  <c r="P16" i="17"/>
  <c r="H16" i="17"/>
  <c r="AH16" i="17"/>
  <c r="Z16" i="17"/>
  <c r="R16" i="17"/>
  <c r="J16" i="17"/>
  <c r="AF15" i="17"/>
  <c r="R15" i="17"/>
  <c r="T15" i="17"/>
  <c r="O48" i="17"/>
  <c r="AN48" i="17"/>
  <c r="Z48" i="17"/>
  <c r="AB48" i="17"/>
  <c r="AB25" i="17"/>
  <c r="M25" i="17"/>
  <c r="AL25" i="17"/>
  <c r="X25" i="17"/>
  <c r="AM15" i="17"/>
  <c r="N15" i="17"/>
  <c r="AN15" i="17"/>
  <c r="Z15" i="17"/>
  <c r="AB15" i="17"/>
  <c r="G15" i="17"/>
  <c r="V15" i="17"/>
  <c r="I15" i="17"/>
  <c r="AH15" i="17"/>
  <c r="AJ15" i="17"/>
  <c r="E14" i="1"/>
  <c r="F13" i="1"/>
  <c r="G13" i="1" s="1"/>
  <c r="F13" i="2"/>
  <c r="G13" i="2" s="1"/>
  <c r="E14" i="2"/>
  <c r="W113" i="17" l="1"/>
  <c r="AL113" i="17"/>
  <c r="AE113" i="17"/>
  <c r="I113" i="17"/>
  <c r="AF113" i="17"/>
  <c r="Y113" i="17"/>
  <c r="L140" i="17"/>
  <c r="M113" i="17"/>
  <c r="Z113" i="17"/>
  <c r="U113" i="17"/>
  <c r="AH113" i="17"/>
  <c r="AJ113" i="17"/>
  <c r="AC113" i="17"/>
  <c r="K113" i="17"/>
  <c r="AK113" i="17"/>
  <c r="AB113" i="17"/>
  <c r="S113" i="17"/>
  <c r="AJ140" i="17"/>
  <c r="Z66" i="17"/>
  <c r="AL66" i="17"/>
  <c r="AH66" i="17"/>
  <c r="G66" i="17"/>
  <c r="AD140" i="17"/>
  <c r="K66" i="17"/>
  <c r="O66" i="17"/>
  <c r="R66" i="17"/>
  <c r="G113" i="17"/>
  <c r="Q113" i="17"/>
  <c r="Q140" i="17"/>
  <c r="M66" i="17"/>
  <c r="W66" i="17"/>
  <c r="U66" i="17"/>
  <c r="X66" i="17"/>
  <c r="I66" i="17"/>
  <c r="K140" i="17"/>
  <c r="L66" i="17"/>
  <c r="AC66" i="17"/>
  <c r="AF66" i="17"/>
  <c r="AA140" i="17"/>
  <c r="J66" i="17"/>
  <c r="AK66" i="17"/>
  <c r="AM113" i="17"/>
  <c r="AG113" i="17"/>
  <c r="T84" i="17"/>
  <c r="N84" i="17"/>
  <c r="AM84" i="17"/>
  <c r="Y84" i="17"/>
  <c r="AE140" i="17"/>
  <c r="M140" i="17"/>
  <c r="AL140" i="17"/>
  <c r="Y140" i="17"/>
  <c r="AI67" i="17"/>
  <c r="AE66" i="17"/>
  <c r="Q66" i="17"/>
  <c r="H113" i="17"/>
  <c r="N113" i="17"/>
  <c r="AO113" i="17"/>
  <c r="AB84" i="17"/>
  <c r="V84" i="17"/>
  <c r="H84" i="17"/>
  <c r="AI140" i="17"/>
  <c r="U140" i="17"/>
  <c r="H140" i="17"/>
  <c r="AG140" i="17"/>
  <c r="T66" i="17"/>
  <c r="S66" i="17"/>
  <c r="N66" i="17"/>
  <c r="AM66" i="17"/>
  <c r="Y66" i="17"/>
  <c r="M85" i="17"/>
  <c r="Q84" i="17"/>
  <c r="AJ84" i="17"/>
  <c r="AD84" i="17"/>
  <c r="P84" i="17"/>
  <c r="AO84" i="17"/>
  <c r="G140" i="17"/>
  <c r="AC140" i="17"/>
  <c r="P140" i="17"/>
  <c r="AO140" i="17"/>
  <c r="AB66" i="17"/>
  <c r="AA66" i="17"/>
  <c r="V66" i="17"/>
  <c r="H66" i="17"/>
  <c r="AG66" i="17"/>
  <c r="L84" i="17"/>
  <c r="AE84" i="17"/>
  <c r="O114" i="17"/>
  <c r="AA113" i="17"/>
  <c r="X113" i="17"/>
  <c r="AN113" i="17"/>
  <c r="V113" i="17"/>
  <c r="J113" i="17"/>
  <c r="L113" i="17"/>
  <c r="P113" i="17"/>
  <c r="O113" i="17"/>
  <c r="AD113" i="17"/>
  <c r="R113" i="17"/>
  <c r="T113" i="17"/>
  <c r="AI84" i="17"/>
  <c r="M84" i="17"/>
  <c r="AL84" i="17"/>
  <c r="X84" i="17"/>
  <c r="J84" i="17"/>
  <c r="S140" i="17"/>
  <c r="AM140" i="17"/>
  <c r="AK140" i="17"/>
  <c r="X140" i="17"/>
  <c r="AJ66" i="17"/>
  <c r="AI66" i="17"/>
  <c r="AD66" i="17"/>
  <c r="P66" i="17"/>
  <c r="AO66" i="17"/>
  <c r="S84" i="17"/>
  <c r="U84" i="17"/>
  <c r="G84" i="17"/>
  <c r="AF84" i="17"/>
  <c r="R84" i="17"/>
  <c r="AF140" i="17"/>
  <c r="R140" i="17"/>
  <c r="AA84" i="17"/>
  <c r="AC84" i="17"/>
  <c r="O84" i="17"/>
  <c r="AN84" i="17"/>
  <c r="Z84" i="17"/>
  <c r="O140" i="17"/>
  <c r="T140" i="17"/>
  <c r="N140" i="17"/>
  <c r="AN140" i="17"/>
  <c r="Z140" i="17"/>
  <c r="K84" i="17"/>
  <c r="AK84" i="17"/>
  <c r="W84" i="17"/>
  <c r="I84" i="17"/>
  <c r="AH84" i="17"/>
  <c r="W140" i="17"/>
  <c r="AB140" i="17"/>
  <c r="V140" i="17"/>
  <c r="I140" i="17"/>
  <c r="AH140" i="17"/>
  <c r="AM26" i="17"/>
  <c r="V26" i="17"/>
  <c r="I26" i="17"/>
  <c r="AH26" i="17"/>
  <c r="AJ26" i="17"/>
  <c r="Q49" i="17"/>
  <c r="AI49" i="17"/>
  <c r="AK49" i="17"/>
  <c r="Y50" i="17"/>
  <c r="AF50" i="17"/>
  <c r="AM50" i="17"/>
  <c r="G50" i="17"/>
  <c r="N50" i="17"/>
  <c r="AH50" i="17"/>
  <c r="U50" i="17"/>
  <c r="T50" i="17"/>
  <c r="L50" i="17"/>
  <c r="AE49" i="17"/>
  <c r="R49" i="17"/>
  <c r="T49" i="17"/>
  <c r="N49" i="17"/>
  <c r="AM49" i="17"/>
  <c r="Z49" i="17"/>
  <c r="AB49" i="17"/>
  <c r="V49" i="17"/>
  <c r="H49" i="17"/>
  <c r="AC26" i="17"/>
  <c r="P26" i="17"/>
  <c r="AO26" i="17"/>
  <c r="AI26" i="17"/>
  <c r="AO49" i="17"/>
  <c r="AH49" i="17"/>
  <c r="AJ49" i="17"/>
  <c r="AD49" i="17"/>
  <c r="P49" i="17"/>
  <c r="AE26" i="17"/>
  <c r="AK26" i="17"/>
  <c r="X26" i="17"/>
  <c r="J26" i="17"/>
  <c r="Y49" i="17"/>
  <c r="K49" i="17"/>
  <c r="M49" i="17"/>
  <c r="AL49" i="17"/>
  <c r="X49" i="17"/>
  <c r="O27" i="17"/>
  <c r="G27" i="17"/>
  <c r="AL27" i="17"/>
  <c r="AD27" i="17"/>
  <c r="V27" i="17"/>
  <c r="W27" i="17"/>
  <c r="AC27" i="17"/>
  <c r="U27" i="17"/>
  <c r="M27" i="17"/>
  <c r="AJ27" i="17"/>
  <c r="AB27" i="17"/>
  <c r="L27" i="17"/>
  <c r="AA27" i="17"/>
  <c r="S27" i="17"/>
  <c r="K27" i="17"/>
  <c r="AO27" i="17"/>
  <c r="AG27" i="17"/>
  <c r="Q27" i="17"/>
  <c r="AN27" i="17"/>
  <c r="AF27" i="17"/>
  <c r="X27" i="17"/>
  <c r="P27" i="17"/>
  <c r="H27" i="17"/>
  <c r="Z27" i="17"/>
  <c r="J27" i="17"/>
  <c r="AF26" i="17"/>
  <c r="R26" i="17"/>
  <c r="T26" i="17"/>
  <c r="AG49" i="17"/>
  <c r="S49" i="17"/>
  <c r="U49" i="17"/>
  <c r="G49" i="17"/>
  <c r="AF49" i="17"/>
  <c r="W26" i="17"/>
  <c r="N26" i="17"/>
  <c r="AN26" i="17"/>
  <c r="Z26" i="17"/>
  <c r="AB26" i="17"/>
  <c r="I49" i="17"/>
  <c r="AA49" i="17"/>
  <c r="AC49" i="17"/>
  <c r="O49" i="17"/>
  <c r="AN49" i="17"/>
  <c r="F14" i="2"/>
  <c r="G14" i="2" s="1"/>
  <c r="E15" i="2"/>
  <c r="E15" i="1"/>
  <c r="F14" i="1"/>
  <c r="G14" i="1" s="1"/>
  <c r="AD67" i="17" l="1"/>
  <c r="V67" i="17"/>
  <c r="I67" i="17"/>
  <c r="P85" i="17"/>
  <c r="AG67" i="17"/>
  <c r="AE67" i="17"/>
  <c r="AM67" i="17"/>
  <c r="W67" i="17"/>
  <c r="J67" i="17"/>
  <c r="U67" i="17"/>
  <c r="K67" i="17"/>
  <c r="AA67" i="17"/>
  <c r="H67" i="17"/>
  <c r="AH114" i="17"/>
  <c r="AO114" i="17"/>
  <c r="V114" i="17"/>
  <c r="AO85" i="17"/>
  <c r="M67" i="17"/>
  <c r="X67" i="17"/>
  <c r="S67" i="17"/>
  <c r="Y114" i="17"/>
  <c r="AI114" i="17"/>
  <c r="L114" i="17"/>
  <c r="AD114" i="17"/>
  <c r="AI85" i="17"/>
  <c r="P114" i="17"/>
  <c r="AB114" i="17"/>
  <c r="AL114" i="17"/>
  <c r="AK85" i="17"/>
  <c r="AK67" i="17"/>
  <c r="Q67" i="17"/>
  <c r="L67" i="17"/>
  <c r="X114" i="17"/>
  <c r="AJ114" i="17"/>
  <c r="G114" i="17"/>
  <c r="Y67" i="17"/>
  <c r="AJ67" i="17"/>
  <c r="J114" i="17"/>
  <c r="AN114" i="17"/>
  <c r="M114" i="17"/>
  <c r="W114" i="17"/>
  <c r="AA114" i="17"/>
  <c r="K114" i="17"/>
  <c r="I114" i="17"/>
  <c r="U114" i="17"/>
  <c r="Z114" i="17"/>
  <c r="Q114" i="17"/>
  <c r="AK114" i="17"/>
  <c r="V85" i="17"/>
  <c r="O67" i="17"/>
  <c r="AL67" i="17"/>
  <c r="AH67" i="17"/>
  <c r="W142" i="17"/>
  <c r="AC142" i="17"/>
  <c r="AA142" i="17"/>
  <c r="S141" i="17"/>
  <c r="V141" i="17"/>
  <c r="H141" i="17"/>
  <c r="AG141" i="17"/>
  <c r="AA141" i="17"/>
  <c r="AC141" i="17"/>
  <c r="R114" i="17"/>
  <c r="H114" i="17"/>
  <c r="AG114" i="17"/>
  <c r="AC114" i="17"/>
  <c r="AD85" i="17"/>
  <c r="X85" i="17"/>
  <c r="J85" i="17"/>
  <c r="L85" i="17"/>
  <c r="AC67" i="17"/>
  <c r="P67" i="17"/>
  <c r="AO67" i="17"/>
  <c r="G85" i="17"/>
  <c r="AF85" i="17"/>
  <c r="R85" i="17"/>
  <c r="T85" i="17"/>
  <c r="AM141" i="17"/>
  <c r="Y141" i="17"/>
  <c r="U141" i="17"/>
  <c r="AD141" i="17"/>
  <c r="P141" i="17"/>
  <c r="AO141" i="17"/>
  <c r="AI141" i="17"/>
  <c r="AK141" i="17"/>
  <c r="R115" i="17"/>
  <c r="AE114" i="17"/>
  <c r="O85" i="17"/>
  <c r="AN85" i="17"/>
  <c r="Z85" i="17"/>
  <c r="AB85" i="17"/>
  <c r="AL68" i="17"/>
  <c r="V68" i="17"/>
  <c r="AM68" i="17"/>
  <c r="K68" i="17"/>
  <c r="AO68" i="17"/>
  <c r="AG68" i="17"/>
  <c r="J68" i="17"/>
  <c r="AF67" i="17"/>
  <c r="R67" i="17"/>
  <c r="T67" i="17"/>
  <c r="AL141" i="17"/>
  <c r="X141" i="17"/>
  <c r="J141" i="17"/>
  <c r="L141" i="17"/>
  <c r="G141" i="17"/>
  <c r="AF141" i="17"/>
  <c r="R141" i="17"/>
  <c r="T141" i="17"/>
  <c r="S114" i="17"/>
  <c r="AF114" i="17"/>
  <c r="T114" i="17"/>
  <c r="N114" i="17"/>
  <c r="AM114" i="17"/>
  <c r="W85" i="17"/>
  <c r="I85" i="17"/>
  <c r="AH85" i="17"/>
  <c r="AJ85" i="17"/>
  <c r="G67" i="17"/>
  <c r="N67" i="17"/>
  <c r="AN67" i="17"/>
  <c r="Z67" i="17"/>
  <c r="AB67" i="17"/>
  <c r="O141" i="17"/>
  <c r="AN141" i="17"/>
  <c r="Z141" i="17"/>
  <c r="AB141" i="17"/>
  <c r="AL85" i="17"/>
  <c r="AE85" i="17"/>
  <c r="Q85" i="17"/>
  <c r="K85" i="17"/>
  <c r="W141" i="17"/>
  <c r="I141" i="17"/>
  <c r="AH141" i="17"/>
  <c r="AJ141" i="17"/>
  <c r="AN86" i="17"/>
  <c r="L86" i="17"/>
  <c r="K86" i="17"/>
  <c r="Q86" i="17"/>
  <c r="AM85" i="17"/>
  <c r="Y85" i="17"/>
  <c r="S85" i="17"/>
  <c r="U85" i="17"/>
  <c r="N141" i="17"/>
  <c r="AE141" i="17"/>
  <c r="Q141" i="17"/>
  <c r="K141" i="17"/>
  <c r="M141" i="17"/>
  <c r="N85" i="17"/>
  <c r="H85" i="17"/>
  <c r="AG85" i="17"/>
  <c r="AA85" i="17"/>
  <c r="AC85" i="17"/>
  <c r="AH27" i="17"/>
  <c r="Y27" i="17"/>
  <c r="T27" i="17"/>
  <c r="N27" i="17"/>
  <c r="AM27" i="17"/>
  <c r="M50" i="17"/>
  <c r="AL50" i="17"/>
  <c r="X50" i="17"/>
  <c r="J50" i="17"/>
  <c r="R50" i="17"/>
  <c r="AC50" i="17"/>
  <c r="O50" i="17"/>
  <c r="AN50" i="17"/>
  <c r="Z50" i="17"/>
  <c r="AK50" i="17"/>
  <c r="W50" i="17"/>
  <c r="I50" i="17"/>
  <c r="AD51" i="17"/>
  <c r="AK51" i="17"/>
  <c r="AC51" i="17"/>
  <c r="U51" i="17"/>
  <c r="AJ51" i="17"/>
  <c r="L51" i="17"/>
  <c r="AA51" i="17"/>
  <c r="S51" i="17"/>
  <c r="AH51" i="17"/>
  <c r="J51" i="17"/>
  <c r="AG51" i="17"/>
  <c r="Y51" i="17"/>
  <c r="I51" i="17"/>
  <c r="X51" i="17"/>
  <c r="H51" i="17"/>
  <c r="G51" i="17"/>
  <c r="W51" i="17"/>
  <c r="AE51" i="17"/>
  <c r="AE50" i="17"/>
  <c r="Q50" i="17"/>
  <c r="K50" i="17"/>
  <c r="S50" i="17"/>
  <c r="R27" i="17"/>
  <c r="I27" i="17"/>
  <c r="AI27" i="17"/>
  <c r="AK27" i="17"/>
  <c r="AB50" i="17"/>
  <c r="V50" i="17"/>
  <c r="H50" i="17"/>
  <c r="AG50" i="17"/>
  <c r="AA50" i="17"/>
  <c r="AH28" i="17"/>
  <c r="J28" i="17"/>
  <c r="AG28" i="17"/>
  <c r="Y28" i="17"/>
  <c r="I28" i="17"/>
  <c r="X28" i="17"/>
  <c r="H28" i="17"/>
  <c r="AM28" i="17"/>
  <c r="W28" i="17"/>
  <c r="AL28" i="17"/>
  <c r="V28" i="17"/>
  <c r="N28" i="17"/>
  <c r="Z28" i="17"/>
  <c r="AJ28" i="17"/>
  <c r="L28" i="17"/>
  <c r="AA28" i="17"/>
  <c r="S28" i="17"/>
  <c r="K28" i="17"/>
  <c r="AK28" i="17"/>
  <c r="U28" i="17"/>
  <c r="AE27" i="17"/>
  <c r="AJ50" i="17"/>
  <c r="AD50" i="17"/>
  <c r="P50" i="17"/>
  <c r="AO50" i="17"/>
  <c r="AI50" i="17"/>
  <c r="E16" i="2"/>
  <c r="F15" i="2"/>
  <c r="G15" i="2" s="1"/>
  <c r="F15" i="1"/>
  <c r="G15" i="1" s="1"/>
  <c r="E16" i="1"/>
  <c r="AH68" i="17" l="1"/>
  <c r="AA68" i="17"/>
  <c r="G68" i="17"/>
  <c r="AI115" i="17"/>
  <c r="V86" i="17"/>
  <c r="H68" i="17"/>
  <c r="T68" i="17"/>
  <c r="O68" i="17"/>
  <c r="N142" i="17"/>
  <c r="P68" i="17"/>
  <c r="AJ68" i="17"/>
  <c r="AF68" i="17"/>
  <c r="M68" i="17"/>
  <c r="Q68" i="17"/>
  <c r="U68" i="17"/>
  <c r="AO86" i="17"/>
  <c r="T86" i="17"/>
  <c r="AD86" i="17"/>
  <c r="X68" i="17"/>
  <c r="S68" i="17"/>
  <c r="AC68" i="17"/>
  <c r="AB115" i="17"/>
  <c r="I142" i="17"/>
  <c r="AM142" i="17"/>
  <c r="J86" i="17"/>
  <c r="AB86" i="17"/>
  <c r="AL86" i="17"/>
  <c r="AE115" i="17"/>
  <c r="J142" i="17"/>
  <c r="X142" i="17"/>
  <c r="R86" i="17"/>
  <c r="AJ86" i="17"/>
  <c r="W86" i="17"/>
  <c r="AN68" i="17"/>
  <c r="L68" i="17"/>
  <c r="N68" i="17"/>
  <c r="Y115" i="17"/>
  <c r="K142" i="17"/>
  <c r="Z86" i="17"/>
  <c r="M86" i="17"/>
  <c r="AM86" i="17"/>
  <c r="AH86" i="17"/>
  <c r="AK86" i="17"/>
  <c r="H86" i="17"/>
  <c r="Z68" i="17"/>
  <c r="Y68" i="17"/>
  <c r="AB68" i="17"/>
  <c r="AD68" i="17"/>
  <c r="M142" i="17"/>
  <c r="X86" i="17"/>
  <c r="I86" i="17"/>
  <c r="AI86" i="17"/>
  <c r="N86" i="17"/>
  <c r="AC115" i="17"/>
  <c r="L115" i="17"/>
  <c r="R142" i="17"/>
  <c r="AK142" i="17"/>
  <c r="AN142" i="17"/>
  <c r="AM115" i="17"/>
  <c r="AI142" i="17"/>
  <c r="AL142" i="17"/>
  <c r="P86" i="17"/>
  <c r="R68" i="17"/>
  <c r="I68" i="17"/>
  <c r="AI68" i="17"/>
  <c r="AK68" i="17"/>
  <c r="W68" i="17"/>
  <c r="N115" i="17"/>
  <c r="P115" i="17"/>
  <c r="Q142" i="17"/>
  <c r="L142" i="17"/>
  <c r="O142" i="17"/>
  <c r="U115" i="17"/>
  <c r="Q115" i="17"/>
  <c r="AO142" i="17"/>
  <c r="T142" i="17"/>
  <c r="V115" i="17"/>
  <c r="T115" i="17"/>
  <c r="H115" i="17"/>
  <c r="AG115" i="17"/>
  <c r="AA143" i="17"/>
  <c r="AE142" i="17"/>
  <c r="AO115" i="17"/>
  <c r="Y86" i="17"/>
  <c r="S86" i="17"/>
  <c r="U86" i="17"/>
  <c r="G86" i="17"/>
  <c r="AF86" i="17"/>
  <c r="M115" i="17"/>
  <c r="AD115" i="17"/>
  <c r="AJ115" i="17"/>
  <c r="X115" i="17"/>
  <c r="J115" i="17"/>
  <c r="Z142" i="17"/>
  <c r="AB142" i="17"/>
  <c r="V142" i="17"/>
  <c r="H142" i="17"/>
  <c r="AG86" i="17"/>
  <c r="AA86" i="17"/>
  <c r="AC86" i="17"/>
  <c r="O86" i="17"/>
  <c r="Y69" i="17"/>
  <c r="X69" i="17"/>
  <c r="AL69" i="17"/>
  <c r="AH69" i="17"/>
  <c r="AA69" i="17"/>
  <c r="AE68" i="17"/>
  <c r="AK115" i="17"/>
  <c r="K115" i="17"/>
  <c r="G115" i="17"/>
  <c r="AF115" i="17"/>
  <c r="AG142" i="17"/>
  <c r="AH142" i="17"/>
  <c r="AJ142" i="17"/>
  <c r="AD142" i="17"/>
  <c r="P142" i="17"/>
  <c r="U116" i="17"/>
  <c r="S115" i="17"/>
  <c r="O115" i="17"/>
  <c r="AN115" i="17"/>
  <c r="Z115" i="17"/>
  <c r="I87" i="17"/>
  <c r="X87" i="17"/>
  <c r="W87" i="17"/>
  <c r="AH87" i="17"/>
  <c r="M87" i="17"/>
  <c r="AB87" i="17"/>
  <c r="AE86" i="17"/>
  <c r="AL115" i="17"/>
  <c r="AA115" i="17"/>
  <c r="W115" i="17"/>
  <c r="I115" i="17"/>
  <c r="AH115" i="17"/>
  <c r="Y142" i="17"/>
  <c r="S142" i="17"/>
  <c r="U142" i="17"/>
  <c r="G142" i="17"/>
  <c r="AF142" i="17"/>
  <c r="AI28" i="17"/>
  <c r="AD28" i="17"/>
  <c r="P28" i="17"/>
  <c r="AO28" i="17"/>
  <c r="P51" i="17"/>
  <c r="AO51" i="17"/>
  <c r="AI51" i="17"/>
  <c r="AG52" i="17"/>
  <c r="L52" i="17"/>
  <c r="J52" i="17"/>
  <c r="M28" i="17"/>
  <c r="T28" i="17"/>
  <c r="G28" i="17"/>
  <c r="AF28" i="17"/>
  <c r="R28" i="17"/>
  <c r="AF51" i="17"/>
  <c r="R51" i="17"/>
  <c r="T51" i="17"/>
  <c r="N51" i="17"/>
  <c r="AC28" i="17"/>
  <c r="AB28" i="17"/>
  <c r="O28" i="17"/>
  <c r="AN28" i="17"/>
  <c r="O51" i="17"/>
  <c r="AN51" i="17"/>
  <c r="Z51" i="17"/>
  <c r="AB51" i="17"/>
  <c r="V51" i="17"/>
  <c r="N29" i="17"/>
  <c r="L29" i="17"/>
  <c r="AE28" i="17"/>
  <c r="Q28" i="17"/>
  <c r="AM51" i="17"/>
  <c r="Q51" i="17"/>
  <c r="K51" i="17"/>
  <c r="M51" i="17"/>
  <c r="AL51" i="17"/>
  <c r="F16" i="1"/>
  <c r="E17" i="1" s="1"/>
  <c r="F16" i="2"/>
  <c r="E17" i="2" s="1"/>
  <c r="AC87" i="17" l="1"/>
  <c r="J87" i="17"/>
  <c r="AK87" i="17"/>
  <c r="Z87" i="17"/>
  <c r="M69" i="17"/>
  <c r="G87" i="17"/>
  <c r="L69" i="17"/>
  <c r="O87" i="17"/>
  <c r="U87" i="17"/>
  <c r="H87" i="17"/>
  <c r="K69" i="17"/>
  <c r="J69" i="17"/>
  <c r="AG87" i="17"/>
  <c r="V87" i="17"/>
  <c r="AO87" i="17"/>
  <c r="AL116" i="17"/>
  <c r="N69" i="17"/>
  <c r="P87" i="17"/>
  <c r="R87" i="17"/>
  <c r="AF116" i="17"/>
  <c r="AM116" i="17"/>
  <c r="V69" i="17"/>
  <c r="H116" i="17"/>
  <c r="T87" i="17"/>
  <c r="AD87" i="17"/>
  <c r="AF87" i="17"/>
  <c r="AA87" i="17"/>
  <c r="AN116" i="17"/>
  <c r="Z116" i="17"/>
  <c r="AM69" i="17"/>
  <c r="J116" i="17"/>
  <c r="AJ87" i="17"/>
  <c r="AL87" i="17"/>
  <c r="AN87" i="17"/>
  <c r="AI87" i="17"/>
  <c r="AO116" i="17"/>
  <c r="AI116" i="17"/>
  <c r="S69" i="17"/>
  <c r="H69" i="17"/>
  <c r="L116" i="17"/>
  <c r="N116" i="17"/>
  <c r="AB116" i="17"/>
  <c r="V116" i="17"/>
  <c r="AK116" i="17"/>
  <c r="AG69" i="17"/>
  <c r="P116" i="17"/>
  <c r="G116" i="17"/>
  <c r="AH116" i="17"/>
  <c r="AJ116" i="17"/>
  <c r="U69" i="17"/>
  <c r="T69" i="17"/>
  <c r="G69" i="17"/>
  <c r="AF69" i="17"/>
  <c r="R69" i="17"/>
  <c r="L143" i="17"/>
  <c r="N143" i="17"/>
  <c r="AM143" i="17"/>
  <c r="Y143" i="17"/>
  <c r="S143" i="17"/>
  <c r="AJ143" i="17"/>
  <c r="Q143" i="17"/>
  <c r="AC88" i="17"/>
  <c r="AE87" i="17"/>
  <c r="Q87" i="17"/>
  <c r="K87" i="17"/>
  <c r="AG116" i="17"/>
  <c r="Q116" i="17"/>
  <c r="O116" i="17"/>
  <c r="K116" i="17"/>
  <c r="M116" i="17"/>
  <c r="AK69" i="17"/>
  <c r="AB69" i="17"/>
  <c r="O69" i="17"/>
  <c r="AN69" i="17"/>
  <c r="Z69" i="17"/>
  <c r="T143" i="17"/>
  <c r="V143" i="17"/>
  <c r="H143" i="17"/>
  <c r="AG143" i="17"/>
  <c r="AK144" i="17"/>
  <c r="J144" i="17"/>
  <c r="Q144" i="17"/>
  <c r="AE144" i="17"/>
  <c r="AE143" i="17"/>
  <c r="K143" i="17"/>
  <c r="L87" i="17"/>
  <c r="N87" i="17"/>
  <c r="AM87" i="17"/>
  <c r="Y87" i="17"/>
  <c r="S87" i="17"/>
  <c r="Y116" i="17"/>
  <c r="X116" i="17"/>
  <c r="W116" i="17"/>
  <c r="S116" i="17"/>
  <c r="AC69" i="17"/>
  <c r="AJ69" i="17"/>
  <c r="W69" i="17"/>
  <c r="I69" i="17"/>
  <c r="AB143" i="17"/>
  <c r="AD143" i="17"/>
  <c r="P143" i="17"/>
  <c r="AO143" i="17"/>
  <c r="AI143" i="17"/>
  <c r="AF117" i="17"/>
  <c r="AC117" i="17"/>
  <c r="J117" i="17"/>
  <c r="AO117" i="17"/>
  <c r="L117" i="17"/>
  <c r="AE116" i="17"/>
  <c r="AA116" i="17"/>
  <c r="AC116" i="17"/>
  <c r="N70" i="17"/>
  <c r="U70" i="17"/>
  <c r="AE69" i="17"/>
  <c r="Q69" i="17"/>
  <c r="M143" i="17"/>
  <c r="AL143" i="17"/>
  <c r="X143" i="17"/>
  <c r="J143" i="17"/>
  <c r="U143" i="17"/>
  <c r="G143" i="17"/>
  <c r="AF143" i="17"/>
  <c r="R143" i="17"/>
  <c r="AC143" i="17"/>
  <c r="O143" i="17"/>
  <c r="AN143" i="17"/>
  <c r="Z143" i="17"/>
  <c r="I116" i="17"/>
  <c r="AD116" i="17"/>
  <c r="R116" i="17"/>
  <c r="T116" i="17"/>
  <c r="AI69" i="17"/>
  <c r="AD69" i="17"/>
  <c r="P69" i="17"/>
  <c r="AO69" i="17"/>
  <c r="AK143" i="17"/>
  <c r="W143" i="17"/>
  <c r="I143" i="17"/>
  <c r="AH143" i="17"/>
  <c r="AN29" i="17"/>
  <c r="AL29" i="17"/>
  <c r="Y29" i="17"/>
  <c r="S29" i="17"/>
  <c r="U29" i="17"/>
  <c r="AH52" i="17"/>
  <c r="AJ52" i="17"/>
  <c r="AD52" i="17"/>
  <c r="P52" i="17"/>
  <c r="AO52" i="17"/>
  <c r="H29" i="17"/>
  <c r="G29" i="17"/>
  <c r="AG29" i="17"/>
  <c r="AA29" i="17"/>
  <c r="AC29" i="17"/>
  <c r="K52" i="17"/>
  <c r="M52" i="17"/>
  <c r="AL52" i="17"/>
  <c r="X52" i="17"/>
  <c r="P29" i="17"/>
  <c r="O29" i="17"/>
  <c r="AO29" i="17"/>
  <c r="AI29" i="17"/>
  <c r="AK29" i="17"/>
  <c r="S52" i="17"/>
  <c r="U52" i="17"/>
  <c r="G52" i="17"/>
  <c r="AF52" i="17"/>
  <c r="X29" i="17"/>
  <c r="W29" i="17"/>
  <c r="J29" i="17"/>
  <c r="AA52" i="17"/>
  <c r="AC52" i="17"/>
  <c r="O52" i="17"/>
  <c r="AN52" i="17"/>
  <c r="AN30" i="17"/>
  <c r="AF30" i="17"/>
  <c r="X30" i="17"/>
  <c r="P30" i="17"/>
  <c r="H30" i="17"/>
  <c r="AM30" i="17"/>
  <c r="AE30" i="17"/>
  <c r="W30" i="17"/>
  <c r="O30" i="17"/>
  <c r="G30" i="17"/>
  <c r="AL30" i="17"/>
  <c r="AD30" i="17"/>
  <c r="V30" i="17"/>
  <c r="N30" i="17"/>
  <c r="AK30" i="17"/>
  <c r="AC30" i="17"/>
  <c r="U30" i="17"/>
  <c r="M30" i="17"/>
  <c r="AJ30" i="17"/>
  <c r="AB30" i="17"/>
  <c r="T30" i="17"/>
  <c r="L30" i="17"/>
  <c r="AH30" i="17"/>
  <c r="Z30" i="17"/>
  <c r="R30" i="17"/>
  <c r="J30" i="17"/>
  <c r="AO30" i="17"/>
  <c r="AG30" i="17"/>
  <c r="Y30" i="17"/>
  <c r="Q30" i="17"/>
  <c r="I30" i="17"/>
  <c r="AI30" i="17"/>
  <c r="AA30" i="17"/>
  <c r="S30" i="17"/>
  <c r="K30" i="17"/>
  <c r="AE29" i="17"/>
  <c r="R29" i="17"/>
  <c r="T29" i="17"/>
  <c r="AI52" i="17"/>
  <c r="AK52" i="17"/>
  <c r="W52" i="17"/>
  <c r="I52" i="17"/>
  <c r="AM29" i="17"/>
  <c r="Z29" i="17"/>
  <c r="AE52" i="17"/>
  <c r="Q52" i="17"/>
  <c r="V29" i="17"/>
  <c r="I29" i="17"/>
  <c r="AH29" i="17"/>
  <c r="AJ29" i="17"/>
  <c r="R52" i="17"/>
  <c r="T52" i="17"/>
  <c r="N52" i="17"/>
  <c r="AM52" i="17"/>
  <c r="Y52" i="17"/>
  <c r="AB29" i="17"/>
  <c r="AF29" i="17"/>
  <c r="AD29" i="17"/>
  <c r="Q29" i="17"/>
  <c r="K29" i="17"/>
  <c r="M29" i="17"/>
  <c r="Z52" i="17"/>
  <c r="AB52" i="17"/>
  <c r="V52" i="17"/>
  <c r="H52" i="17"/>
  <c r="G16" i="2"/>
  <c r="G16" i="1"/>
  <c r="F17" i="1"/>
  <c r="E19" i="1" s="1"/>
  <c r="F19" i="1" s="1"/>
  <c r="E20" i="1" s="1"/>
  <c r="F20" i="1" s="1"/>
  <c r="F17" i="2"/>
  <c r="E19" i="2" s="1"/>
  <c r="F19" i="2" s="1"/>
  <c r="E20" i="2" s="1"/>
  <c r="F20" i="2" s="1"/>
  <c r="Z70" i="17" l="1"/>
  <c r="Y144" i="17"/>
  <c r="J88" i="17"/>
  <c r="K144" i="17"/>
  <c r="L144" i="17"/>
  <c r="U144" i="17"/>
  <c r="X144" i="17"/>
  <c r="AL144" i="17"/>
  <c r="AB117" i="17"/>
  <c r="AK117" i="17"/>
  <c r="S144" i="17"/>
  <c r="AI88" i="17"/>
  <c r="AI117" i="17"/>
  <c r="AJ117" i="17"/>
  <c r="O117" i="17"/>
  <c r="AM144" i="17"/>
  <c r="M144" i="17"/>
  <c r="W117" i="17"/>
  <c r="AG117" i="17"/>
  <c r="H117" i="17"/>
  <c r="G70" i="17"/>
  <c r="AA70" i="17"/>
  <c r="Z117" i="17"/>
  <c r="AN117" i="17"/>
  <c r="L88" i="17"/>
  <c r="O70" i="17"/>
  <c r="AI70" i="17"/>
  <c r="AK88" i="17"/>
  <c r="W70" i="17"/>
  <c r="L70" i="17"/>
  <c r="H70" i="17"/>
  <c r="AM70" i="17"/>
  <c r="AB70" i="17"/>
  <c r="P88" i="17"/>
  <c r="P70" i="17"/>
  <c r="AG70" i="17"/>
  <c r="AC70" i="17"/>
  <c r="V117" i="17"/>
  <c r="X88" i="17"/>
  <c r="X70" i="17"/>
  <c r="AO70" i="17"/>
  <c r="AK70" i="17"/>
  <c r="AO88" i="17"/>
  <c r="J70" i="17"/>
  <c r="AF70" i="17"/>
  <c r="AD70" i="17"/>
  <c r="Q70" i="17"/>
  <c r="K70" i="17"/>
  <c r="M70" i="17"/>
  <c r="S117" i="17"/>
  <c r="Q117" i="17"/>
  <c r="M117" i="17"/>
  <c r="AL117" i="17"/>
  <c r="X117" i="17"/>
  <c r="O144" i="17"/>
  <c r="AN144" i="17"/>
  <c r="Z144" i="17"/>
  <c r="AB144" i="17"/>
  <c r="V144" i="17"/>
  <c r="W88" i="17"/>
  <c r="Y88" i="17"/>
  <c r="S88" i="17"/>
  <c r="U88" i="17"/>
  <c r="AN70" i="17"/>
  <c r="AL70" i="17"/>
  <c r="Y70" i="17"/>
  <c r="S70" i="17"/>
  <c r="T117" i="17"/>
  <c r="Y117" i="17"/>
  <c r="U117" i="17"/>
  <c r="G117" i="17"/>
  <c r="W144" i="17"/>
  <c r="I144" i="17"/>
  <c r="AH144" i="17"/>
  <c r="AJ144" i="17"/>
  <c r="AD144" i="17"/>
  <c r="H88" i="17"/>
  <c r="AG88" i="17"/>
  <c r="AA88" i="17"/>
  <c r="I89" i="17"/>
  <c r="L89" i="17"/>
  <c r="AH118" i="17"/>
  <c r="AE117" i="17"/>
  <c r="H144" i="17"/>
  <c r="AG144" i="17"/>
  <c r="AA144" i="17"/>
  <c r="AC144" i="17"/>
  <c r="AE88" i="17"/>
  <c r="AF88" i="17"/>
  <c r="R88" i="17"/>
  <c r="T88" i="17"/>
  <c r="N88" i="17"/>
  <c r="W71" i="17"/>
  <c r="AE70" i="17"/>
  <c r="R70" i="17"/>
  <c r="T70" i="17"/>
  <c r="K117" i="17"/>
  <c r="R117" i="17"/>
  <c r="N117" i="17"/>
  <c r="AM117" i="17"/>
  <c r="P144" i="17"/>
  <c r="AO144" i="17"/>
  <c r="AI144" i="17"/>
  <c r="AM88" i="17"/>
  <c r="AN88" i="17"/>
  <c r="Z88" i="17"/>
  <c r="AB88" i="17"/>
  <c r="V88" i="17"/>
  <c r="I145" i="17"/>
  <c r="G88" i="17"/>
  <c r="I88" i="17"/>
  <c r="AH88" i="17"/>
  <c r="AJ88" i="17"/>
  <c r="AD88" i="17"/>
  <c r="V70" i="17"/>
  <c r="I70" i="17"/>
  <c r="AH70" i="17"/>
  <c r="AJ70" i="17"/>
  <c r="AA117" i="17"/>
  <c r="I117" i="17"/>
  <c r="AH117" i="17"/>
  <c r="AD117" i="17"/>
  <c r="P117" i="17"/>
  <c r="G144" i="17"/>
  <c r="AF144" i="17"/>
  <c r="R144" i="17"/>
  <c r="T144" i="17"/>
  <c r="N144" i="17"/>
  <c r="O88" i="17"/>
  <c r="Q88" i="17"/>
  <c r="K88" i="17"/>
  <c r="M88" i="17"/>
  <c r="AL88" i="17"/>
  <c r="G17" i="2"/>
  <c r="G17" i="1"/>
  <c r="AL71" i="17" l="1"/>
  <c r="AF89" i="17"/>
  <c r="S145" i="17"/>
  <c r="L145" i="17"/>
  <c r="V145" i="17"/>
  <c r="AL118" i="17"/>
  <c r="AF145" i="17"/>
  <c r="Q71" i="17"/>
  <c r="AG118" i="17"/>
  <c r="J71" i="17"/>
  <c r="Y71" i="17"/>
  <c r="G71" i="17"/>
  <c r="H118" i="17"/>
  <c r="U89" i="17"/>
  <c r="K145" i="17"/>
  <c r="AG71" i="17"/>
  <c r="AM71" i="17"/>
  <c r="Y118" i="17"/>
  <c r="AC89" i="17"/>
  <c r="AB71" i="17"/>
  <c r="J89" i="17"/>
  <c r="AL89" i="17"/>
  <c r="AJ71" i="17"/>
  <c r="O118" i="17"/>
  <c r="S89" i="17"/>
  <c r="G89" i="17"/>
  <c r="N145" i="17"/>
  <c r="M71" i="17"/>
  <c r="G118" i="17"/>
  <c r="AA89" i="17"/>
  <c r="O89" i="17"/>
  <c r="AI89" i="17"/>
  <c r="X89" i="17"/>
  <c r="T145" i="17"/>
  <c r="AD145" i="17"/>
  <c r="Y145" i="17"/>
  <c r="AO71" i="17"/>
  <c r="U71" i="17"/>
  <c r="H71" i="17"/>
  <c r="AM118" i="17"/>
  <c r="S118" i="17"/>
  <c r="M89" i="17"/>
  <c r="W89" i="17"/>
  <c r="Z145" i="17"/>
  <c r="AB145" i="17"/>
  <c r="AL145" i="17"/>
  <c r="P71" i="17"/>
  <c r="AA118" i="17"/>
  <c r="AG145" i="17"/>
  <c r="K71" i="17"/>
  <c r="R71" i="17"/>
  <c r="N71" i="17"/>
  <c r="X71" i="17"/>
  <c r="J145" i="17"/>
  <c r="AJ145" i="17"/>
  <c r="G145" i="17"/>
  <c r="AO145" i="17"/>
  <c r="R145" i="17"/>
  <c r="M145" i="17"/>
  <c r="AM145" i="17"/>
  <c r="S71" i="17"/>
  <c r="L71" i="17"/>
  <c r="V71" i="17"/>
  <c r="AF71" i="17"/>
  <c r="L118" i="17"/>
  <c r="K89" i="17"/>
  <c r="AK89" i="17"/>
  <c r="AN89" i="17"/>
  <c r="AH145" i="17"/>
  <c r="U145" i="17"/>
  <c r="H145" i="17"/>
  <c r="AA71" i="17"/>
  <c r="T71" i="17"/>
  <c r="AD71" i="17"/>
  <c r="AK118" i="17"/>
  <c r="P145" i="17"/>
  <c r="X145" i="17"/>
  <c r="N118" i="17"/>
  <c r="T118" i="17"/>
  <c r="P118" i="17"/>
  <c r="AO118" i="17"/>
  <c r="AI118" i="17"/>
  <c r="V118" i="17"/>
  <c r="AB118" i="17"/>
  <c r="X118" i="17"/>
  <c r="J118" i="17"/>
  <c r="AJ90" i="17"/>
  <c r="AE89" i="17"/>
  <c r="Q89" i="17"/>
  <c r="AA145" i="17"/>
  <c r="AC145" i="17"/>
  <c r="O145" i="17"/>
  <c r="AN145" i="17"/>
  <c r="AI71" i="17"/>
  <c r="Z71" i="17"/>
  <c r="AC71" i="17"/>
  <c r="O71" i="17"/>
  <c r="AN71" i="17"/>
  <c r="W118" i="17"/>
  <c r="AJ118" i="17"/>
  <c r="AF118" i="17"/>
  <c r="R118" i="17"/>
  <c r="R89" i="17"/>
  <c r="T89" i="17"/>
  <c r="N89" i="17"/>
  <c r="AM89" i="17"/>
  <c r="Y89" i="17"/>
  <c r="AI145" i="17"/>
  <c r="AK145" i="17"/>
  <c r="W145" i="17"/>
  <c r="I71" i="17"/>
  <c r="AH71" i="17"/>
  <c r="AK71" i="17"/>
  <c r="AD118" i="17"/>
  <c r="M118" i="17"/>
  <c r="AN118" i="17"/>
  <c r="Z118" i="17"/>
  <c r="Z89" i="17"/>
  <c r="AB89" i="17"/>
  <c r="V89" i="17"/>
  <c r="H89" i="17"/>
  <c r="AG89" i="17"/>
  <c r="AE145" i="17"/>
  <c r="Q145" i="17"/>
  <c r="Z72" i="17"/>
  <c r="AE71" i="17"/>
  <c r="AE118" i="17"/>
  <c r="U118" i="17"/>
  <c r="I118" i="17"/>
  <c r="AH89" i="17"/>
  <c r="AJ89" i="17"/>
  <c r="AD89" i="17"/>
  <c r="P89" i="17"/>
  <c r="AO89" i="17"/>
  <c r="AL119" i="17"/>
  <c r="AC118" i="17"/>
  <c r="Q118" i="17"/>
  <c r="K118" i="17"/>
  <c r="AB72" i="17" l="1"/>
  <c r="AH72" i="17"/>
  <c r="H72" i="17"/>
  <c r="M72" i="17"/>
  <c r="P72" i="17"/>
  <c r="S72" i="17"/>
  <c r="U72" i="17"/>
  <c r="N72" i="17"/>
  <c r="AC72" i="17"/>
  <c r="I72" i="17"/>
  <c r="AI72" i="17"/>
  <c r="X72" i="17"/>
  <c r="AA72" i="17"/>
  <c r="R119" i="17"/>
  <c r="AD72" i="17"/>
  <c r="AK72" i="17"/>
  <c r="Y72" i="17"/>
  <c r="H119" i="17"/>
  <c r="V72" i="17"/>
  <c r="G72" i="17"/>
  <c r="AG72" i="17"/>
  <c r="AL72" i="17"/>
  <c r="W72" i="17"/>
  <c r="AO72" i="17"/>
  <c r="AI119" i="17"/>
  <c r="AK119" i="17"/>
  <c r="L72" i="17"/>
  <c r="AM72" i="17"/>
  <c r="J72" i="17"/>
  <c r="W147" i="17"/>
  <c r="AE146" i="17"/>
  <c r="Q146" i="17"/>
  <c r="K146" i="17"/>
  <c r="N90" i="17"/>
  <c r="AM90" i="17"/>
  <c r="Y90" i="17"/>
  <c r="S90" i="17"/>
  <c r="X119" i="17"/>
  <c r="N146" i="17"/>
  <c r="AM146" i="17"/>
  <c r="Y146" i="17"/>
  <c r="S146" i="17"/>
  <c r="V90" i="17"/>
  <c r="H90" i="17"/>
  <c r="AG90" i="17"/>
  <c r="AA90" i="17"/>
  <c r="Y119" i="17"/>
  <c r="P119" i="17"/>
  <c r="L119" i="17"/>
  <c r="AO119" i="17"/>
  <c r="Z119" i="17"/>
  <c r="N119" i="17"/>
  <c r="I119" i="17"/>
  <c r="G119" i="17"/>
  <c r="AF119" i="17"/>
  <c r="AB119" i="17"/>
  <c r="V119" i="17"/>
  <c r="V146" i="17"/>
  <c r="H146" i="17"/>
  <c r="AG146" i="17"/>
  <c r="AA146" i="17"/>
  <c r="AD90" i="17"/>
  <c r="P90" i="17"/>
  <c r="AO90" i="17"/>
  <c r="AI90" i="17"/>
  <c r="AG119" i="17"/>
  <c r="O119" i="17"/>
  <c r="AN119" i="17"/>
  <c r="AJ119" i="17"/>
  <c r="AD119" i="17"/>
  <c r="AF72" i="17"/>
  <c r="R72" i="17"/>
  <c r="AD146" i="17"/>
  <c r="P146" i="17"/>
  <c r="AO146" i="17"/>
  <c r="AI146" i="17"/>
  <c r="AC90" i="17"/>
  <c r="AL90" i="17"/>
  <c r="X90" i="17"/>
  <c r="J90" i="17"/>
  <c r="L90" i="17"/>
  <c r="T119" i="17"/>
  <c r="AH119" i="17"/>
  <c r="W119" i="17"/>
  <c r="K119" i="17"/>
  <c r="M119" i="17"/>
  <c r="T72" i="17"/>
  <c r="O72" i="17"/>
  <c r="AN72" i="17"/>
  <c r="AK146" i="17"/>
  <c r="AL146" i="17"/>
  <c r="X146" i="17"/>
  <c r="J146" i="17"/>
  <c r="L146" i="17"/>
  <c r="M90" i="17"/>
  <c r="G90" i="17"/>
  <c r="AF90" i="17"/>
  <c r="R90" i="17"/>
  <c r="T90" i="17"/>
  <c r="M146" i="17"/>
  <c r="G146" i="17"/>
  <c r="AF146" i="17"/>
  <c r="R146" i="17"/>
  <c r="T146" i="17"/>
  <c r="U90" i="17"/>
  <c r="O90" i="17"/>
  <c r="AN90" i="17"/>
  <c r="Z90" i="17"/>
  <c r="AB90" i="17"/>
  <c r="AO120" i="17"/>
  <c r="J119" i="17"/>
  <c r="AE119" i="17"/>
  <c r="S119" i="17"/>
  <c r="U119" i="17"/>
  <c r="Q119" i="17"/>
  <c r="AM119" i="17"/>
  <c r="AA119" i="17"/>
  <c r="AC119" i="17"/>
  <c r="AL73" i="17"/>
  <c r="AD73" i="17"/>
  <c r="V73" i="17"/>
  <c r="N73" i="17"/>
  <c r="AK73" i="17"/>
  <c r="AC73" i="17"/>
  <c r="U73" i="17"/>
  <c r="M73" i="17"/>
  <c r="AJ73" i="17"/>
  <c r="AB73" i="17"/>
  <c r="T73" i="17"/>
  <c r="L73" i="17"/>
  <c r="AI73" i="17"/>
  <c r="AA73" i="17"/>
  <c r="S73" i="17"/>
  <c r="K73" i="17"/>
  <c r="AH73" i="17"/>
  <c r="Z73" i="17"/>
  <c r="R73" i="17"/>
  <c r="J73" i="17"/>
  <c r="AN73" i="17"/>
  <c r="AF73" i="17"/>
  <c r="X73" i="17"/>
  <c r="P73" i="17"/>
  <c r="H73" i="17"/>
  <c r="AM73" i="17"/>
  <c r="AE73" i="17"/>
  <c r="W73" i="17"/>
  <c r="O73" i="17"/>
  <c r="G73" i="17"/>
  <c r="Q73" i="17"/>
  <c r="I73" i="17"/>
  <c r="AO73" i="17"/>
  <c r="AG73" i="17"/>
  <c r="Y73" i="17"/>
  <c r="AJ72" i="17"/>
  <c r="AE72" i="17"/>
  <c r="Q72" i="17"/>
  <c r="K72" i="17"/>
  <c r="U146" i="17"/>
  <c r="O146" i="17"/>
  <c r="AN146" i="17"/>
  <c r="Z146" i="17"/>
  <c r="AB146" i="17"/>
  <c r="AK90" i="17"/>
  <c r="W90" i="17"/>
  <c r="I90" i="17"/>
  <c r="AH90" i="17"/>
  <c r="AC146" i="17"/>
  <c r="W146" i="17"/>
  <c r="I146" i="17"/>
  <c r="AH146" i="17"/>
  <c r="AJ146" i="17"/>
  <c r="L91" i="17"/>
  <c r="AE90" i="17"/>
  <c r="Q90" i="17"/>
  <c r="K90" i="17"/>
  <c r="AF91" i="17" l="1"/>
  <c r="G91" i="17"/>
  <c r="J147" i="17"/>
  <c r="AL91" i="17"/>
  <c r="Y91" i="17"/>
  <c r="AB147" i="17"/>
  <c r="AH91" i="17"/>
  <c r="AA91" i="17"/>
  <c r="S91" i="17"/>
  <c r="U91" i="17"/>
  <c r="AE120" i="17"/>
  <c r="X147" i="17"/>
  <c r="AJ120" i="17"/>
  <c r="AN147" i="17"/>
  <c r="AB120" i="17"/>
  <c r="T120" i="17"/>
  <c r="K120" i="17"/>
  <c r="S120" i="17"/>
  <c r="W120" i="17"/>
  <c r="I91" i="17"/>
  <c r="AJ91" i="17"/>
  <c r="O91" i="17"/>
  <c r="L120" i="17"/>
  <c r="AA120" i="17"/>
  <c r="P120" i="17"/>
  <c r="Z147" i="17"/>
  <c r="Q91" i="17"/>
  <c r="M91" i="17"/>
  <c r="M120" i="17"/>
  <c r="AI120" i="17"/>
  <c r="I120" i="17"/>
  <c r="L147" i="17"/>
  <c r="Q120" i="17"/>
  <c r="AG91" i="17"/>
  <c r="AC91" i="17"/>
  <c r="U120" i="17"/>
  <c r="N120" i="17"/>
  <c r="Y120" i="17"/>
  <c r="J120" i="17"/>
  <c r="G120" i="17"/>
  <c r="AG120" i="17"/>
  <c r="V147" i="17"/>
  <c r="K91" i="17"/>
  <c r="AD91" i="17"/>
  <c r="R120" i="17"/>
  <c r="O120" i="17"/>
  <c r="AN91" i="17"/>
  <c r="AO91" i="17"/>
  <c r="AI91" i="17"/>
  <c r="AK91" i="17"/>
  <c r="W91" i="17"/>
  <c r="Q121" i="17"/>
  <c r="H120" i="17"/>
  <c r="AN120" i="17"/>
  <c r="I147" i="17"/>
  <c r="AH147" i="17"/>
  <c r="AJ147" i="17"/>
  <c r="AD147" i="17"/>
  <c r="H91" i="17"/>
  <c r="J91" i="17"/>
  <c r="Q147" i="17"/>
  <c r="K147" i="17"/>
  <c r="M147" i="17"/>
  <c r="AL147" i="17"/>
  <c r="AM92" i="17"/>
  <c r="AH92" i="17"/>
  <c r="AE91" i="17"/>
  <c r="P91" i="17"/>
  <c r="R91" i="17"/>
  <c r="T91" i="17"/>
  <c r="N91" i="17"/>
  <c r="AM91" i="17"/>
  <c r="AC120" i="17"/>
  <c r="Z120" i="17"/>
  <c r="V120" i="17"/>
  <c r="X120" i="17"/>
  <c r="AK120" i="17"/>
  <c r="Y147" i="17"/>
  <c r="S147" i="17"/>
  <c r="U147" i="17"/>
  <c r="G147" i="17"/>
  <c r="X91" i="17"/>
  <c r="Z91" i="17"/>
  <c r="AB91" i="17"/>
  <c r="V91" i="17"/>
  <c r="AM120" i="17"/>
  <c r="AH120" i="17"/>
  <c r="AD120" i="17"/>
  <c r="AF120" i="17"/>
  <c r="AL120" i="17"/>
  <c r="H147" i="17"/>
  <c r="AG147" i="17"/>
  <c r="AA147" i="17"/>
  <c r="AC147" i="17"/>
  <c r="O147" i="17"/>
  <c r="P147" i="17"/>
  <c r="AO147" i="17"/>
  <c r="AI147" i="17"/>
  <c r="AK147" i="17"/>
  <c r="V148" i="17"/>
  <c r="R148" i="17"/>
  <c r="AE147" i="17"/>
  <c r="AF147" i="17"/>
  <c r="R147" i="17"/>
  <c r="T147" i="17"/>
  <c r="N147" i="17"/>
  <c r="AM147" i="17"/>
  <c r="G121" i="17" l="1"/>
  <c r="W121" i="17"/>
  <c r="AB121" i="17"/>
  <c r="AF121" i="17"/>
  <c r="O148" i="17"/>
  <c r="M121" i="17"/>
  <c r="Y121" i="17"/>
  <c r="AC121" i="17"/>
  <c r="U121" i="17"/>
  <c r="H148" i="17"/>
  <c r="AG148" i="17"/>
  <c r="Z148" i="17"/>
  <c r="L148" i="17"/>
  <c r="Z121" i="17"/>
  <c r="AI148" i="17"/>
  <c r="AC148" i="17"/>
  <c r="K92" i="17"/>
  <c r="O121" i="17"/>
  <c r="T121" i="17"/>
  <c r="AJ92" i="17"/>
  <c r="T148" i="17"/>
  <c r="W148" i="17"/>
  <c r="AH148" i="17"/>
  <c r="M92" i="17"/>
  <c r="H92" i="17"/>
  <c r="N121" i="17"/>
  <c r="AM121" i="17"/>
  <c r="AJ121" i="17"/>
  <c r="AB148" i="17"/>
  <c r="AM148" i="17"/>
  <c r="U92" i="17"/>
  <c r="X92" i="17"/>
  <c r="AD121" i="17"/>
  <c r="J121" i="17"/>
  <c r="X121" i="17"/>
  <c r="AF92" i="17"/>
  <c r="AK148" i="17"/>
  <c r="AN148" i="17"/>
  <c r="S92" i="17"/>
  <c r="N92" i="17"/>
  <c r="Y92" i="17"/>
  <c r="AH121" i="17"/>
  <c r="AK121" i="17"/>
  <c r="AA121" i="17"/>
  <c r="AN121" i="17"/>
  <c r="I148" i="17"/>
  <c r="L92" i="17"/>
  <c r="V92" i="17"/>
  <c r="AG92" i="17"/>
  <c r="AI121" i="17"/>
  <c r="I121" i="17"/>
  <c r="S148" i="17"/>
  <c r="N148" i="17"/>
  <c r="Y148" i="17"/>
  <c r="T92" i="17"/>
  <c r="AL92" i="17"/>
  <c r="J92" i="17"/>
  <c r="R121" i="17"/>
  <c r="AL121" i="17"/>
  <c r="L121" i="17"/>
  <c r="AB92" i="17"/>
  <c r="G92" i="17"/>
  <c r="R92" i="17"/>
  <c r="AA92" i="17"/>
  <c r="AC92" i="17"/>
  <c r="O92" i="17"/>
  <c r="AN92" i="17"/>
  <c r="Z92" i="17"/>
  <c r="AL122" i="17"/>
  <c r="T122" i="17"/>
  <c r="K121" i="17"/>
  <c r="H121" i="17"/>
  <c r="AG121" i="17"/>
  <c r="AJ148" i="17"/>
  <c r="AD148" i="17"/>
  <c r="P148" i="17"/>
  <c r="AO148" i="17"/>
  <c r="AA148" i="17"/>
  <c r="M148" i="17"/>
  <c r="AL148" i="17"/>
  <c r="X148" i="17"/>
  <c r="J148" i="17"/>
  <c r="AI92" i="17"/>
  <c r="AK92" i="17"/>
  <c r="W92" i="17"/>
  <c r="I92" i="17"/>
  <c r="AE121" i="17"/>
  <c r="V121" i="17"/>
  <c r="S121" i="17"/>
  <c r="P121" i="17"/>
  <c r="AO121" i="17"/>
  <c r="K148" i="17"/>
  <c r="U148" i="17"/>
  <c r="G148" i="17"/>
  <c r="AF148" i="17"/>
  <c r="AD93" i="17"/>
  <c r="AE92" i="17"/>
  <c r="Q92" i="17"/>
  <c r="T149" i="17"/>
  <c r="AE148" i="17"/>
  <c r="Q148" i="17"/>
  <c r="AD92" i="17"/>
  <c r="P92" i="17"/>
  <c r="AO92" i="17"/>
  <c r="AC122" i="17" l="1"/>
  <c r="AO122" i="17"/>
  <c r="N149" i="17"/>
  <c r="I149" i="17"/>
  <c r="AI149" i="17"/>
  <c r="V93" i="17"/>
  <c r="P122" i="17"/>
  <c r="G122" i="17"/>
  <c r="AN149" i="17"/>
  <c r="S149" i="17"/>
  <c r="V149" i="17"/>
  <c r="Q149" i="17"/>
  <c r="L149" i="17"/>
  <c r="Q122" i="17"/>
  <c r="W122" i="17"/>
  <c r="O149" i="17"/>
  <c r="Y149" i="17"/>
  <c r="AB149" i="17"/>
  <c r="AG122" i="17"/>
  <c r="K122" i="17"/>
  <c r="W149" i="17"/>
  <c r="AO149" i="17"/>
  <c r="J122" i="17"/>
  <c r="R122" i="17"/>
  <c r="AK122" i="17"/>
  <c r="AJ149" i="17"/>
  <c r="AE149" i="17"/>
  <c r="J149" i="17"/>
  <c r="M149" i="17"/>
  <c r="M122" i="17"/>
  <c r="AH122" i="17"/>
  <c r="AD149" i="17"/>
  <c r="AM149" i="17"/>
  <c r="Z149" i="17"/>
  <c r="AK149" i="17"/>
  <c r="AL149" i="17"/>
  <c r="P149" i="17"/>
  <c r="K149" i="17"/>
  <c r="H122" i="17"/>
  <c r="AD122" i="17"/>
  <c r="AG93" i="17"/>
  <c r="AI93" i="17"/>
  <c r="X149" i="17"/>
  <c r="AH149" i="17"/>
  <c r="U149" i="17"/>
  <c r="K93" i="17"/>
  <c r="X122" i="17"/>
  <c r="AN122" i="17"/>
  <c r="S122" i="17"/>
  <c r="AK93" i="17"/>
  <c r="AI122" i="17"/>
  <c r="AN93" i="17"/>
  <c r="Y122" i="17"/>
  <c r="V122" i="17"/>
  <c r="G93" i="17"/>
  <c r="I93" i="17"/>
  <c r="M93" i="17"/>
  <c r="O93" i="17"/>
  <c r="Q93" i="17"/>
  <c r="S93" i="17"/>
  <c r="U93" i="17"/>
  <c r="O123" i="17"/>
  <c r="W123" i="17"/>
  <c r="AC123" i="17"/>
  <c r="R123" i="17"/>
  <c r="AO123" i="17"/>
  <c r="AG123" i="17"/>
  <c r="S123" i="17"/>
  <c r="AE122" i="17"/>
  <c r="AB122" i="17"/>
  <c r="G149" i="17"/>
  <c r="AF149" i="17"/>
  <c r="R149" i="17"/>
  <c r="X93" i="17"/>
  <c r="Z93" i="17"/>
  <c r="AB93" i="17"/>
  <c r="Z122" i="17"/>
  <c r="AF122" i="17"/>
  <c r="N122" i="17"/>
  <c r="AM122" i="17"/>
  <c r="AJ122" i="17"/>
  <c r="W94" i="17"/>
  <c r="H93" i="17"/>
  <c r="J93" i="17"/>
  <c r="L93" i="17"/>
  <c r="W93" i="17"/>
  <c r="N93" i="17"/>
  <c r="P93" i="17"/>
  <c r="R93" i="17"/>
  <c r="T93" i="17"/>
  <c r="AE93" i="17"/>
  <c r="AA122" i="17"/>
  <c r="AF93" i="17"/>
  <c r="Y93" i="17"/>
  <c r="AA93" i="17"/>
  <c r="AC93" i="17"/>
  <c r="AM93" i="17"/>
  <c r="AN150" i="17"/>
  <c r="AI150" i="17"/>
  <c r="AH150" i="17"/>
  <c r="H149" i="17"/>
  <c r="AG149" i="17"/>
  <c r="AA149" i="17"/>
  <c r="AC149" i="17"/>
  <c r="AO93" i="17"/>
  <c r="AH93" i="17"/>
  <c r="AJ93" i="17"/>
  <c r="AL93" i="17"/>
  <c r="I122" i="17"/>
  <c r="U122" i="17"/>
  <c r="O122" i="17"/>
  <c r="L122" i="17"/>
  <c r="G123" i="17" l="1"/>
  <c r="V150" i="17"/>
  <c r="I150" i="17"/>
  <c r="L150" i="17"/>
  <c r="AL150" i="17"/>
  <c r="AJ150" i="17"/>
  <c r="W150" i="17"/>
  <c r="Y150" i="17"/>
  <c r="T150" i="17"/>
  <c r="G150" i="17"/>
  <c r="AO150" i="17"/>
  <c r="J150" i="17"/>
  <c r="M150" i="17"/>
  <c r="P150" i="17"/>
  <c r="AA123" i="17"/>
  <c r="P123" i="17"/>
  <c r="Z150" i="17"/>
  <c r="U150" i="17"/>
  <c r="X150" i="17"/>
  <c r="K150" i="17"/>
  <c r="N150" i="17"/>
  <c r="AA94" i="17"/>
  <c r="Q150" i="17"/>
  <c r="S150" i="17"/>
  <c r="AK150" i="17"/>
  <c r="AM150" i="17"/>
  <c r="AN94" i="17"/>
  <c r="AI94" i="17"/>
  <c r="L123" i="17"/>
  <c r="AJ123" i="17"/>
  <c r="AF123" i="17"/>
  <c r="H150" i="17"/>
  <c r="P94" i="17"/>
  <c r="R94" i="17"/>
  <c r="AI123" i="17"/>
  <c r="U123" i="17"/>
  <c r="AN123" i="17"/>
  <c r="AC94" i="17"/>
  <c r="AH94" i="17"/>
  <c r="I94" i="17"/>
  <c r="R150" i="17"/>
  <c r="AB150" i="17"/>
  <c r="AD150" i="17"/>
  <c r="AF150" i="17"/>
  <c r="M94" i="17"/>
  <c r="AF94" i="17"/>
  <c r="Q123" i="17"/>
  <c r="AD123" i="17"/>
  <c r="N94" i="17"/>
  <c r="K94" i="17"/>
  <c r="Y94" i="17"/>
  <c r="AJ94" i="17"/>
  <c r="AL94" i="17"/>
  <c r="AO94" i="17"/>
  <c r="U94" i="17"/>
  <c r="T123" i="17"/>
  <c r="J123" i="17"/>
  <c r="AK123" i="17"/>
  <c r="K95" i="17"/>
  <c r="H94" i="17"/>
  <c r="AG94" i="17"/>
  <c r="AE94" i="17"/>
  <c r="AH124" i="17"/>
  <c r="AE123" i="17"/>
  <c r="O94" i="17"/>
  <c r="Q94" i="17"/>
  <c r="L94" i="17"/>
  <c r="AM94" i="17"/>
  <c r="AB123" i="17"/>
  <c r="Z123" i="17"/>
  <c r="N123" i="17"/>
  <c r="AM123" i="17"/>
  <c r="AG150" i="17"/>
  <c r="AA150" i="17"/>
  <c r="AC150" i="17"/>
  <c r="O150" i="17"/>
  <c r="AK94" i="17"/>
  <c r="AB94" i="17"/>
  <c r="AD94" i="17"/>
  <c r="V94" i="17"/>
  <c r="J94" i="17"/>
  <c r="I123" i="17"/>
  <c r="AH123" i="17"/>
  <c r="V123" i="17"/>
  <c r="H123" i="17"/>
  <c r="AO151" i="17"/>
  <c r="AH151" i="17"/>
  <c r="T151" i="17"/>
  <c r="AE150" i="17"/>
  <c r="X94" i="17"/>
  <c r="G94" i="17"/>
  <c r="T94" i="17"/>
  <c r="S94" i="17"/>
  <c r="Z94" i="17"/>
  <c r="K123" i="17"/>
  <c r="Y123" i="17"/>
  <c r="M123" i="17"/>
  <c r="AL123" i="17"/>
  <c r="X123" i="17"/>
  <c r="P151" i="17" l="1"/>
  <c r="AA151" i="17"/>
  <c r="AB151" i="17"/>
  <c r="AJ151" i="17"/>
  <c r="V151" i="17"/>
  <c r="V95" i="17"/>
  <c r="AJ95" i="17"/>
  <c r="AL95" i="17"/>
  <c r="AD151" i="17"/>
  <c r="Q95" i="17"/>
  <c r="G95" i="17"/>
  <c r="X95" i="17"/>
  <c r="AO95" i="17"/>
  <c r="AG151" i="17"/>
  <c r="H95" i="17"/>
  <c r="Z95" i="17"/>
  <c r="I95" i="17"/>
  <c r="AI95" i="17"/>
  <c r="AF95" i="17"/>
  <c r="AC95" i="17"/>
  <c r="U95" i="17"/>
  <c r="AI151" i="17"/>
  <c r="N124" i="17"/>
  <c r="M124" i="17"/>
  <c r="AM124" i="17"/>
  <c r="H151" i="17"/>
  <c r="Y124" i="17"/>
  <c r="R95" i="17"/>
  <c r="S124" i="17"/>
  <c r="M151" i="17"/>
  <c r="AL151" i="17"/>
  <c r="X151" i="17"/>
  <c r="J151" i="17"/>
  <c r="V124" i="17"/>
  <c r="U124" i="17"/>
  <c r="H124" i="17"/>
  <c r="AG124" i="17"/>
  <c r="AA124" i="17"/>
  <c r="AN95" i="17"/>
  <c r="L95" i="17"/>
  <c r="O95" i="17"/>
  <c r="AH95" i="17"/>
  <c r="AK95" i="17"/>
  <c r="U151" i="17"/>
  <c r="G151" i="17"/>
  <c r="AF151" i="17"/>
  <c r="R151" i="17"/>
  <c r="AD124" i="17"/>
  <c r="AC124" i="17"/>
  <c r="P124" i="17"/>
  <c r="AO124" i="17"/>
  <c r="AI124" i="17"/>
  <c r="T95" i="17"/>
  <c r="AG95" i="17"/>
  <c r="W95" i="17"/>
  <c r="AC151" i="17"/>
  <c r="O151" i="17"/>
  <c r="AN151" i="17"/>
  <c r="Z151" i="17"/>
  <c r="AL124" i="17"/>
  <c r="AK124" i="17"/>
  <c r="X124" i="17"/>
  <c r="J124" i="17"/>
  <c r="H96" i="17"/>
  <c r="AC96" i="17"/>
  <c r="L96" i="17"/>
  <c r="W96" i="17"/>
  <c r="AA96" i="17"/>
  <c r="AE95" i="17"/>
  <c r="S95" i="17"/>
  <c r="AK151" i="17"/>
  <c r="W151" i="17"/>
  <c r="I151" i="17"/>
  <c r="L124" i="17"/>
  <c r="G124" i="17"/>
  <c r="AF124" i="17"/>
  <c r="R124" i="17"/>
  <c r="Y95" i="17"/>
  <c r="N95" i="17"/>
  <c r="AM95" i="17"/>
  <c r="AA95" i="17"/>
  <c r="T124" i="17"/>
  <c r="O124" i="17"/>
  <c r="AN124" i="17"/>
  <c r="Z124" i="17"/>
  <c r="Y152" i="17"/>
  <c r="G152" i="17"/>
  <c r="AE151" i="17"/>
  <c r="Q151" i="17"/>
  <c r="K151" i="17"/>
  <c r="L151" i="17"/>
  <c r="N151" i="17"/>
  <c r="AM151" i="17"/>
  <c r="Y151" i="17"/>
  <c r="S151" i="17"/>
  <c r="AB124" i="17"/>
  <c r="W124" i="17"/>
  <c r="I124" i="17"/>
  <c r="P95" i="17"/>
  <c r="AB95" i="17"/>
  <c r="AD95" i="17"/>
  <c r="J95" i="17"/>
  <c r="M95" i="17"/>
  <c r="J125" i="17"/>
  <c r="AJ124" i="17"/>
  <c r="AE124" i="17"/>
  <c r="Q124" i="17"/>
  <c r="K124" i="17"/>
  <c r="AK152" i="17" l="1"/>
  <c r="Q96" i="17"/>
  <c r="AG152" i="17"/>
  <c r="AA152" i="17"/>
  <c r="Z96" i="17"/>
  <c r="L152" i="17"/>
  <c r="N152" i="17"/>
  <c r="O152" i="17"/>
  <c r="H152" i="17"/>
  <c r="J152" i="17"/>
  <c r="T152" i="17"/>
  <c r="V152" i="17"/>
  <c r="R152" i="17"/>
  <c r="AB152" i="17"/>
  <c r="AF152" i="17"/>
  <c r="Z152" i="17"/>
  <c r="AJ152" i="17"/>
  <c r="AL152" i="17"/>
  <c r="AM152" i="17"/>
  <c r="AN152" i="17"/>
  <c r="AH152" i="17"/>
  <c r="M152" i="17"/>
  <c r="AM96" i="17"/>
  <c r="W152" i="17"/>
  <c r="I152" i="17"/>
  <c r="K152" i="17"/>
  <c r="U152" i="17"/>
  <c r="X152" i="17"/>
  <c r="AD152" i="17"/>
  <c r="AE152" i="17"/>
  <c r="Q152" i="17"/>
  <c r="S152" i="17"/>
  <c r="AC152" i="17"/>
  <c r="Y125" i="17"/>
  <c r="AE125" i="17"/>
  <c r="R125" i="17"/>
  <c r="T125" i="17"/>
  <c r="N125" i="17"/>
  <c r="I96" i="17"/>
  <c r="AH96" i="17"/>
  <c r="AK96" i="17"/>
  <c r="W125" i="17"/>
  <c r="L125" i="17"/>
  <c r="AH97" i="17"/>
  <c r="P96" i="17"/>
  <c r="P152" i="17"/>
  <c r="AO152" i="17"/>
  <c r="AI152" i="17"/>
  <c r="AI96" i="17"/>
  <c r="Y96" i="17"/>
  <c r="T96" i="17"/>
  <c r="N96" i="17"/>
  <c r="X96" i="17"/>
  <c r="AG125" i="17"/>
  <c r="AM125" i="17"/>
  <c r="Z125" i="17"/>
  <c r="AB125" i="17"/>
  <c r="V125" i="17"/>
  <c r="I125" i="17"/>
  <c r="H125" i="17"/>
  <c r="AH125" i="17"/>
  <c r="AJ125" i="17"/>
  <c r="AD125" i="17"/>
  <c r="Q125" i="17"/>
  <c r="P125" i="17"/>
  <c r="K125" i="17"/>
  <c r="M125" i="17"/>
  <c r="AL125" i="17"/>
  <c r="P153" i="17"/>
  <c r="Y153" i="17"/>
  <c r="L153" i="17"/>
  <c r="J153" i="17"/>
  <c r="G96" i="17"/>
  <c r="AG96" i="17"/>
  <c r="AB96" i="17"/>
  <c r="V96" i="17"/>
  <c r="AF96" i="17"/>
  <c r="K96" i="17"/>
  <c r="AO96" i="17"/>
  <c r="AJ96" i="17"/>
  <c r="AD96" i="17"/>
  <c r="AN96" i="17"/>
  <c r="AO125" i="17"/>
  <c r="X125" i="17"/>
  <c r="U125" i="17"/>
  <c r="G125" i="17"/>
  <c r="AF125" i="17"/>
  <c r="AA125" i="17"/>
  <c r="AC125" i="17"/>
  <c r="O96" i="17"/>
  <c r="J96" i="17"/>
  <c r="M96" i="17"/>
  <c r="AL96" i="17"/>
  <c r="S125" i="17"/>
  <c r="O125" i="17"/>
  <c r="AN125" i="17"/>
  <c r="AI125" i="17"/>
  <c r="AK125" i="17"/>
  <c r="S96" i="17"/>
  <c r="R96" i="17"/>
  <c r="U96" i="17"/>
  <c r="AE96" i="17"/>
  <c r="H153" i="17" l="1"/>
  <c r="Z153" i="17"/>
  <c r="T97" i="17"/>
  <c r="AB97" i="17"/>
  <c r="O97" i="17"/>
  <c r="AB153" i="17"/>
  <c r="W97" i="17"/>
  <c r="I97" i="17"/>
  <c r="Z97" i="17"/>
  <c r="AJ153" i="17"/>
  <c r="X153" i="17"/>
  <c r="AN97" i="17"/>
  <c r="M153" i="17"/>
  <c r="AG153" i="17"/>
  <c r="AO153" i="17"/>
  <c r="V153" i="17"/>
  <c r="AH153" i="17"/>
  <c r="AD153" i="17"/>
  <c r="K153" i="17"/>
  <c r="AL153" i="17"/>
  <c r="L127" i="17"/>
  <c r="AE126" i="17"/>
  <c r="Q126" i="17"/>
  <c r="AJ126" i="17"/>
  <c r="S126" i="17"/>
  <c r="N126" i="17"/>
  <c r="Y126" i="17"/>
  <c r="AK98" i="17"/>
  <c r="AJ97" i="17"/>
  <c r="AE97" i="17"/>
  <c r="Q97" i="17"/>
  <c r="K97" i="17"/>
  <c r="T126" i="17"/>
  <c r="AI126" i="17"/>
  <c r="AD126" i="17"/>
  <c r="P126" i="17"/>
  <c r="AO126" i="17"/>
  <c r="S153" i="17"/>
  <c r="U153" i="17"/>
  <c r="G153" i="17"/>
  <c r="AF153" i="17"/>
  <c r="N97" i="17"/>
  <c r="M97" i="17"/>
  <c r="AM97" i="17"/>
  <c r="Y97" i="17"/>
  <c r="S97" i="17"/>
  <c r="AB126" i="17"/>
  <c r="K126" i="17"/>
  <c r="J126" i="17"/>
  <c r="M126" i="17"/>
  <c r="AL126" i="17"/>
  <c r="X126" i="17"/>
  <c r="AA153" i="17"/>
  <c r="AC153" i="17"/>
  <c r="O153" i="17"/>
  <c r="AN153" i="17"/>
  <c r="V97" i="17"/>
  <c r="U97" i="17"/>
  <c r="H97" i="17"/>
  <c r="AG97" i="17"/>
  <c r="AA97" i="17"/>
  <c r="AM126" i="17"/>
  <c r="L126" i="17"/>
  <c r="AA126" i="17"/>
  <c r="V126" i="17"/>
  <c r="H126" i="17"/>
  <c r="AG126" i="17"/>
  <c r="R126" i="17"/>
  <c r="U126" i="17"/>
  <c r="G126" i="17"/>
  <c r="AF126" i="17"/>
  <c r="AI153" i="17"/>
  <c r="AK153" i="17"/>
  <c r="W153" i="17"/>
  <c r="I153" i="17"/>
  <c r="AD97" i="17"/>
  <c r="AC97" i="17"/>
  <c r="P97" i="17"/>
  <c r="AO97" i="17"/>
  <c r="AI97" i="17"/>
  <c r="Z126" i="17"/>
  <c r="AC126" i="17"/>
  <c r="O126" i="17"/>
  <c r="AN126" i="17"/>
  <c r="AE153" i="17"/>
  <c r="Q153" i="17"/>
  <c r="AL97" i="17"/>
  <c r="AK97" i="17"/>
  <c r="X97" i="17"/>
  <c r="J97" i="17"/>
  <c r="AH126" i="17"/>
  <c r="AK126" i="17"/>
  <c r="W126" i="17"/>
  <c r="I126" i="17"/>
  <c r="R153" i="17"/>
  <c r="T153" i="17"/>
  <c r="N153" i="17"/>
  <c r="AM153" i="17"/>
  <c r="L97" i="17"/>
  <c r="G97" i="17"/>
  <c r="AF97" i="17"/>
  <c r="R97" i="17"/>
  <c r="O98" i="17" l="1"/>
  <c r="AL127" i="17"/>
  <c r="W98" i="17"/>
  <c r="H127" i="17"/>
  <c r="AN98" i="17"/>
  <c r="AG127" i="17"/>
  <c r="J98" i="17"/>
  <c r="K127" i="17"/>
  <c r="AI98" i="17"/>
  <c r="L98" i="17"/>
  <c r="M127" i="17"/>
  <c r="U127" i="17"/>
  <c r="S127" i="17"/>
  <c r="AD127" i="17"/>
  <c r="AA127" i="17"/>
  <c r="O127" i="17"/>
  <c r="Q127" i="17"/>
  <c r="AM127" i="17"/>
  <c r="Y127" i="17"/>
  <c r="I99" i="17"/>
  <c r="I98" i="17"/>
  <c r="AE98" i="17"/>
  <c r="R98" i="17"/>
  <c r="T98" i="17"/>
  <c r="N98" i="17"/>
  <c r="Q98" i="17"/>
  <c r="AM98" i="17"/>
  <c r="Z98" i="17"/>
  <c r="AB98" i="17"/>
  <c r="V98" i="17"/>
  <c r="AC127" i="17"/>
  <c r="P127" i="17"/>
  <c r="AO127" i="17"/>
  <c r="AI127" i="17"/>
  <c r="Y98" i="17"/>
  <c r="H98" i="17"/>
  <c r="AH98" i="17"/>
  <c r="AJ98" i="17"/>
  <c r="AD98" i="17"/>
  <c r="G127" i="17"/>
  <c r="AK127" i="17"/>
  <c r="X127" i="17"/>
  <c r="J127" i="17"/>
  <c r="AG98" i="17"/>
  <c r="P98" i="17"/>
  <c r="K98" i="17"/>
  <c r="M98" i="17"/>
  <c r="AL98" i="17"/>
  <c r="W128" i="17"/>
  <c r="AF127" i="17"/>
  <c r="R127" i="17"/>
  <c r="T127" i="17"/>
  <c r="AO98" i="17"/>
  <c r="X98" i="17"/>
  <c r="S98" i="17"/>
  <c r="U98" i="17"/>
  <c r="W127" i="17"/>
  <c r="N127" i="17"/>
  <c r="AN127" i="17"/>
  <c r="Z127" i="17"/>
  <c r="AB127" i="17"/>
  <c r="G98" i="17"/>
  <c r="AF98" i="17"/>
  <c r="AA98" i="17"/>
  <c r="AC98" i="17"/>
  <c r="AE127" i="17"/>
  <c r="V127" i="17"/>
  <c r="I127" i="17"/>
  <c r="AH127" i="17"/>
  <c r="AJ127" i="17"/>
  <c r="L128" i="17" l="1"/>
  <c r="J128" i="17"/>
  <c r="T99" i="17"/>
  <c r="H128" i="17"/>
  <c r="L99" i="17"/>
  <c r="AD99" i="17"/>
  <c r="AO99" i="17"/>
  <c r="Q128" i="17"/>
  <c r="AJ99" i="17"/>
  <c r="V99" i="17"/>
  <c r="J99" i="17"/>
  <c r="AL99" i="17"/>
  <c r="K99" i="17"/>
  <c r="H99" i="17"/>
  <c r="AA99" i="17"/>
  <c r="P99" i="17"/>
  <c r="AI99" i="17"/>
  <c r="X99" i="17"/>
  <c r="M99" i="17"/>
  <c r="AG99" i="17"/>
  <c r="P128" i="17"/>
  <c r="AO128" i="17"/>
  <c r="AJ128" i="17"/>
  <c r="AD128" i="17"/>
  <c r="R99" i="17"/>
  <c r="U99" i="17"/>
  <c r="G99" i="17"/>
  <c r="AF99" i="17"/>
  <c r="X128" i="17"/>
  <c r="K128" i="17"/>
  <c r="M128" i="17"/>
  <c r="AL128" i="17"/>
  <c r="Z99" i="17"/>
  <c r="AC99" i="17"/>
  <c r="O99" i="17"/>
  <c r="AN99" i="17"/>
  <c r="AF128" i="17"/>
  <c r="S128" i="17"/>
  <c r="U128" i="17"/>
  <c r="G128" i="17"/>
  <c r="AH99" i="17"/>
  <c r="AK99" i="17"/>
  <c r="W99" i="17"/>
  <c r="R128" i="17"/>
  <c r="AN128" i="17"/>
  <c r="AA128" i="17"/>
  <c r="AC128" i="17"/>
  <c r="O128" i="17"/>
  <c r="L100" i="17"/>
  <c r="AE99" i="17"/>
  <c r="Q99" i="17"/>
  <c r="AG128" i="17"/>
  <c r="AB128" i="17"/>
  <c r="V128" i="17"/>
  <c r="Z128" i="17"/>
  <c r="I128" i="17"/>
  <c r="AI128" i="17"/>
  <c r="AK128" i="17"/>
  <c r="AB99" i="17"/>
  <c r="S99" i="17"/>
  <c r="N99" i="17"/>
  <c r="AM99" i="17"/>
  <c r="Y99" i="17"/>
  <c r="AH129" i="17"/>
  <c r="Z129" i="17"/>
  <c r="R129" i="17"/>
  <c r="J129" i="17"/>
  <c r="AO129" i="17"/>
  <c r="AG129" i="17"/>
  <c r="Y129" i="17"/>
  <c r="Q129" i="17"/>
  <c r="I129" i="17"/>
  <c r="AN129" i="17"/>
  <c r="AF129" i="17"/>
  <c r="X129" i="17"/>
  <c r="P129" i="17"/>
  <c r="H129" i="17"/>
  <c r="AM129" i="17"/>
  <c r="AE129" i="17"/>
  <c r="W129" i="17"/>
  <c r="O129" i="17"/>
  <c r="G129" i="17"/>
  <c r="AL129" i="17"/>
  <c r="AD129" i="17"/>
  <c r="V129" i="17"/>
  <c r="N129" i="17"/>
  <c r="AJ129" i="17"/>
  <c r="AB129" i="17"/>
  <c r="T129" i="17"/>
  <c r="L129" i="17"/>
  <c r="AI129" i="17"/>
  <c r="AA129" i="17"/>
  <c r="S129" i="17"/>
  <c r="K129" i="17"/>
  <c r="U129" i="17"/>
  <c r="M129" i="17"/>
  <c r="AK129" i="17"/>
  <c r="AC129" i="17"/>
  <c r="AE128" i="17"/>
  <c r="AH128" i="17"/>
  <c r="Y128" i="17"/>
  <c r="T128" i="17"/>
  <c r="N128" i="17"/>
  <c r="AM128" i="17"/>
  <c r="K100" i="17" l="1"/>
  <c r="O100" i="17"/>
  <c r="AE100" i="17"/>
  <c r="AL100" i="17"/>
  <c r="H100" i="17"/>
  <c r="Z100" i="17"/>
  <c r="M100" i="17"/>
  <c r="P100" i="17"/>
  <c r="S100" i="17"/>
  <c r="U100" i="17"/>
  <c r="AN100" i="17"/>
  <c r="AA100" i="17"/>
  <c r="AC100" i="17"/>
  <c r="Q100" i="17"/>
  <c r="AI100" i="17"/>
  <c r="Y100" i="17"/>
  <c r="AB100" i="17"/>
  <c r="N100" i="17"/>
  <c r="AG100" i="17"/>
  <c r="G100" i="17"/>
  <c r="AD100" i="17"/>
  <c r="AO100" i="17"/>
  <c r="AM100" i="17"/>
  <c r="AK100" i="17"/>
  <c r="X100" i="17"/>
  <c r="J100" i="17"/>
  <c r="W101" i="17"/>
  <c r="AF100" i="17"/>
  <c r="R100" i="17"/>
  <c r="T100" i="17"/>
  <c r="W100" i="17"/>
  <c r="V100" i="17"/>
  <c r="I100" i="17"/>
  <c r="AH100" i="17"/>
  <c r="AJ100" i="17"/>
  <c r="P101" i="17" l="1"/>
  <c r="S101" i="17"/>
  <c r="AF101" i="17"/>
  <c r="L101" i="17"/>
  <c r="AD101" i="17"/>
  <c r="AN101" i="17"/>
  <c r="AB101" i="17"/>
  <c r="AL101" i="17"/>
  <c r="J101" i="17"/>
  <c r="AG101" i="17"/>
  <c r="M101" i="17"/>
  <c r="O101" i="17"/>
  <c r="Q101" i="17"/>
  <c r="AJ101" i="17"/>
  <c r="G101" i="17"/>
  <c r="Z101" i="17"/>
  <c r="AO101" i="17"/>
  <c r="U101" i="17"/>
  <c r="H101" i="17"/>
  <c r="K101" i="17"/>
  <c r="AC101" i="17"/>
  <c r="X101" i="17"/>
  <c r="AA101" i="17"/>
  <c r="V101" i="17"/>
  <c r="R101" i="17"/>
  <c r="I101" i="17"/>
  <c r="AI101" i="17"/>
  <c r="AK101" i="17"/>
  <c r="AH102" i="17"/>
  <c r="Z102" i="17"/>
  <c r="R102" i="17"/>
  <c r="J102" i="17"/>
  <c r="AO102" i="17"/>
  <c r="AG102" i="17"/>
  <c r="Y102" i="17"/>
  <c r="Q102" i="17"/>
  <c r="I102" i="17"/>
  <c r="AN102" i="17"/>
  <c r="AF102" i="17"/>
  <c r="X102" i="17"/>
  <c r="P102" i="17"/>
  <c r="H102" i="17"/>
  <c r="AM102" i="17"/>
  <c r="AE102" i="17"/>
  <c r="W102" i="17"/>
  <c r="O102" i="17"/>
  <c r="G102" i="17"/>
  <c r="AL102" i="17"/>
  <c r="AD102" i="17"/>
  <c r="V102" i="17"/>
  <c r="N102" i="17"/>
  <c r="AJ102" i="17"/>
  <c r="AB102" i="17"/>
  <c r="T102" i="17"/>
  <c r="L102" i="17"/>
  <c r="AI102" i="17"/>
  <c r="AA102" i="17"/>
  <c r="S102" i="17"/>
  <c r="K102" i="17"/>
  <c r="M102" i="17"/>
  <c r="AK102" i="17"/>
  <c r="AC102" i="17"/>
  <c r="U102" i="17"/>
  <c r="AE101" i="17"/>
  <c r="AH101" i="17"/>
  <c r="Y101" i="17"/>
  <c r="T101" i="17"/>
  <c r="N101" i="17"/>
  <c r="AM101" i="17"/>
</calcChain>
</file>

<file path=xl/sharedStrings.xml><?xml version="1.0" encoding="utf-8"?>
<sst xmlns="http://schemas.openxmlformats.org/spreadsheetml/2006/main" count="701" uniqueCount="283">
  <si>
    <t>MẪU BIỂU ĐỒ GANTT</t>
  </si>
  <si>
    <t>Mẹo sử dụng Smartsheet ➜</t>
  </si>
  <si>
    <t>Lịch trình trực quan của biểu đồ Gantt cho phép bạn xem chi tiết mỗi công việc cũng như các phần thuộc về dự án.</t>
  </si>
  <si>
    <t>Tham khảo khóa học:</t>
  </si>
  <si>
    <t>Khóa học Kỹ năng lập kế hoạch và viết báo cáo tại Học Viện Quản Lý PACE</t>
  </si>
  <si>
    <t>TIÊU ĐỀ DỰ ÁN</t>
  </si>
  <si>
    <t>DEMO QUẢN LÝ DỰ ÁN A BẰNG GANTT CHART</t>
  </si>
  <si>
    <t>TÊN CÔNG TY</t>
  </si>
  <si>
    <t>Học Viện Quản Lý PACE</t>
  </si>
  <si>
    <t>NGƯỜI QUẢN LÝ DỰ ÁN</t>
  </si>
  <si>
    <t>Nguyễn Thành Phú</t>
  </si>
  <si>
    <t>NGÀY</t>
  </si>
  <si>
    <t>LIÊN HỆ</t>
  </si>
  <si>
    <t>https://bit.ly/nguyen-thanh-phu</t>
  </si>
  <si>
    <r>
      <rPr>
        <b/>
        <i/>
        <sz val="11"/>
        <color rgb="FF000000"/>
        <rFont val="Roboto"/>
      </rPr>
      <t xml:space="preserve">Xem hướng dẫn chi tiết: </t>
    </r>
    <r>
      <rPr>
        <b/>
        <i/>
        <u/>
        <sz val="11"/>
        <color rgb="FF1155CC"/>
        <rFont val="Roboto"/>
      </rPr>
      <t>Vẽ sơ đồ GANTT CHART</t>
    </r>
  </si>
  <si>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</si>
  <si>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</si>
  <si>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</si>
  <si>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</si>
  <si>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</si>
  <si>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</si>
  <si>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</si>
  <si>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GIAI ĐOẠN 1</t>
  </si>
  <si>
    <t>GIAI ĐOẠN 2</t>
  </si>
  <si>
    <t>GIAI ĐOẠN 3</t>
  </si>
  <si>
    <t>GIAI ĐOẠN 4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</si>
  <si>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</si>
  <si>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</si>
  <si>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</si>
  <si>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</si>
  <si>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</si>
  <si>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</si>
  <si>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</si>
  <si>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</si>
  <si>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</si>
  <si>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</si>
  <si>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</si>
  <si>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</si>
  <si>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T2</t>
  </si>
  <si>
    <t>T3</t>
  </si>
  <si>
    <t>T4</t>
  </si>
  <si>
    <t>T5</t>
  </si>
  <si>
    <t>T6</t>
  </si>
  <si>
    <t>Lên ý tưởng và thiết lập dự án</t>
  </si>
  <si>
    <t>Hiến chương dự án</t>
  </si>
  <si>
    <t>Tên người</t>
  </si>
  <si>
    <t>1.1.1</t>
  </si>
  <si>
    <t>Bản sửa đổi hiến chương dự án</t>
  </si>
  <si>
    <t>Nghiên cứu</t>
  </si>
  <si>
    <t>Dự toán</t>
  </si>
  <si>
    <t>Các bên liên quan</t>
  </si>
  <si>
    <t>Nguyên tắc</t>
  </si>
  <si>
    <t>Thiết lập dự án</t>
  </si>
  <si>
    <t>Định nghĩa và hoạch định dự án</t>
  </si>
  <si>
    <t>Đặt ra mục tiêu và phạm vi</t>
  </si>
  <si>
    <t>Ngân sách</t>
  </si>
  <si>
    <t>Kế hoạch truyền thông</t>
  </si>
  <si>
    <t>...</t>
  </si>
  <si>
    <t>Quản lý rủi ro</t>
  </si>
  <si>
    <t>3.1</t>
  </si>
  <si>
    <t>Trạng thái và theo dõi</t>
  </si>
  <si>
    <t>3.2</t>
  </si>
  <si>
    <t>Chỉ số đo lường hiệu quả công việc (KPI)</t>
  </si>
  <si>
    <t>3.2.1</t>
  </si>
  <si>
    <t>Giám sát</t>
  </si>
  <si>
    <t>3.2.2</t>
  </si>
  <si>
    <t>Dự đoán</t>
  </si>
  <si>
    <t>3.3</t>
  </si>
  <si>
    <t>Bản cập nhật dự án</t>
  </si>
  <si>
    <t>3.3.1</t>
  </si>
  <si>
    <t>Bản cập nhật biểu đồ</t>
  </si>
  <si>
    <t>Hiệu quả của dự án / Giám sát</t>
  </si>
  <si>
    <t>Mục tiêu của dự án</t>
  </si>
  <si>
    <t>Kết quả chuyển giao có chất lượng</t>
  </si>
  <si>
    <t>Theo dõi nỗ lực và chi phí</t>
  </si>
  <si>
    <t>Hiệu quả của dự án</t>
  </si>
  <si>
    <t>Today</t>
  </si>
  <si>
    <r>
      <rPr>
        <b/>
        <i/>
        <sz val="11"/>
        <color rgb="FF000000"/>
        <rFont val="Roboto"/>
      </rPr>
      <t xml:space="preserve">Xem hướng dẫn chi tiết: </t>
    </r>
    <r>
      <rPr>
        <b/>
        <i/>
        <u/>
        <sz val="11"/>
        <color rgb="FF1155CC"/>
        <rFont val="Roboto"/>
      </rPr>
      <t>Vẽ sơ đồ GANTT CHART</t>
    </r>
  </si>
  <si>
    <t>DEV 1</t>
  </si>
  <si>
    <t>Tìm hiểu tổng quan về Pega</t>
  </si>
  <si>
    <t xml:space="preserve">DailySyncUpForFinacle </t>
  </si>
  <si>
    <t xml:space="preserve">ExcptionalDailySyncUp </t>
  </si>
  <si>
    <t xml:space="preserve">ExceptionalDailySyncUpForFinacle </t>
  </si>
  <si>
    <t xml:space="preserve">UpdateSFCAllocation </t>
  </si>
  <si>
    <t xml:space="preserve">CAMobileAppBODForLoans </t>
  </si>
  <si>
    <t xml:space="preserve">PreDueAutodialerForLoans </t>
  </si>
  <si>
    <t xml:space="preserve">PrioritizeAuodialers </t>
  </si>
  <si>
    <t xml:space="preserve">PostDuePrioritizeAuodialers </t>
  </si>
  <si>
    <t>DailySyncUpForFinnOne</t>
  </si>
  <si>
    <t>ExceptionalDailySyncUpForFinnOne</t>
  </si>
  <si>
    <t xml:space="preserve">ExceptionalDailySyncUpForVisionPlus </t>
  </si>
  <si>
    <t>PostDueAutodialer</t>
  </si>
  <si>
    <t>DailySyncUpForVisionPlus</t>
  </si>
  <si>
    <t>CAMobileAppBODForCards</t>
  </si>
  <si>
    <t>PreDueAutodialerForCards</t>
  </si>
  <si>
    <t xml:space="preserve">RefreshFinacleData </t>
  </si>
  <si>
    <t>PreDueSMSAndVB</t>
  </si>
  <si>
    <t xml:space="preserve">RefreshVisionPlusData </t>
  </si>
  <si>
    <t>PostDueSMSAndVB</t>
  </si>
  <si>
    <t>RefreshFinnOneData</t>
  </si>
  <si>
    <t xml:space="preserve">ExtractProcessCollectionData </t>
  </si>
  <si>
    <t>Destination configurations</t>
  </si>
  <si>
    <t>Prioritize properties</t>
  </si>
  <si>
    <t>Decision Tree properties</t>
  </si>
  <si>
    <t>PreDueSubPoolAllocation</t>
  </si>
  <si>
    <t>SetUpBucketAllocations</t>
  </si>
  <si>
    <t>PostDueSubPoolAllocation</t>
  </si>
  <si>
    <t>SyncUpProcessForBIXCollectionData</t>
  </si>
  <si>
    <t>#</t>
  </si>
  <si>
    <t>WORK TITLE</t>
  </si>
  <si>
    <t>PIC</t>
  </si>
  <si>
    <t>DAY(S)</t>
  </si>
  <si>
    <t>DEV 2</t>
  </si>
  <si>
    <t>DEV 3</t>
  </si>
  <si>
    <t>START DAY</t>
  </si>
  <si>
    <t>Contract/ Click to Call</t>
  </si>
  <si>
    <t>Manager Tools/ Switch Mode</t>
  </si>
  <si>
    <t>Admin Tools/ Unblock user</t>
  </si>
  <si>
    <t>Admin Tools/Invalidate Follow-up trail</t>
  </si>
  <si>
    <t>Admin Tools/ My Reportee</t>
  </si>
  <si>
    <t>Admin Tools/ Bulk Upload File Processing</t>
  </si>
  <si>
    <t>Data Table/ Bulk Transfer</t>
  </si>
  <si>
    <t>Data Table / Bulk FollowUp Data</t>
  </si>
  <si>
    <t>Data Table/ FC Profile Details</t>
  </si>
  <si>
    <t>Data Table/ Special Scheme Group</t>
  </si>
  <si>
    <t>Data Table/NFU Reason Codes</t>
  </si>
  <si>
    <t>Data Table/ User Activity Limit Data</t>
  </si>
  <si>
    <t>Data Table/ Eligible Deferred List</t>
  </si>
  <si>
    <t>Data Table/Action code</t>
  </si>
  <si>
    <t>Data Table/ Deliquency code</t>
  </si>
  <si>
    <t>Data Table/ RouteRobinPoolCategories</t>
  </si>
  <si>
    <t>Data Table/ WL4ROUNDROBINPriority</t>
  </si>
  <si>
    <t>Data Table/ Route Robin NFU</t>
  </si>
  <si>
    <t>Data Table/ Product list</t>
  </si>
  <si>
    <t>Data Table/ Intraday Callback Configuration</t>
  </si>
  <si>
    <t>Data Table/ Switch Mode Allocation</t>
  </si>
  <si>
    <t>Data Table/ List company B@W</t>
  </si>
  <si>
    <t>Data Table/ Bulk Upload New Phone numbers</t>
  </si>
  <si>
    <t>Data Table/ BlackListPhoneNos</t>
  </si>
  <si>
    <t>Data table/ Distribution Capacity</t>
  </si>
  <si>
    <t>Data table/ Persons contacted</t>
  </si>
  <si>
    <t>Data table/Region Distribution</t>
  </si>
  <si>
    <t>Data table/Collection Complaints</t>
  </si>
  <si>
    <t>Decision table/ Determine POS Segment</t>
  </si>
  <si>
    <t>Decision table/ Determine Product Scheme Group</t>
  </si>
  <si>
    <t>Decision table/ Determine Pool Change Logic and Reset Sub Pool</t>
  </si>
  <si>
    <t>Decision table/ Determine Eligibility Of Special case</t>
  </si>
  <si>
    <t>Decision table/ Sub Pool Allocation Percentage</t>
  </si>
  <si>
    <t>Decision table/ Set Sub Pool Allocation For External Agencies</t>
  </si>
  <si>
    <t>Decision table/Determine Special Treatment</t>
  </si>
  <si>
    <t>Decision table/PostDue AutoDialer Eligible Accounts</t>
  </si>
  <si>
    <t>Decision table/Determine Campaign for Predue AutoDialer</t>
  </si>
  <si>
    <t>Decision table/Get Agency Details</t>
  </si>
  <si>
    <t>Decision table/Determine Priority Score For PreDue</t>
  </si>
  <si>
    <t>Decision table/Determine Priority Score for Post Due</t>
  </si>
  <si>
    <t>Decision table/ Predue Voice Blaster Eligibility</t>
  </si>
  <si>
    <t>Decision table/ Determine SMS/ZMS Eligible Account For Pre Due</t>
  </si>
  <si>
    <t>Decision table/ Pre due SMS/ZMS templates.</t>
  </si>
  <si>
    <t>Decision table/ PostDue Voice Blaster Eligibility</t>
  </si>
  <si>
    <t>Decision table/ Determine SMS/ZMS Eligible Account For Post Due</t>
  </si>
  <si>
    <t>Decision table/ Post due SMS/ZMS templates.</t>
  </si>
  <si>
    <t>Decision table/ Eligibility Criteria For Approval For CSA Routing</t>
  </si>
  <si>
    <t>Decision table/SLA Configuration Table</t>
  </si>
  <si>
    <t>Decision table/ Limitation of Remaining POS</t>
  </si>
  <si>
    <t>Decision table/ Predue Eligible Autodialer Accounts-MBW</t>
  </si>
  <si>
    <t>Decision table/ Callback Treatment For NFU</t>
  </si>
  <si>
    <t>Decision table/ Predue Eligible Autodialer Loan Accounts</t>
  </si>
  <si>
    <t>Decision table/ Risk Segment for Card Accounts</t>
  </si>
  <si>
    <t>Decision table/ Predue Eligible Autodialer Card Accounts</t>
  </si>
  <si>
    <t>Decision table/ Determine Intraday Callback Logic</t>
  </si>
  <si>
    <t>Decision table/ Determine Field Visit Allocation on Address</t>
  </si>
  <si>
    <t>Decision table/ Determine Contract Type</t>
  </si>
  <si>
    <t>Decision table/ EvaluateSFCCases</t>
  </si>
  <si>
    <t>Decision table/ Call Back Get Next Intraday Treatment</t>
  </si>
  <si>
    <t>Decision table/ CheckForActionCodes</t>
  </si>
  <si>
    <t>Decision table/ DetermineSurveyActionCode</t>
  </si>
  <si>
    <t>Decision table/ Restricting Kalapa Information</t>
  </si>
  <si>
    <t>Decision table/ Restrict Related Contract Information</t>
  </si>
  <si>
    <t>Decision table/ Determine Pool After Extended NFUTILLDATE</t>
  </si>
  <si>
    <t>Decision table/ DetermineActionCodeForSwitchFunction</t>
  </si>
  <si>
    <t>Decision table/ DetermineSuppressCallFlag</t>
  </si>
  <si>
    <t>Decision table/ Restrict Call Limit</t>
  </si>
  <si>
    <t>Decision table/ Connected Call Code Configuration</t>
  </si>
  <si>
    <t>Decision table/ Restrict Other Contact Information</t>
  </si>
  <si>
    <t>Decision table/ Determine Contract Type for FV</t>
  </si>
  <si>
    <t>Decision table/ Set Distribution Logic For FVContracts</t>
  </si>
  <si>
    <t>Decision table/ Determine Call Script</t>
  </si>
  <si>
    <t>Correspondance</t>
  </si>
  <si>
    <t>Admin Tools/ Bulk Actions</t>
  </si>
  <si>
    <t>Data Table/ Segmentation</t>
  </si>
  <si>
    <t>Admin Tools/ Summary Report View</t>
  </si>
  <si>
    <t>Admin Tools/ Sub Pool Distribution</t>
  </si>
  <si>
    <t>Admin Tools/ BIX Dashboard</t>
  </si>
  <si>
    <t>Admin Tools/ Verify New Contact</t>
  </si>
  <si>
    <t>Contracts Suppressed from Calling</t>
  </si>
  <si>
    <t>NFU Marked Contracts</t>
  </si>
  <si>
    <t>Manager Tools/ Calling list extraction</t>
  </si>
  <si>
    <t>Admin Tools/ Verify Phone List</t>
  </si>
  <si>
    <t>Decision table/ B0DeterminePilotName</t>
  </si>
  <si>
    <t>Decision table/ Approval B0DeterminePilotName</t>
  </si>
  <si>
    <t>Decision table/ B1-B6DeterminePilotName</t>
  </si>
  <si>
    <t>Decision table/ Approval B1-B6DeterminePilotName</t>
  </si>
  <si>
    <t>Decision table/ DetermineCampaignName</t>
  </si>
  <si>
    <t>Decision table/ PILOT_B0-B6_MESSAGE_TEMPLATE</t>
  </si>
  <si>
    <t>Decision table/ Approval PILOT_B0-B6_MESSAGE_TEMPLATE</t>
  </si>
  <si>
    <t>Decision table/ CRP-1992 ZNS Message Template</t>
  </si>
  <si>
    <t>Decision table/ Approval ZNS Message Template</t>
  </si>
  <si>
    <t>Decision table/ CRP-1992 SMS Message Template</t>
  </si>
  <si>
    <t>Decision table/ Approval SMS Message Template</t>
  </si>
  <si>
    <t>Decision table/ Exception Group List</t>
  </si>
  <si>
    <t>Decision table/ Phone Masking Eligibility</t>
  </si>
  <si>
    <t>Decision table/ National ID Eligibility</t>
  </si>
  <si>
    <t>Admin Tools/ Reset QR code Google Authenticator</t>
  </si>
  <si>
    <t>My Reports</t>
  </si>
  <si>
    <t>DEV 4</t>
  </si>
  <si>
    <t>Enviroment Preparation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</si>
  <si>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</si>
  <si>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</si>
  <si>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</si>
  <si>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</si>
  <si>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</si>
  <si>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</si>
  <si>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</si>
  <si>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</si>
  <si>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</si>
  <si>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</si>
  <si>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</si>
  <si>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</si>
  <si>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</si>
  <si>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</si>
  <si>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</si>
  <si>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</si>
  <si>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</si>
  <si>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</si>
  <si>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</si>
  <si>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</si>
  <si>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</si>
  <si>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</si>
  <si>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</si>
  <si>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</si>
  <si>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</si>
  <si>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</si>
  <si>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</si>
  <si>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</si>
  <si>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</si>
  <si>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</si>
  <si>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</si>
  <si>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</si>
  <si>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</si>
  <si>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</si>
  <si>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</si>
  <si>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Complete Date</t>
  </si>
  <si>
    <t>No of DEV</t>
  </si>
  <si>
    <t>DEVs</t>
  </si>
  <si>
    <t>DEV- ESTIMATION</t>
  </si>
  <si>
    <t>BA+QA Rate</t>
  </si>
  <si>
    <t>ETL Start date</t>
  </si>
  <si>
    <t>BPM Start date</t>
  </si>
  <si>
    <t>CAEODProcessForNFUReset</t>
  </si>
  <si>
    <t>CAResolveCollectionCases</t>
  </si>
  <si>
    <t>CAEODProcess</t>
  </si>
  <si>
    <t>SyncSurveyDataToBIX </t>
  </si>
  <si>
    <t>DailyCustomerSyncup</t>
  </si>
  <si>
    <t>MaskBlackListedPhone</t>
  </si>
  <si>
    <t>CAMobileAppEOD</t>
  </si>
  <si>
    <t>SyncFromICollectUploadTrailToPega</t>
  </si>
  <si>
    <t>SyncICollectDataToFollowUp</t>
  </si>
  <si>
    <t>CARiskSegmentSyncProcessForCards</t>
  </si>
  <si>
    <t>CARiskSegmentSyncProcess</t>
  </si>
  <si>
    <t>RetrieveCrcCardFact</t>
  </si>
  <si>
    <t>UpdatePlasticIDInCollexData</t>
  </si>
  <si>
    <t>Bulk Transfer Flow (4 flows)</t>
  </si>
  <si>
    <t>Bulk Follow Up Flow (1 flow)</t>
  </si>
  <si>
    <t>Field Allocations (2 flows)</t>
  </si>
  <si>
    <t>Intraday CallBack (1 flows)</t>
  </si>
  <si>
    <t>Switch Mode Allocation (1 flows)</t>
  </si>
  <si>
    <t>Sync Follow Up To BIX</t>
  </si>
  <si>
    <t>BPM</t>
  </si>
  <si>
    <t>ETL</t>
  </si>
  <si>
    <t>DEV 5</t>
  </si>
  <si>
    <t>DEV 6</t>
  </si>
  <si>
    <t>DEV 7</t>
  </si>
  <si>
    <t>DEV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</si>
</sst>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"/>
    <numFmt numFmtId="165" formatCode="&quot;$&quot;#,##0.00"/>
    <numFmt numFmtId="166" formatCode="d\.m"/>
    <numFmt numFmtId="167" formatCode="yyyy\-mm\-dd;@"/>
  </numFmts>
  <fonts count="46" x14ac:knownFonts="1">
    <font>
      <sz val="10"/>
      <color rgb="FF000000"/>
      <name val="Arial"/>
    </font>
    <font>
      <sz val="11"/>
      <name val="Poppins"/>
    </font>
    <font>
      <b/>
      <sz val="23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0"/>
      <color rgb="FF0B5394"/>
      <name val="Roboto"/>
    </font>
    <font>
      <sz val="10"/>
      <color rgb="FF0B5394"/>
      <name val="Roboto"/>
    </font>
    <font>
      <sz val="12"/>
      <color rgb="FF000000"/>
      <name val="Poppins"/>
    </font>
    <font>
      <b/>
      <sz val="11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color rgb="FFFFFFFF"/>
      <name val="Poppins"/>
    </font>
    <font>
      <b/>
      <u/>
      <sz val="11"/>
      <color rgb="FF0000FF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4"/>
      <color rgb="FF0000FF"/>
      <name val="Roboto"/>
    </font>
    <font>
      <sz val="10"/>
      <name val="Poppins"/>
    </font>
    <font>
      <sz val="11"/>
      <color rgb="FF000000"/>
      <name val="Roboto"/>
    </font>
    <font>
      <sz val="11"/>
      <name val="Roboto"/>
    </font>
    <font>
      <u/>
      <sz val="11"/>
      <color rgb="FF0000FF"/>
      <name val="Roboto"/>
    </font>
    <font>
      <b/>
      <i/>
      <sz val="11"/>
      <color rgb="FF0000FF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3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000000"/>
      <name val="Roboto"/>
    </font>
    <font>
      <b/>
      <sz val="25"/>
      <color rgb="FF0B5394"/>
      <name val="Roboto"/>
    </font>
    <font>
      <sz val="10"/>
      <color rgb="FF999999"/>
      <name val="Roboto"/>
    </font>
    <font>
      <u/>
      <sz val="10"/>
      <color rgb="FF0000FF"/>
      <name val="Roboto"/>
    </font>
    <font>
      <sz val="10"/>
      <color rgb="FF434343"/>
      <name val="Roboto"/>
    </font>
    <font>
      <sz val="10"/>
      <color rgb="FF434343"/>
      <name val="Roboto"/>
    </font>
    <font>
      <b/>
      <i/>
      <sz val="11"/>
      <color rgb="FF000000"/>
      <name val="Roboto"/>
    </font>
    <font>
      <b/>
      <i/>
      <u/>
      <sz val="11"/>
      <color rgb="FF1155CC"/>
      <name val="Roboto"/>
    </font>
    <font>
      <b/>
      <sz val="10"/>
      <color rgb="FFFFFFFF"/>
      <name val="Roboto"/>
    </font>
    <font>
      <sz val="10"/>
      <color theme="1"/>
      <name val="Roboto"/>
    </font>
    <font>
      <b/>
      <sz val="10"/>
      <name val="Roboto"/>
    </font>
    <font>
      <sz val="10"/>
      <color rgb="FF000000"/>
      <name val="Arial"/>
      <family val="2"/>
    </font>
    <font>
      <b/>
      <sz val="10"/>
      <color theme="0"/>
      <name val="Roboto"/>
    </font>
    <font>
      <b/>
      <sz val="10"/>
      <color rgb="FFFF0000"/>
      <name val="Roboto"/>
    </font>
    <font>
      <b/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EFEFE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FEFEF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thin">
        <color rgb="FFFF0000"/>
      </left>
      <right style="thin">
        <color rgb="FFFF0000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thin">
        <color rgb="FFFF0000"/>
      </left>
      <right style="thin">
        <color rgb="FFFF0000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/>
      <top style="hair">
        <color rgb="FFB7B7B7"/>
      </top>
      <bottom/>
      <diagonal/>
    </border>
    <border>
      <left style="thin">
        <color rgb="FFFF0000"/>
      </left>
      <right style="thin">
        <color rgb="FFFF0000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 style="thin">
        <color rgb="FFFF0000"/>
      </left>
      <right style="thin">
        <color rgb="FFFF0000"/>
      </right>
      <top style="hair">
        <color rgb="FFB7B7B7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" fillId="0" borderId="0" xfId="0" applyFont="1"/>
    <xf numFmtId="0" fontId="20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13" borderId="22" xfId="0" applyFont="1" applyFill="1" applyBorder="1" applyAlignment="1">
      <alignment horizontal="center" vertical="center"/>
    </xf>
    <xf numFmtId="0" fontId="27" fillId="13" borderId="23" xfId="0" applyFont="1" applyFill="1" applyBorder="1" applyAlignment="1">
      <alignment horizontal="center" vertical="center"/>
    </xf>
    <xf numFmtId="0" fontId="27" fillId="13" borderId="24" xfId="0" applyFont="1" applyFill="1" applyBorder="1" applyAlignment="1">
      <alignment horizontal="center" vertical="center"/>
    </xf>
    <xf numFmtId="0" fontId="27" fillId="13" borderId="25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5" borderId="23" xfId="0" applyFont="1" applyFill="1" applyBorder="1" applyAlignment="1">
      <alignment horizontal="center" vertical="center"/>
    </xf>
    <xf numFmtId="0" fontId="27" fillId="16" borderId="23" xfId="0" applyFont="1" applyFill="1" applyBorder="1" applyAlignment="1">
      <alignment horizontal="center" vertical="center"/>
    </xf>
    <xf numFmtId="0" fontId="28" fillId="17" borderId="26" xfId="0" applyFont="1" applyFill="1" applyBorder="1" applyAlignment="1">
      <alignment horizontal="left" vertical="center" wrapText="1"/>
    </xf>
    <xf numFmtId="0" fontId="28" fillId="17" borderId="26" xfId="0" applyFont="1" applyFill="1" applyBorder="1" applyAlignment="1">
      <alignment vertical="center"/>
    </xf>
    <xf numFmtId="0" fontId="29" fillId="17" borderId="26" xfId="0" applyFont="1" applyFill="1" applyBorder="1" applyAlignment="1">
      <alignment vertical="center" wrapText="1"/>
    </xf>
    <xf numFmtId="0" fontId="29" fillId="17" borderId="0" xfId="0" applyFont="1" applyFill="1" applyAlignment="1">
      <alignment horizontal="center" vertical="center"/>
    </xf>
    <xf numFmtId="165" fontId="29" fillId="17" borderId="0" xfId="0" applyNumberFormat="1" applyFont="1" applyFill="1" applyAlignment="1">
      <alignment horizontal="center" vertical="center"/>
    </xf>
    <xf numFmtId="3" fontId="29" fillId="17" borderId="0" xfId="0" applyNumberFormat="1" applyFont="1" applyFill="1" applyAlignment="1">
      <alignment horizontal="center" vertical="center"/>
    </xf>
    <xf numFmtId="0" fontId="29" fillId="17" borderId="27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6" fontId="16" fillId="0" borderId="26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164" fontId="16" fillId="0" borderId="26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9" fontId="16" fillId="0" borderId="26" xfId="0" applyNumberFormat="1" applyFont="1" applyBorder="1" applyAlignment="1">
      <alignment horizontal="center" vertical="center" wrapText="1"/>
    </xf>
    <xf numFmtId="9" fontId="15" fillId="0" borderId="28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18" borderId="31" xfId="0" applyFont="1" applyFill="1" applyBorder="1" applyAlignment="1">
      <alignment horizontal="center" vertical="center"/>
    </xf>
    <xf numFmtId="0" fontId="15" fillId="18" borderId="28" xfId="0" applyFont="1" applyFill="1" applyBorder="1" applyAlignment="1">
      <alignment horizontal="center" vertical="center"/>
    </xf>
    <xf numFmtId="0" fontId="15" fillId="18" borderId="29" xfId="0" applyFont="1" applyFill="1" applyBorder="1" applyAlignment="1">
      <alignment horizontal="center" vertical="center"/>
    </xf>
    <xf numFmtId="0" fontId="15" fillId="19" borderId="29" xfId="0" applyFont="1" applyFill="1" applyBorder="1" applyAlignment="1">
      <alignment horizontal="center" vertical="center"/>
    </xf>
    <xf numFmtId="0" fontId="15" fillId="20" borderId="29" xfId="0" applyFont="1" applyFill="1" applyBorder="1" applyAlignment="1">
      <alignment horizontal="center" vertical="center"/>
    </xf>
    <xf numFmtId="0" fontId="15" fillId="21" borderId="29" xfId="0" applyFont="1" applyFill="1" applyBorder="1" applyAlignment="1">
      <alignment horizontal="center" vertical="center"/>
    </xf>
    <xf numFmtId="0" fontId="15" fillId="22" borderId="29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left" vertical="center" wrapText="1"/>
    </xf>
    <xf numFmtId="9" fontId="15" fillId="0" borderId="33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19" borderId="33" xfId="0" applyFont="1" applyFill="1" applyBorder="1" applyAlignment="1">
      <alignment horizontal="center" vertical="center"/>
    </xf>
    <xf numFmtId="0" fontId="15" fillId="19" borderId="34" xfId="0" applyFont="1" applyFill="1" applyBorder="1" applyAlignment="1">
      <alignment horizontal="center" vertical="center"/>
    </xf>
    <xf numFmtId="0" fontId="15" fillId="18" borderId="34" xfId="0" applyFont="1" applyFill="1" applyBorder="1" applyAlignment="1">
      <alignment horizontal="center" vertical="center"/>
    </xf>
    <xf numFmtId="0" fontId="15" fillId="20" borderId="34" xfId="0" applyFont="1" applyFill="1" applyBorder="1" applyAlignment="1">
      <alignment horizontal="center" vertical="center"/>
    </xf>
    <xf numFmtId="0" fontId="15" fillId="21" borderId="34" xfId="0" applyFont="1" applyFill="1" applyBorder="1" applyAlignment="1">
      <alignment horizontal="center" vertical="center"/>
    </xf>
    <xf numFmtId="0" fontId="15" fillId="22" borderId="34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9" fontId="15" fillId="0" borderId="38" xfId="0" applyNumberFormat="1" applyFont="1" applyBorder="1" applyAlignment="1">
      <alignment horizontal="center" vertical="center"/>
    </xf>
    <xf numFmtId="165" fontId="15" fillId="0" borderId="39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19" borderId="38" xfId="0" applyFont="1" applyFill="1" applyBorder="1" applyAlignment="1">
      <alignment horizontal="center" vertical="center"/>
    </xf>
    <xf numFmtId="0" fontId="15" fillId="19" borderId="39" xfId="0" applyFont="1" applyFill="1" applyBorder="1" applyAlignment="1">
      <alignment horizontal="center" vertical="center"/>
    </xf>
    <xf numFmtId="0" fontId="15" fillId="18" borderId="39" xfId="0" applyFont="1" applyFill="1" applyBorder="1" applyAlignment="1">
      <alignment horizontal="center" vertical="center"/>
    </xf>
    <xf numFmtId="0" fontId="15" fillId="20" borderId="39" xfId="0" applyFont="1" applyFill="1" applyBorder="1" applyAlignment="1">
      <alignment horizontal="center" vertical="center"/>
    </xf>
    <xf numFmtId="0" fontId="15" fillId="21" borderId="39" xfId="0" applyFont="1" applyFill="1" applyBorder="1" applyAlignment="1">
      <alignment horizontal="center" vertical="center"/>
    </xf>
    <xf numFmtId="0" fontId="15" fillId="22" borderId="39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164" fontId="29" fillId="17" borderId="26" xfId="0" applyNumberFormat="1" applyFont="1" applyFill="1" applyBorder="1" applyAlignment="1">
      <alignment vertical="center" wrapText="1"/>
    </xf>
    <xf numFmtId="0" fontId="15" fillId="0" borderId="31" xfId="0" applyFont="1" applyBorder="1" applyAlignment="1">
      <alignment horizontal="center" vertical="center"/>
    </xf>
    <xf numFmtId="0" fontId="15" fillId="19" borderId="28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left" vertical="center" wrapText="1"/>
    </xf>
    <xf numFmtId="9" fontId="16" fillId="23" borderId="26" xfId="0" applyNumberFormat="1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 wrapText="1"/>
    </xf>
    <xf numFmtId="49" fontId="31" fillId="0" borderId="26" xfId="0" applyNumberFormat="1" applyFont="1" applyBorder="1" applyAlignment="1">
      <alignment vertical="center" wrapText="1"/>
    </xf>
    <xf numFmtId="0" fontId="15" fillId="0" borderId="4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29" fillId="17" borderId="26" xfId="0" applyFont="1" applyFill="1" applyBorder="1" applyAlignment="1">
      <alignment horizontal="left" vertical="center" wrapText="1"/>
    </xf>
    <xf numFmtId="0" fontId="29" fillId="17" borderId="26" xfId="0" applyFont="1" applyFill="1" applyBorder="1" applyAlignment="1">
      <alignment vertical="center"/>
    </xf>
    <xf numFmtId="166" fontId="35" fillId="0" borderId="26" xfId="0" applyNumberFormat="1" applyFont="1" applyBorder="1" applyAlignment="1">
      <alignment horizontal="left" vertical="center" wrapText="1"/>
    </xf>
    <xf numFmtId="0" fontId="35" fillId="0" borderId="26" xfId="0" applyFont="1" applyBorder="1" applyAlignment="1">
      <alignment vertical="center" wrapText="1"/>
    </xf>
    <xf numFmtId="0" fontId="35" fillId="0" borderId="26" xfId="0" applyFont="1" applyBorder="1" applyAlignment="1">
      <alignment horizontal="center" vertical="center" wrapText="1"/>
    </xf>
    <xf numFmtId="9" fontId="35" fillId="0" borderId="26" xfId="0" applyNumberFormat="1" applyFont="1" applyBorder="1" applyAlignment="1">
      <alignment horizontal="center" vertical="center" wrapText="1"/>
    </xf>
    <xf numFmtId="0" fontId="15" fillId="24" borderId="29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49" fontId="35" fillId="0" borderId="26" xfId="0" applyNumberFormat="1" applyFont="1" applyBorder="1" applyAlignment="1">
      <alignment horizontal="left" vertical="center" wrapText="1"/>
    </xf>
    <xf numFmtId="0" fontId="15" fillId="0" borderId="33" xfId="0" applyFont="1" applyBorder="1" applyAlignment="1">
      <alignment horizontal="center" vertical="center"/>
    </xf>
    <xf numFmtId="0" fontId="15" fillId="24" borderId="30" xfId="0" applyFont="1" applyFill="1" applyBorder="1" applyAlignment="1">
      <alignment horizontal="center" vertical="center"/>
    </xf>
    <xf numFmtId="0" fontId="15" fillId="24" borderId="31" xfId="0" applyFont="1" applyFill="1" applyBorder="1" applyAlignment="1">
      <alignment horizontal="center" vertical="center"/>
    </xf>
    <xf numFmtId="0" fontId="15" fillId="25" borderId="33" xfId="0" applyFont="1" applyFill="1" applyBorder="1" applyAlignment="1">
      <alignment horizontal="center" vertical="center"/>
    </xf>
    <xf numFmtId="9" fontId="35" fillId="23" borderId="26" xfId="0" applyNumberFormat="1" applyFont="1" applyFill="1" applyBorder="1" applyAlignment="1">
      <alignment horizontal="center" vertical="center" wrapText="1"/>
    </xf>
    <xf numFmtId="0" fontId="15" fillId="25" borderId="36" xfId="0" applyFont="1" applyFill="1" applyBorder="1" applyAlignment="1">
      <alignment horizontal="center" vertical="center"/>
    </xf>
    <xf numFmtId="0" fontId="15" fillId="18" borderId="33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25" borderId="34" xfId="0" applyFont="1" applyFill="1" applyBorder="1" applyAlignment="1">
      <alignment horizontal="center" vertical="center"/>
    </xf>
    <xf numFmtId="0" fontId="35" fillId="0" borderId="26" xfId="0" applyFont="1" applyBorder="1" applyAlignment="1">
      <alignment horizontal="left" vertical="center" wrapText="1"/>
    </xf>
    <xf numFmtId="0" fontId="36" fillId="0" borderId="26" xfId="0" applyFont="1" applyBorder="1" applyAlignment="1">
      <alignment vertical="center" wrapText="1"/>
    </xf>
    <xf numFmtId="49" fontId="36" fillId="0" borderId="26" xfId="0" applyNumberFormat="1" applyFont="1" applyBorder="1" applyAlignment="1">
      <alignment vertical="center" wrapText="1"/>
    </xf>
    <xf numFmtId="0" fontId="15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21" xfId="0" applyFont="1" applyBorder="1" applyAlignment="1">
      <alignment vertical="center" wrapText="1"/>
    </xf>
    <xf numFmtId="0" fontId="41" fillId="0" borderId="45" xfId="0" applyFont="1" applyBorder="1" applyAlignment="1">
      <alignment horizontal="center" vertical="center"/>
    </xf>
    <xf numFmtId="14" fontId="0" fillId="0" borderId="0" xfId="0" applyNumberFormat="1"/>
    <xf numFmtId="0" fontId="16" fillId="0" borderId="45" xfId="0" applyFont="1" applyBorder="1" applyAlignment="1">
      <alignment vertical="center" wrapText="1"/>
    </xf>
    <xf numFmtId="0" fontId="16" fillId="0" borderId="45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/>
    </xf>
    <xf numFmtId="0" fontId="16" fillId="0" borderId="45" xfId="0" applyFont="1" applyBorder="1" applyAlignment="1">
      <alignment horizontal="left" vertical="center" wrapText="1"/>
    </xf>
    <xf numFmtId="0" fontId="0" fillId="0" borderId="45" xfId="0" applyBorder="1"/>
    <xf numFmtId="0" fontId="42" fillId="0" borderId="0" xfId="0" applyFont="1"/>
    <xf numFmtId="167" fontId="16" fillId="0" borderId="11" xfId="0" applyNumberFormat="1" applyFont="1" applyBorder="1" applyAlignment="1">
      <alignment horizontal="center" vertical="center" wrapText="1"/>
    </xf>
    <xf numFmtId="167" fontId="16" fillId="0" borderId="45" xfId="0" applyNumberFormat="1" applyFont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167" fontId="16" fillId="0" borderId="45" xfId="0" applyNumberFormat="1" applyFont="1" applyBorder="1" applyAlignment="1">
      <alignment horizontal="center" vertical="center" textRotation="180" wrapText="1"/>
    </xf>
    <xf numFmtId="167" fontId="16" fillId="26" borderId="45" xfId="0" applyNumberFormat="1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vertical="center" wrapText="1"/>
    </xf>
    <xf numFmtId="167" fontId="43" fillId="27" borderId="45" xfId="0" applyNumberFormat="1" applyFont="1" applyFill="1" applyBorder="1" applyAlignment="1">
      <alignment horizontal="center" vertical="center" wrapText="1"/>
    </xf>
    <xf numFmtId="0" fontId="44" fillId="28" borderId="17" xfId="0" applyFont="1" applyFill="1" applyBorder="1" applyAlignment="1">
      <alignment horizontal="center" vertical="center" wrapText="1"/>
    </xf>
    <xf numFmtId="10" fontId="44" fillId="28" borderId="17" xfId="0" applyNumberFormat="1" applyFont="1" applyFill="1" applyBorder="1" applyAlignment="1">
      <alignment horizontal="center" vertical="center" wrapText="1"/>
    </xf>
    <xf numFmtId="0" fontId="0" fillId="0" borderId="48" xfId="0" applyBorder="1"/>
    <xf numFmtId="0" fontId="16" fillId="0" borderId="4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0" borderId="0" xfId="0"/>
    <xf numFmtId="0" fontId="8" fillId="3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4" fillId="3" borderId="5" xfId="0" applyFont="1" applyFill="1" applyBorder="1" applyAlignment="1">
      <alignment vertical="center"/>
    </xf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3" fillId="4" borderId="14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1" xfId="0" applyFont="1" applyBorder="1"/>
    <xf numFmtId="0" fontId="24" fillId="5" borderId="0" xfId="0" applyFont="1" applyFill="1" applyAlignment="1">
      <alignment horizontal="center" vertical="center"/>
    </xf>
    <xf numFmtId="0" fontId="24" fillId="9" borderId="18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4" fillId="9" borderId="20" xfId="0" applyFont="1" applyFill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24" fillId="11" borderId="20" xfId="0" applyFont="1" applyFill="1" applyBorder="1" applyAlignment="1">
      <alignment horizontal="center" vertical="center"/>
    </xf>
    <xf numFmtId="0" fontId="24" fillId="12" borderId="20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vertical="center"/>
    </xf>
    <xf numFmtId="0" fontId="3" fillId="0" borderId="9" xfId="0" applyFont="1" applyBorder="1"/>
    <xf numFmtId="0" fontId="3" fillId="0" borderId="8" xfId="0" applyFont="1" applyBorder="1"/>
    <xf numFmtId="0" fontId="22" fillId="2" borderId="7" xfId="0" applyFont="1" applyFill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3" fillId="0" borderId="10" xfId="0" applyFont="1" applyBorder="1"/>
    <xf numFmtId="0" fontId="17" fillId="0" borderId="10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vertical="center"/>
    </xf>
    <xf numFmtId="0" fontId="34" fillId="2" borderId="7" xfId="0" applyFont="1" applyFill="1" applyBorder="1" applyAlignment="1">
      <alignment vertical="center"/>
    </xf>
    <xf numFmtId="0" fontId="16" fillId="0" borderId="7" xfId="0" applyFont="1" applyBorder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32" fillId="2" borderId="1" xfId="0" applyFont="1" applyFill="1" applyBorder="1" applyAlignment="1">
      <alignment vertical="center"/>
    </xf>
    <xf numFmtId="0" fontId="39" fillId="9" borderId="46" xfId="0" applyFont="1" applyFill="1" applyBorder="1" applyAlignment="1">
      <alignment horizontal="center" vertical="center" textRotation="180"/>
    </xf>
    <xf numFmtId="0" fontId="39" fillId="9" borderId="47" xfId="0" applyFont="1" applyFill="1" applyBorder="1" applyAlignment="1">
      <alignment horizontal="center" vertical="center" textRotation="180"/>
    </xf>
    <xf numFmtId="0" fontId="45" fillId="29" borderId="0" xfId="0" applyFont="1" applyFill="1" applyAlignment="1">
      <alignment horizontal="center"/>
    </xf>
    <xf numFmtId="0" fontId="15" fillId="30" borderId="49" xfId="0" applyFont="1" applyFill="1" applyBorder="1" applyAlignment="1">
      <alignment horizontal="center" vertical="center" wrapText="1"/>
    </xf>
    <xf numFmtId="0" fontId="15" fillId="30" borderId="50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ce.edu.vn/tin-kho-tri-thuc/quan-ly-du-an-la-gi" TargetMode="External"/><Relationship Id="rId2" Type="http://schemas.openxmlformats.org/officeDocument/2006/relationships/hyperlink" Target="https://www.pace.edu.vn/" TargetMode="External"/><Relationship Id="rId1" Type="http://schemas.openxmlformats.org/officeDocument/2006/relationships/hyperlink" Target="https://bit.ly/khoa-hoc-lap-ke-hoach-va-bao-cao" TargetMode="External"/><Relationship Id="rId6" Type="http://schemas.openxmlformats.org/officeDocument/2006/relationships/hyperlink" Target="https://bit.ly/khoa-hoc-lap-ke-hoach-va-bao-cao" TargetMode="External"/><Relationship Id="rId5" Type="http://schemas.openxmlformats.org/officeDocument/2006/relationships/hyperlink" Target="https://www.pace.edu.vn/tin-kho-tri-thuc/so-do-gantt" TargetMode="External"/><Relationship Id="rId4" Type="http://schemas.openxmlformats.org/officeDocument/2006/relationships/hyperlink" Target="https://bit.ly/nguyen-thanh-ph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khoa-hoc-lap-ke-hoach-va-bao-cao" TargetMode="External"/><Relationship Id="rId2" Type="http://schemas.openxmlformats.org/officeDocument/2006/relationships/hyperlink" Target="https://www.pace.edu.vn/tin-kho-tri-thuc/quan-ly-du-an-la-gi" TargetMode="External"/><Relationship Id="rId1" Type="http://schemas.openxmlformats.org/officeDocument/2006/relationships/hyperlink" Target="https://www.pace.edu.vn/" TargetMode="External"/><Relationship Id="rId6" Type="http://schemas.openxmlformats.org/officeDocument/2006/relationships/hyperlink" Target="https://bit.ly/khoa-hoc-lap-ke-hoach-va-bao-cao" TargetMode="External"/><Relationship Id="rId5" Type="http://schemas.openxmlformats.org/officeDocument/2006/relationships/hyperlink" Target="https://www.pace.edu.vn/tin-kho-tri-thuc/so-do-gantt" TargetMode="External"/><Relationship Id="rId4" Type="http://schemas.openxmlformats.org/officeDocument/2006/relationships/hyperlink" Target="https://bit.ly/nguyen-thanh-ph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38"/>
  <sheetViews>
    <sheetView showGridLines="0" workbookViewId="0">
      <pane ySplit="9" topLeftCell="A31" activePane="bottomLeft" state="frozen"/>
      <selection pane="bottomLeft" activeCell="S38" sqref="S38"/>
    </sheetView>
  </sheetViews>
  <sheetFormatPr defaultColWidth="12.5546875" defaultRowHeight="15.75" customHeight="1" outlineLevelRow="1" x14ac:dyDescent="0.25"/>
  <cols>
    <col min="1" max="1" width="1.88671875" customWidth="1"/>
    <col min="2" max="2" width="9" customWidth="1"/>
    <col min="3" max="3" width="32.33203125" customWidth="1"/>
    <col min="4" max="4" width="10.5546875" customWidth="1"/>
    <col min="5" max="5" width="10" customWidth="1"/>
    <col min="6" max="6" width="9.109375" customWidth="1"/>
    <col min="7" max="7" width="7" customWidth="1"/>
    <col min="8" max="8" width="9.5546875" customWidth="1"/>
    <col min="9" max="68" width="3" customWidth="1"/>
    <col min="69" max="69" width="3.44140625" customWidth="1"/>
  </cols>
  <sheetData>
    <row r="1" spans="1:69" ht="26.25" customHeight="1" x14ac:dyDescent="0.25">
      <c r="A1" s="1"/>
      <c r="B1" s="170" t="s">
        <v>0</v>
      </c>
      <c r="C1" s="171"/>
      <c r="D1" s="171"/>
      <c r="E1" s="171"/>
      <c r="F1" s="171"/>
      <c r="G1" s="171"/>
      <c r="H1" s="2"/>
      <c r="I1" s="172" t="s">
        <v>1</v>
      </c>
      <c r="J1" s="171"/>
      <c r="K1" s="171"/>
      <c r="L1" s="171"/>
      <c r="M1" s="171"/>
      <c r="N1" s="171"/>
      <c r="O1" s="173" t="s">
        <v>2</v>
      </c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3"/>
      <c r="AG1" s="3"/>
      <c r="AH1" s="135" t="s">
        <v>3</v>
      </c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7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7.5" customHeight="1" x14ac:dyDescent="0.25">
      <c r="A2" s="1"/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7"/>
      <c r="N2" s="7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8"/>
      <c r="AE2" s="8"/>
      <c r="AF2" s="8"/>
      <c r="AG2" s="8"/>
      <c r="AH2" s="138" t="s">
        <v>4</v>
      </c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9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8" customHeight="1" x14ac:dyDescent="0.7">
      <c r="A3" s="1"/>
      <c r="B3" s="165" t="s">
        <v>5</v>
      </c>
      <c r="C3" s="160"/>
      <c r="D3" s="174" t="s">
        <v>6</v>
      </c>
      <c r="E3" s="159"/>
      <c r="F3" s="159"/>
      <c r="G3" s="160"/>
      <c r="H3" s="9"/>
      <c r="I3" s="162" t="s">
        <v>7</v>
      </c>
      <c r="J3" s="163"/>
      <c r="K3" s="163"/>
      <c r="L3" s="163"/>
      <c r="M3" s="163"/>
      <c r="N3" s="163"/>
      <c r="O3" s="163"/>
      <c r="P3" s="164" t="s">
        <v>8</v>
      </c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0"/>
      <c r="AD3" s="8"/>
      <c r="AE3" s="8"/>
      <c r="AF3" s="8"/>
      <c r="AG3" s="8"/>
      <c r="AH3" s="140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2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15.75" customHeight="1" x14ac:dyDescent="0.7">
      <c r="A4" s="1"/>
      <c r="B4" s="165" t="s">
        <v>9</v>
      </c>
      <c r="C4" s="160"/>
      <c r="D4" s="166" t="s">
        <v>10</v>
      </c>
      <c r="E4" s="159"/>
      <c r="F4" s="159"/>
      <c r="G4" s="160"/>
      <c r="H4" s="11"/>
      <c r="I4" s="167" t="s">
        <v>11</v>
      </c>
      <c r="J4" s="134"/>
      <c r="K4" s="134"/>
      <c r="L4" s="134"/>
      <c r="M4" s="134"/>
      <c r="N4" s="134"/>
      <c r="O4" s="134"/>
      <c r="P4" s="168">
        <f ca="1">TODAY()</f>
        <v>45961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2"/>
      <c r="AC4" s="10"/>
      <c r="AD4" s="1"/>
      <c r="AE4" s="1"/>
      <c r="AF4" s="1"/>
      <c r="AG4" s="1"/>
      <c r="AH4" s="1"/>
      <c r="AI4" s="1"/>
      <c r="AJ4" s="1"/>
      <c r="AK4" s="1"/>
      <c r="AL4" s="13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4.4" x14ac:dyDescent="0.25">
      <c r="A5" s="14"/>
      <c r="B5" s="169" t="s">
        <v>12</v>
      </c>
      <c r="C5" s="160"/>
      <c r="D5" s="158" t="s">
        <v>13</v>
      </c>
      <c r="E5" s="159"/>
      <c r="F5" s="159"/>
      <c r="G5" s="160"/>
      <c r="H5" s="15"/>
      <c r="I5" s="161" t="s">
        <v>14</v>
      </c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60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9" customHeight="1" x14ac:dyDescent="0.25">
      <c r="A6" s="14"/>
      <c r="B6" s="16"/>
      <c r="C6" s="16"/>
      <c r="D6" s="16"/>
      <c r="E6" s="16"/>
      <c r="F6" s="16"/>
      <c r="G6" s="15"/>
      <c r="H6" s="15"/>
      <c r="I6" s="16"/>
      <c r="J6" s="16"/>
      <c r="K6" s="16"/>
      <c r="L6" s="1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ht="14.25" customHeight="1" x14ac:dyDescent="0.25">
      <c r="A7" s="17"/>
      <c r="B7" s="143" t="s">
        <v>15</v>
      </c>
      <c r="C7" s="143" t="s">
        <v>16</v>
      </c>
      <c r="D7" s="143" t="s">
        <v>17</v>
      </c>
      <c r="E7" s="143" t="s">
        <v>18</v>
      </c>
      <c r="F7" s="143" t="s">
        <v>19</v>
      </c>
      <c r="G7" s="143" t="s">
        <v>20</v>
      </c>
      <c r="H7" s="143" t="s">
        <v>21</v>
      </c>
      <c r="I7" s="146" t="s">
        <v>22</v>
      </c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51" t="s">
        <v>23</v>
      </c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52" t="s">
        <v>24</v>
      </c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53" t="s">
        <v>25</v>
      </c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54"/>
      <c r="BQ7" s="14"/>
    </row>
    <row r="8" spans="1:69" ht="13.5" customHeight="1" x14ac:dyDescent="0.25">
      <c r="A8" s="18"/>
      <c r="B8" s="144"/>
      <c r="C8" s="144"/>
      <c r="D8" s="144"/>
      <c r="E8" s="144"/>
      <c r="F8" s="144"/>
      <c r="G8" s="144"/>
      <c r="H8" s="144"/>
      <c r="I8" s="147" t="s">
        <v>26</v>
      </c>
      <c r="J8" s="148"/>
      <c r="K8" s="148"/>
      <c r="L8" s="148"/>
      <c r="M8" s="149"/>
      <c r="N8" s="150" t="s">
        <v>27</v>
      </c>
      <c r="O8" s="148"/>
      <c r="P8" s="148"/>
      <c r="Q8" s="148"/>
      <c r="R8" s="149"/>
      <c r="S8" s="150" t="s">
        <v>28</v>
      </c>
      <c r="T8" s="148"/>
      <c r="U8" s="148"/>
      <c r="V8" s="148"/>
      <c r="W8" s="149"/>
      <c r="X8" s="157" t="s">
        <v>29</v>
      </c>
      <c r="Y8" s="148"/>
      <c r="Z8" s="148"/>
      <c r="AA8" s="148"/>
      <c r="AB8" s="149"/>
      <c r="AC8" s="157" t="s">
        <v>30</v>
      </c>
      <c r="AD8" s="148"/>
      <c r="AE8" s="148"/>
      <c r="AF8" s="148"/>
      <c r="AG8" s="149"/>
      <c r="AH8" s="157" t="s">
        <v>31</v>
      </c>
      <c r="AI8" s="148"/>
      <c r="AJ8" s="148"/>
      <c r="AK8" s="148"/>
      <c r="AL8" s="149"/>
      <c r="AM8" s="155" t="s">
        <v>32</v>
      </c>
      <c r="AN8" s="148"/>
      <c r="AO8" s="148"/>
      <c r="AP8" s="148"/>
      <c r="AQ8" s="149"/>
      <c r="AR8" s="155" t="s">
        <v>33</v>
      </c>
      <c r="AS8" s="148"/>
      <c r="AT8" s="148"/>
      <c r="AU8" s="148"/>
      <c r="AV8" s="149"/>
      <c r="AW8" s="155" t="s">
        <v>34</v>
      </c>
      <c r="AX8" s="148"/>
      <c r="AY8" s="148"/>
      <c r="AZ8" s="148"/>
      <c r="BA8" s="149"/>
      <c r="BB8" s="156" t="s">
        <v>35</v>
      </c>
      <c r="BC8" s="148"/>
      <c r="BD8" s="148"/>
      <c r="BE8" s="148"/>
      <c r="BF8" s="149"/>
      <c r="BG8" s="156" t="s">
        <v>36</v>
      </c>
      <c r="BH8" s="148"/>
      <c r="BI8" s="148"/>
      <c r="BJ8" s="148"/>
      <c r="BK8" s="149"/>
      <c r="BL8" s="156" t="s">
        <v>37</v>
      </c>
      <c r="BM8" s="148"/>
      <c r="BN8" s="148"/>
      <c r="BO8" s="148"/>
      <c r="BP8" s="149"/>
      <c r="BQ8" s="18"/>
    </row>
    <row r="9" spans="1:69" ht="13.5" customHeight="1" x14ac:dyDescent="0.25">
      <c r="A9" s="19"/>
      <c r="B9" s="145"/>
      <c r="C9" s="145"/>
      <c r="D9" s="145"/>
      <c r="E9" s="145"/>
      <c r="F9" s="145"/>
      <c r="G9" s="145"/>
      <c r="H9" s="145"/>
      <c r="I9" s="20" t="s">
        <v>38</v>
      </c>
      <c r="J9" s="21" t="s">
        <v>39</v>
      </c>
      <c r="K9" s="21" t="s">
        <v>40</v>
      </c>
      <c r="L9" s="22" t="s">
        <v>41</v>
      </c>
      <c r="M9" s="23" t="s">
        <v>42</v>
      </c>
      <c r="N9" s="20" t="s">
        <v>38</v>
      </c>
      <c r="O9" s="21" t="s">
        <v>39</v>
      </c>
      <c r="P9" s="21" t="s">
        <v>40</v>
      </c>
      <c r="Q9" s="21" t="s">
        <v>41</v>
      </c>
      <c r="R9" s="21" t="s">
        <v>42</v>
      </c>
      <c r="S9" s="21" t="s">
        <v>38</v>
      </c>
      <c r="T9" s="21" t="s">
        <v>39</v>
      </c>
      <c r="U9" s="21" t="s">
        <v>40</v>
      </c>
      <c r="V9" s="21" t="s">
        <v>41</v>
      </c>
      <c r="W9" s="21" t="s">
        <v>42</v>
      </c>
      <c r="X9" s="24" t="s">
        <v>38</v>
      </c>
      <c r="Y9" s="24" t="s">
        <v>39</v>
      </c>
      <c r="Z9" s="24" t="s">
        <v>40</v>
      </c>
      <c r="AA9" s="24" t="s">
        <v>41</v>
      </c>
      <c r="AB9" s="24" t="s">
        <v>42</v>
      </c>
      <c r="AC9" s="24" t="s">
        <v>38</v>
      </c>
      <c r="AD9" s="24" t="s">
        <v>39</v>
      </c>
      <c r="AE9" s="24" t="s">
        <v>40</v>
      </c>
      <c r="AF9" s="24" t="s">
        <v>41</v>
      </c>
      <c r="AG9" s="24" t="s">
        <v>42</v>
      </c>
      <c r="AH9" s="24" t="s">
        <v>38</v>
      </c>
      <c r="AI9" s="24" t="s">
        <v>39</v>
      </c>
      <c r="AJ9" s="24" t="s">
        <v>40</v>
      </c>
      <c r="AK9" s="24" t="s">
        <v>41</v>
      </c>
      <c r="AL9" s="24" t="s">
        <v>42</v>
      </c>
      <c r="AM9" s="25" t="s">
        <v>38</v>
      </c>
      <c r="AN9" s="25" t="s">
        <v>39</v>
      </c>
      <c r="AO9" s="25" t="s">
        <v>40</v>
      </c>
      <c r="AP9" s="25" t="s">
        <v>41</v>
      </c>
      <c r="AQ9" s="25" t="s">
        <v>42</v>
      </c>
      <c r="AR9" s="25" t="s">
        <v>38</v>
      </c>
      <c r="AS9" s="25" t="s">
        <v>39</v>
      </c>
      <c r="AT9" s="25" t="s">
        <v>40</v>
      </c>
      <c r="AU9" s="25" t="s">
        <v>41</v>
      </c>
      <c r="AV9" s="25" t="s">
        <v>42</v>
      </c>
      <c r="AW9" s="25" t="s">
        <v>38</v>
      </c>
      <c r="AX9" s="25" t="s">
        <v>39</v>
      </c>
      <c r="AY9" s="25" t="s">
        <v>40</v>
      </c>
      <c r="AZ9" s="25" t="s">
        <v>41</v>
      </c>
      <c r="BA9" s="25" t="s">
        <v>42</v>
      </c>
      <c r="BB9" s="26" t="s">
        <v>38</v>
      </c>
      <c r="BC9" s="26" t="s">
        <v>39</v>
      </c>
      <c r="BD9" s="26" t="s">
        <v>40</v>
      </c>
      <c r="BE9" s="26" t="s">
        <v>41</v>
      </c>
      <c r="BF9" s="26" t="s">
        <v>42</v>
      </c>
      <c r="BG9" s="26" t="s">
        <v>38</v>
      </c>
      <c r="BH9" s="26" t="s">
        <v>39</v>
      </c>
      <c r="BI9" s="26" t="s">
        <v>40</v>
      </c>
      <c r="BJ9" s="26" t="s">
        <v>41</v>
      </c>
      <c r="BK9" s="26" t="s">
        <v>42</v>
      </c>
      <c r="BL9" s="26" t="s">
        <v>38</v>
      </c>
      <c r="BM9" s="26" t="s">
        <v>39</v>
      </c>
      <c r="BN9" s="26" t="s">
        <v>40</v>
      </c>
      <c r="BO9" s="26" t="s">
        <v>41</v>
      </c>
      <c r="BP9" s="26" t="s">
        <v>42</v>
      </c>
      <c r="BQ9" s="19"/>
    </row>
    <row r="10" spans="1:69" ht="21" customHeight="1" x14ac:dyDescent="0.25">
      <c r="A10" s="14"/>
      <c r="B10" s="27">
        <v>1</v>
      </c>
      <c r="C10" s="28" t="s">
        <v>43</v>
      </c>
      <c r="D10" s="29"/>
      <c r="E10" s="29"/>
      <c r="F10" s="29"/>
      <c r="G10" s="29"/>
      <c r="H10" s="29"/>
      <c r="I10" s="30"/>
      <c r="J10" s="31"/>
      <c r="K10" s="32"/>
      <c r="L10" s="32"/>
      <c r="M10" s="33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4"/>
    </row>
    <row r="11" spans="1:69" ht="17.25" customHeight="1" outlineLevel="1" x14ac:dyDescent="0.25">
      <c r="A11" s="34"/>
      <c r="B11" s="35">
        <v>43101</v>
      </c>
      <c r="C11" s="36" t="s">
        <v>44</v>
      </c>
      <c r="D11" s="36" t="s">
        <v>45</v>
      </c>
      <c r="E11" s="37">
        <f ca="1">TODAY()</f>
        <v>45961</v>
      </c>
      <c r="F11" s="37">
        <f ca="1">E11+3</f>
        <v>45964</v>
      </c>
      <c r="G11" s="38">
        <f t="shared" ref="G11:G17" ca="1" si="0">DAYS360(E11,F11)</f>
        <v>3</v>
      </c>
      <c r="H11" s="39">
        <v>0</v>
      </c>
      <c r="I11" s="40"/>
      <c r="J11" s="41"/>
      <c r="K11" s="42"/>
      <c r="L11" s="43"/>
      <c r="M11" s="44"/>
      <c r="N11" s="45"/>
      <c r="O11" s="46"/>
      <c r="P11" s="47"/>
      <c r="Q11" s="47"/>
      <c r="R11" s="47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8"/>
      <c r="AD11" s="48"/>
      <c r="AE11" s="48"/>
      <c r="AF11" s="48"/>
      <c r="AG11" s="48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9"/>
      <c r="AS11" s="49"/>
      <c r="AT11" s="49"/>
      <c r="AU11" s="49"/>
      <c r="AV11" s="49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50"/>
      <c r="BH11" s="50"/>
      <c r="BI11" s="50"/>
      <c r="BJ11" s="50"/>
      <c r="BK11" s="50"/>
      <c r="BL11" s="42"/>
      <c r="BM11" s="42"/>
      <c r="BN11" s="42"/>
      <c r="BO11" s="42"/>
      <c r="BP11" s="51"/>
      <c r="BQ11" s="34"/>
    </row>
    <row r="12" spans="1:69" ht="17.25" customHeight="1" outlineLevel="1" x14ac:dyDescent="0.25">
      <c r="A12" s="34"/>
      <c r="B12" s="52" t="s">
        <v>46</v>
      </c>
      <c r="C12" s="36" t="s">
        <v>47</v>
      </c>
      <c r="D12" s="36" t="s">
        <v>45</v>
      </c>
      <c r="E12" s="37">
        <f ca="1">F11</f>
        <v>45964</v>
      </c>
      <c r="F12" s="37">
        <f ca="1">E12+1</f>
        <v>45965</v>
      </c>
      <c r="G12" s="38">
        <f t="shared" ca="1" si="0"/>
        <v>1</v>
      </c>
      <c r="H12" s="39">
        <v>0</v>
      </c>
      <c r="I12" s="53"/>
      <c r="J12" s="54"/>
      <c r="K12" s="55"/>
      <c r="L12" s="56"/>
      <c r="M12" s="57"/>
      <c r="N12" s="58"/>
      <c r="O12" s="59"/>
      <c r="P12" s="60"/>
      <c r="Q12" s="59"/>
      <c r="R12" s="59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61"/>
      <c r="AD12" s="61"/>
      <c r="AE12" s="61"/>
      <c r="AF12" s="61"/>
      <c r="AG12" s="61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62"/>
      <c r="AS12" s="62"/>
      <c r="AT12" s="62"/>
      <c r="AU12" s="62"/>
      <c r="AV12" s="62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63"/>
      <c r="BH12" s="63"/>
      <c r="BI12" s="63"/>
      <c r="BJ12" s="63"/>
      <c r="BK12" s="63"/>
      <c r="BL12" s="55"/>
      <c r="BM12" s="55"/>
      <c r="BN12" s="55"/>
      <c r="BO12" s="55"/>
      <c r="BP12" s="64"/>
      <c r="BQ12" s="34"/>
    </row>
    <row r="13" spans="1:69" ht="17.25" customHeight="1" outlineLevel="1" x14ac:dyDescent="0.25">
      <c r="A13" s="34"/>
      <c r="B13" s="35">
        <v>43132</v>
      </c>
      <c r="C13" s="36" t="s">
        <v>48</v>
      </c>
      <c r="D13" s="36" t="s">
        <v>45</v>
      </c>
      <c r="E13" s="37">
        <f ca="1">E12</f>
        <v>45964</v>
      </c>
      <c r="F13" s="37">
        <f t="shared" ref="F13:F14" ca="1" si="1">E13+6</f>
        <v>45970</v>
      </c>
      <c r="G13" s="38">
        <f t="shared" ca="1" si="0"/>
        <v>6</v>
      </c>
      <c r="H13" s="39">
        <v>0</v>
      </c>
      <c r="I13" s="53"/>
      <c r="J13" s="54"/>
      <c r="K13" s="55"/>
      <c r="L13" s="56"/>
      <c r="M13" s="57"/>
      <c r="N13" s="58"/>
      <c r="O13" s="59"/>
      <c r="P13" s="60"/>
      <c r="Q13" s="60"/>
      <c r="R13" s="60"/>
      <c r="S13" s="60"/>
      <c r="T13" s="60"/>
      <c r="U13" s="60"/>
      <c r="V13" s="55"/>
      <c r="W13" s="55"/>
      <c r="X13" s="55"/>
      <c r="Y13" s="55"/>
      <c r="Z13" s="55"/>
      <c r="AA13" s="55"/>
      <c r="AB13" s="55"/>
      <c r="AC13" s="61"/>
      <c r="AD13" s="61"/>
      <c r="AE13" s="61"/>
      <c r="AF13" s="61"/>
      <c r="AG13" s="61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62"/>
      <c r="AS13" s="62"/>
      <c r="AT13" s="62"/>
      <c r="AU13" s="62"/>
      <c r="AV13" s="62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63"/>
      <c r="BH13" s="63"/>
      <c r="BI13" s="63"/>
      <c r="BJ13" s="63"/>
      <c r="BK13" s="63"/>
      <c r="BL13" s="55"/>
      <c r="BM13" s="55"/>
      <c r="BN13" s="55"/>
      <c r="BO13" s="55"/>
      <c r="BP13" s="64"/>
      <c r="BQ13" s="34"/>
    </row>
    <row r="14" spans="1:69" ht="17.25" customHeight="1" outlineLevel="1" x14ac:dyDescent="0.25">
      <c r="A14" s="34"/>
      <c r="B14" s="35">
        <v>43160</v>
      </c>
      <c r="C14" s="36" t="s">
        <v>49</v>
      </c>
      <c r="D14" s="36" t="s">
        <v>45</v>
      </c>
      <c r="E14" s="37">
        <f ca="1">E13+1</f>
        <v>45965</v>
      </c>
      <c r="F14" s="37">
        <f t="shared" ca="1" si="1"/>
        <v>45971</v>
      </c>
      <c r="G14" s="38">
        <f t="shared" ca="1" si="0"/>
        <v>6</v>
      </c>
      <c r="H14" s="39">
        <v>0</v>
      </c>
      <c r="I14" s="53"/>
      <c r="J14" s="54"/>
      <c r="K14" s="55"/>
      <c r="L14" s="56"/>
      <c r="M14" s="57"/>
      <c r="N14" s="58"/>
      <c r="O14" s="59"/>
      <c r="P14" s="59"/>
      <c r="Q14" s="60"/>
      <c r="R14" s="60"/>
      <c r="S14" s="60"/>
      <c r="T14" s="60"/>
      <c r="U14" s="60"/>
      <c r="V14" s="60"/>
      <c r="W14" s="55"/>
      <c r="X14" s="55"/>
      <c r="Y14" s="55"/>
      <c r="Z14" s="55"/>
      <c r="AA14" s="55"/>
      <c r="AB14" s="55"/>
      <c r="AC14" s="61"/>
      <c r="AD14" s="61"/>
      <c r="AE14" s="61"/>
      <c r="AF14" s="61"/>
      <c r="AG14" s="61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62"/>
      <c r="AS14" s="62"/>
      <c r="AT14" s="62"/>
      <c r="AU14" s="62"/>
      <c r="AV14" s="62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63"/>
      <c r="BH14" s="63"/>
      <c r="BI14" s="63"/>
      <c r="BJ14" s="63"/>
      <c r="BK14" s="63"/>
      <c r="BL14" s="55"/>
      <c r="BM14" s="55"/>
      <c r="BN14" s="55"/>
      <c r="BO14" s="55"/>
      <c r="BP14" s="64"/>
      <c r="BQ14" s="34"/>
    </row>
    <row r="15" spans="1:69" ht="17.25" customHeight="1" outlineLevel="1" x14ac:dyDescent="0.25">
      <c r="A15" s="34"/>
      <c r="B15" s="35">
        <v>43191</v>
      </c>
      <c r="C15" s="36" t="s">
        <v>50</v>
      </c>
      <c r="D15" s="36" t="s">
        <v>45</v>
      </c>
      <c r="E15" s="37">
        <f ca="1">E14+2</f>
        <v>45967</v>
      </c>
      <c r="F15" s="37">
        <f ca="1">E15+4</f>
        <v>45971</v>
      </c>
      <c r="G15" s="38">
        <f t="shared" ca="1" si="0"/>
        <v>4</v>
      </c>
      <c r="H15" s="39">
        <v>0</v>
      </c>
      <c r="I15" s="53"/>
      <c r="J15" s="54"/>
      <c r="K15" s="55"/>
      <c r="L15" s="56"/>
      <c r="M15" s="57"/>
      <c r="N15" s="58"/>
      <c r="O15" s="59"/>
      <c r="P15" s="59"/>
      <c r="Q15" s="59"/>
      <c r="R15" s="59"/>
      <c r="S15" s="60"/>
      <c r="T15" s="60"/>
      <c r="U15" s="60"/>
      <c r="V15" s="60"/>
      <c r="W15" s="55"/>
      <c r="X15" s="55"/>
      <c r="Y15" s="55"/>
      <c r="Z15" s="55"/>
      <c r="AA15" s="55"/>
      <c r="AB15" s="55"/>
      <c r="AC15" s="61"/>
      <c r="AD15" s="61"/>
      <c r="AE15" s="61"/>
      <c r="AF15" s="61"/>
      <c r="AG15" s="61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62"/>
      <c r="AS15" s="62"/>
      <c r="AT15" s="62"/>
      <c r="AU15" s="62"/>
      <c r="AV15" s="62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63"/>
      <c r="BH15" s="63"/>
      <c r="BI15" s="63"/>
      <c r="BJ15" s="63"/>
      <c r="BK15" s="63"/>
      <c r="BL15" s="55"/>
      <c r="BM15" s="55"/>
      <c r="BN15" s="55"/>
      <c r="BO15" s="55"/>
      <c r="BP15" s="64"/>
      <c r="BQ15" s="34"/>
    </row>
    <row r="16" spans="1:69" ht="17.25" customHeight="1" outlineLevel="1" x14ac:dyDescent="0.25">
      <c r="A16" s="34"/>
      <c r="B16" s="35">
        <v>43221</v>
      </c>
      <c r="C16" s="36" t="s">
        <v>51</v>
      </c>
      <c r="D16" s="36" t="s">
        <v>45</v>
      </c>
      <c r="E16" s="37">
        <f ca="1">E15+1</f>
        <v>45968</v>
      </c>
      <c r="F16" s="37">
        <f ca="1">E16+3</f>
        <v>45971</v>
      </c>
      <c r="G16" s="38">
        <f t="shared" ca="1" si="0"/>
        <v>3</v>
      </c>
      <c r="H16" s="39">
        <v>0</v>
      </c>
      <c r="I16" s="53"/>
      <c r="J16" s="54"/>
      <c r="K16" s="55"/>
      <c r="L16" s="56"/>
      <c r="M16" s="57"/>
      <c r="N16" s="58"/>
      <c r="O16" s="59"/>
      <c r="P16" s="59"/>
      <c r="Q16" s="59"/>
      <c r="R16" s="59"/>
      <c r="S16" s="55"/>
      <c r="T16" s="60"/>
      <c r="U16" s="60"/>
      <c r="V16" s="60"/>
      <c r="W16" s="55"/>
      <c r="X16" s="55"/>
      <c r="Y16" s="55"/>
      <c r="Z16" s="55"/>
      <c r="AA16" s="55"/>
      <c r="AB16" s="55"/>
      <c r="AC16" s="61"/>
      <c r="AD16" s="61"/>
      <c r="AE16" s="61"/>
      <c r="AF16" s="61"/>
      <c r="AG16" s="61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62"/>
      <c r="AS16" s="62"/>
      <c r="AT16" s="62"/>
      <c r="AU16" s="62"/>
      <c r="AV16" s="62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63"/>
      <c r="BH16" s="63"/>
      <c r="BI16" s="63"/>
      <c r="BJ16" s="63"/>
      <c r="BK16" s="63"/>
      <c r="BL16" s="55"/>
      <c r="BM16" s="55"/>
      <c r="BN16" s="55"/>
      <c r="BO16" s="55"/>
      <c r="BP16" s="64"/>
      <c r="BQ16" s="34"/>
    </row>
    <row r="17" spans="1:69" ht="17.25" customHeight="1" outlineLevel="1" x14ac:dyDescent="0.25">
      <c r="A17" s="34"/>
      <c r="B17" s="35">
        <v>43252</v>
      </c>
      <c r="C17" s="36" t="s">
        <v>52</v>
      </c>
      <c r="D17" s="36" t="s">
        <v>45</v>
      </c>
      <c r="E17" s="37">
        <f ca="1">F16+1</f>
        <v>45972</v>
      </c>
      <c r="F17" s="37">
        <f ca="1">E17+1</f>
        <v>45973</v>
      </c>
      <c r="G17" s="38">
        <f t="shared" ca="1" si="0"/>
        <v>1</v>
      </c>
      <c r="H17" s="39">
        <v>0</v>
      </c>
      <c r="I17" s="65"/>
      <c r="J17" s="66"/>
      <c r="K17" s="67"/>
      <c r="L17" s="68"/>
      <c r="M17" s="69"/>
      <c r="N17" s="70"/>
      <c r="O17" s="71"/>
      <c r="P17" s="71"/>
      <c r="Q17" s="71"/>
      <c r="R17" s="71"/>
      <c r="S17" s="67"/>
      <c r="T17" s="67"/>
      <c r="U17" s="67"/>
      <c r="V17" s="67"/>
      <c r="W17" s="72"/>
      <c r="X17" s="67"/>
      <c r="Y17" s="67"/>
      <c r="Z17" s="67"/>
      <c r="AA17" s="67"/>
      <c r="AB17" s="67"/>
      <c r="AC17" s="73"/>
      <c r="AD17" s="73"/>
      <c r="AE17" s="73"/>
      <c r="AF17" s="73"/>
      <c r="AG17" s="73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74"/>
      <c r="AS17" s="74"/>
      <c r="AT17" s="74"/>
      <c r="AU17" s="74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75"/>
      <c r="BH17" s="75"/>
      <c r="BI17" s="75"/>
      <c r="BJ17" s="75"/>
      <c r="BK17" s="75"/>
      <c r="BL17" s="67"/>
      <c r="BM17" s="67"/>
      <c r="BN17" s="67"/>
      <c r="BO17" s="67"/>
      <c r="BP17" s="76"/>
      <c r="BQ17" s="34"/>
    </row>
    <row r="18" spans="1:69" ht="21" customHeight="1" x14ac:dyDescent="0.25">
      <c r="A18" s="14"/>
      <c r="B18" s="27">
        <v>2</v>
      </c>
      <c r="C18" s="28" t="s">
        <v>53</v>
      </c>
      <c r="D18" s="29"/>
      <c r="E18" s="77"/>
      <c r="F18" s="77"/>
      <c r="G18" s="29"/>
      <c r="H18" s="29"/>
      <c r="I18" s="30"/>
      <c r="J18" s="31"/>
      <c r="K18" s="32"/>
      <c r="L18" s="32"/>
      <c r="M18" s="33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4"/>
    </row>
    <row r="19" spans="1:69" ht="17.25" customHeight="1" outlineLevel="1" x14ac:dyDescent="0.25">
      <c r="A19" s="34"/>
      <c r="B19" s="35">
        <v>43102</v>
      </c>
      <c r="C19" s="36" t="s">
        <v>54</v>
      </c>
      <c r="D19" s="36" t="s">
        <v>45</v>
      </c>
      <c r="E19" s="37">
        <f ca="1">F17+1</f>
        <v>45974</v>
      </c>
      <c r="F19" s="37">
        <f ca="1">E19+4</f>
        <v>45978</v>
      </c>
      <c r="G19" s="38">
        <v>4</v>
      </c>
      <c r="H19" s="39">
        <v>0</v>
      </c>
      <c r="I19" s="40"/>
      <c r="J19" s="41"/>
      <c r="K19" s="42"/>
      <c r="L19" s="43"/>
      <c r="M19" s="78"/>
      <c r="N19" s="79"/>
      <c r="O19" s="47"/>
      <c r="P19" s="47"/>
      <c r="Q19" s="47"/>
      <c r="R19" s="47"/>
      <c r="S19" s="42"/>
      <c r="T19" s="42"/>
      <c r="U19" s="42"/>
      <c r="V19" s="42"/>
      <c r="W19" s="42"/>
      <c r="X19" s="46"/>
      <c r="Y19" s="46"/>
      <c r="Z19" s="46"/>
      <c r="AA19" s="46"/>
      <c r="AB19" s="42"/>
      <c r="AC19" s="48"/>
      <c r="AD19" s="48"/>
      <c r="AE19" s="48"/>
      <c r="AF19" s="48"/>
      <c r="AG19" s="48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9"/>
      <c r="AS19" s="49"/>
      <c r="AT19" s="49"/>
      <c r="AU19" s="49"/>
      <c r="AV19" s="49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50"/>
      <c r="BH19" s="50"/>
      <c r="BI19" s="50"/>
      <c r="BJ19" s="50"/>
      <c r="BK19" s="50"/>
      <c r="BL19" s="42"/>
      <c r="BM19" s="42"/>
      <c r="BN19" s="42"/>
      <c r="BO19" s="42"/>
      <c r="BP19" s="51"/>
      <c r="BQ19" s="34"/>
    </row>
    <row r="20" spans="1:69" ht="17.25" customHeight="1" outlineLevel="1" x14ac:dyDescent="0.25">
      <c r="A20" s="34"/>
      <c r="B20" s="35">
        <v>43133</v>
      </c>
      <c r="C20" s="36" t="s">
        <v>55</v>
      </c>
      <c r="D20" s="36" t="s">
        <v>45</v>
      </c>
      <c r="E20" s="37">
        <f ca="1">F19+1</f>
        <v>45979</v>
      </c>
      <c r="F20" s="37">
        <f ca="1">E20+3</f>
        <v>45982</v>
      </c>
      <c r="G20" s="38">
        <v>3</v>
      </c>
      <c r="H20" s="39">
        <v>0</v>
      </c>
      <c r="I20" s="53"/>
      <c r="J20" s="54"/>
      <c r="K20" s="55"/>
      <c r="L20" s="56"/>
      <c r="M20" s="57"/>
      <c r="N20" s="58"/>
      <c r="O20" s="59"/>
      <c r="P20" s="59"/>
      <c r="Q20" s="59"/>
      <c r="R20" s="59"/>
      <c r="S20" s="55"/>
      <c r="T20" s="55"/>
      <c r="U20" s="55"/>
      <c r="V20" s="55"/>
      <c r="W20" s="55"/>
      <c r="X20" s="55"/>
      <c r="Y20" s="55"/>
      <c r="Z20" s="55"/>
      <c r="AA20" s="55"/>
      <c r="AB20" s="46"/>
      <c r="AC20" s="46"/>
      <c r="AD20" s="46"/>
      <c r="AE20" s="61"/>
      <c r="AF20" s="61"/>
      <c r="AG20" s="61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62"/>
      <c r="AS20" s="62"/>
      <c r="AT20" s="62"/>
      <c r="AU20" s="62"/>
      <c r="AV20" s="62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63"/>
      <c r="BH20" s="63"/>
      <c r="BI20" s="63"/>
      <c r="BJ20" s="63"/>
      <c r="BK20" s="63"/>
      <c r="BL20" s="55"/>
      <c r="BM20" s="55"/>
      <c r="BN20" s="55"/>
      <c r="BO20" s="55"/>
      <c r="BP20" s="64"/>
      <c r="BQ20" s="34"/>
    </row>
    <row r="21" spans="1:69" ht="17.25" customHeight="1" outlineLevel="1" x14ac:dyDescent="0.25">
      <c r="A21" s="34"/>
      <c r="B21" s="35">
        <v>43161</v>
      </c>
      <c r="C21" s="36" t="s">
        <v>56</v>
      </c>
      <c r="D21" s="36" t="s">
        <v>45</v>
      </c>
      <c r="E21" s="80" t="s">
        <v>57</v>
      </c>
      <c r="F21" s="80" t="s">
        <v>57</v>
      </c>
      <c r="G21" s="38">
        <v>0</v>
      </c>
      <c r="H21" s="39">
        <v>0</v>
      </c>
      <c r="I21" s="53"/>
      <c r="J21" s="54"/>
      <c r="K21" s="55"/>
      <c r="L21" s="56"/>
      <c r="M21" s="57"/>
      <c r="N21" s="58"/>
      <c r="O21" s="59"/>
      <c r="P21" s="59"/>
      <c r="Q21" s="59"/>
      <c r="R21" s="59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61"/>
      <c r="AD21" s="61"/>
      <c r="AE21" s="61"/>
      <c r="AF21" s="61"/>
      <c r="AG21" s="61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62"/>
      <c r="AS21" s="62"/>
      <c r="AT21" s="62"/>
      <c r="AU21" s="62"/>
      <c r="AV21" s="62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63"/>
      <c r="BH21" s="63"/>
      <c r="BI21" s="63"/>
      <c r="BJ21" s="63"/>
      <c r="BK21" s="63"/>
      <c r="BL21" s="55"/>
      <c r="BM21" s="55"/>
      <c r="BN21" s="55"/>
      <c r="BO21" s="55"/>
      <c r="BP21" s="64"/>
      <c r="BQ21" s="34"/>
    </row>
    <row r="22" spans="1:69" ht="17.25" customHeight="1" outlineLevel="1" x14ac:dyDescent="0.25">
      <c r="A22" s="34"/>
      <c r="B22" s="35">
        <v>43192</v>
      </c>
      <c r="C22" s="36" t="s">
        <v>58</v>
      </c>
      <c r="D22" s="36" t="s">
        <v>45</v>
      </c>
      <c r="E22" s="80" t="s">
        <v>57</v>
      </c>
      <c r="F22" s="80" t="s">
        <v>57</v>
      </c>
      <c r="G22" s="38">
        <v>0</v>
      </c>
      <c r="H22" s="81">
        <v>0</v>
      </c>
      <c r="I22" s="53"/>
      <c r="J22" s="54"/>
      <c r="K22" s="55"/>
      <c r="L22" s="56"/>
      <c r="M22" s="57"/>
      <c r="N22" s="58"/>
      <c r="O22" s="59"/>
      <c r="P22" s="59"/>
      <c r="Q22" s="59"/>
      <c r="R22" s="59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61"/>
      <c r="AD22" s="61"/>
      <c r="AE22" s="61"/>
      <c r="AF22" s="61"/>
      <c r="AG22" s="61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62"/>
      <c r="AS22" s="62"/>
      <c r="AT22" s="62"/>
      <c r="AU22" s="62"/>
      <c r="AV22" s="62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63"/>
      <c r="BH22" s="63"/>
      <c r="BI22" s="63"/>
      <c r="BJ22" s="63"/>
      <c r="BK22" s="63"/>
      <c r="BL22" s="55"/>
      <c r="BM22" s="55"/>
      <c r="BN22" s="55"/>
      <c r="BO22" s="55"/>
      <c r="BP22" s="64"/>
      <c r="BQ22" s="34"/>
    </row>
    <row r="23" spans="1:69" ht="21" customHeight="1" x14ac:dyDescent="0.25">
      <c r="A23" s="14"/>
      <c r="B23" s="27">
        <v>3</v>
      </c>
      <c r="C23" s="28" t="s">
        <v>43</v>
      </c>
      <c r="D23" s="29"/>
      <c r="E23" s="77"/>
      <c r="F23" s="77"/>
      <c r="G23" s="29"/>
      <c r="H23" s="29"/>
      <c r="I23" s="30"/>
      <c r="J23" s="31"/>
      <c r="K23" s="32"/>
      <c r="L23" s="32"/>
      <c r="M23" s="33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14"/>
    </row>
    <row r="24" spans="1:69" ht="17.25" customHeight="1" outlineLevel="1" x14ac:dyDescent="0.25">
      <c r="A24" s="34"/>
      <c r="B24" s="82" t="s">
        <v>59</v>
      </c>
      <c r="C24" s="36" t="s">
        <v>60</v>
      </c>
      <c r="D24" s="36" t="s">
        <v>45</v>
      </c>
      <c r="E24" s="80" t="s">
        <v>57</v>
      </c>
      <c r="F24" s="80" t="s">
        <v>57</v>
      </c>
      <c r="G24" s="38">
        <v>0</v>
      </c>
      <c r="H24" s="39">
        <v>0</v>
      </c>
      <c r="I24" s="40"/>
      <c r="J24" s="41"/>
      <c r="K24" s="42"/>
      <c r="L24" s="43"/>
      <c r="M24" s="78"/>
      <c r="N24" s="58"/>
      <c r="O24" s="59"/>
      <c r="P24" s="59"/>
      <c r="Q24" s="59"/>
      <c r="R24" s="59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8"/>
      <c r="AD24" s="48"/>
      <c r="AE24" s="48"/>
      <c r="AF24" s="48"/>
      <c r="AG24" s="48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9"/>
      <c r="AS24" s="49"/>
      <c r="AT24" s="49"/>
      <c r="AU24" s="49"/>
      <c r="AV24" s="49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50"/>
      <c r="BH24" s="50"/>
      <c r="BI24" s="50"/>
      <c r="BJ24" s="50"/>
      <c r="BK24" s="50"/>
      <c r="BL24" s="42"/>
      <c r="BM24" s="42"/>
      <c r="BN24" s="42"/>
      <c r="BO24" s="42"/>
      <c r="BP24" s="51"/>
      <c r="BQ24" s="34"/>
    </row>
    <row r="25" spans="1:69" ht="17.25" customHeight="1" outlineLevel="1" x14ac:dyDescent="0.25">
      <c r="A25" s="34"/>
      <c r="B25" s="82" t="s">
        <v>61</v>
      </c>
      <c r="C25" s="36" t="s">
        <v>62</v>
      </c>
      <c r="D25" s="36" t="s">
        <v>45</v>
      </c>
      <c r="E25" s="80" t="s">
        <v>57</v>
      </c>
      <c r="F25" s="80" t="s">
        <v>57</v>
      </c>
      <c r="G25" s="38">
        <v>0</v>
      </c>
      <c r="H25" s="39">
        <v>0</v>
      </c>
      <c r="I25" s="53"/>
      <c r="J25" s="54"/>
      <c r="K25" s="55"/>
      <c r="L25" s="56"/>
      <c r="M25" s="57"/>
      <c r="N25" s="58"/>
      <c r="O25" s="59"/>
      <c r="P25" s="59"/>
      <c r="Q25" s="59"/>
      <c r="R25" s="59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61"/>
      <c r="AD25" s="61"/>
      <c r="AE25" s="61"/>
      <c r="AF25" s="61"/>
      <c r="AG25" s="61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62"/>
      <c r="AS25" s="62"/>
      <c r="AT25" s="62"/>
      <c r="AU25" s="62"/>
      <c r="AV25" s="62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63"/>
      <c r="BH25" s="63"/>
      <c r="BI25" s="63"/>
      <c r="BJ25" s="63"/>
      <c r="BK25" s="63"/>
      <c r="BL25" s="55"/>
      <c r="BM25" s="55"/>
      <c r="BN25" s="55"/>
      <c r="BO25" s="55"/>
      <c r="BP25" s="64"/>
      <c r="BQ25" s="34"/>
    </row>
    <row r="26" spans="1:69" ht="17.25" customHeight="1" outlineLevel="1" x14ac:dyDescent="0.25">
      <c r="A26" s="34"/>
      <c r="B26" s="83" t="s">
        <v>63</v>
      </c>
      <c r="C26" s="36" t="s">
        <v>64</v>
      </c>
      <c r="D26" s="36" t="s">
        <v>45</v>
      </c>
      <c r="E26" s="80" t="s">
        <v>57</v>
      </c>
      <c r="F26" s="80" t="s">
        <v>57</v>
      </c>
      <c r="G26" s="38">
        <v>0</v>
      </c>
      <c r="H26" s="39">
        <v>0</v>
      </c>
      <c r="I26" s="53"/>
      <c r="J26" s="54"/>
      <c r="K26" s="55"/>
      <c r="L26" s="56"/>
      <c r="M26" s="57"/>
      <c r="N26" s="58"/>
      <c r="O26" s="59"/>
      <c r="P26" s="59"/>
      <c r="Q26" s="59"/>
      <c r="R26" s="59"/>
      <c r="S26" s="42"/>
      <c r="T26" s="42"/>
      <c r="U26" s="42"/>
      <c r="V26" s="42"/>
      <c r="W26" s="55"/>
      <c r="X26" s="55"/>
      <c r="Y26" s="55"/>
      <c r="Z26" s="55"/>
      <c r="AA26" s="55"/>
      <c r="AB26" s="55"/>
      <c r="AC26" s="61"/>
      <c r="AD26" s="61"/>
      <c r="AE26" s="61"/>
      <c r="AF26" s="61"/>
      <c r="AG26" s="61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62"/>
      <c r="AS26" s="62"/>
      <c r="AT26" s="62"/>
      <c r="AU26" s="62"/>
      <c r="AV26" s="62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63"/>
      <c r="BH26" s="63"/>
      <c r="BI26" s="63"/>
      <c r="BJ26" s="63"/>
      <c r="BK26" s="63"/>
      <c r="BL26" s="55"/>
      <c r="BM26" s="55"/>
      <c r="BN26" s="55"/>
      <c r="BO26" s="55"/>
      <c r="BP26" s="64"/>
      <c r="BQ26" s="34"/>
    </row>
    <row r="27" spans="1:69" ht="17.25" customHeight="1" outlineLevel="1" x14ac:dyDescent="0.25">
      <c r="A27" s="34"/>
      <c r="B27" s="83" t="s">
        <v>65</v>
      </c>
      <c r="C27" s="36" t="s">
        <v>66</v>
      </c>
      <c r="D27" s="36" t="s">
        <v>45</v>
      </c>
      <c r="E27" s="80" t="s">
        <v>57</v>
      </c>
      <c r="F27" s="80" t="s">
        <v>57</v>
      </c>
      <c r="G27" s="38">
        <v>0</v>
      </c>
      <c r="H27" s="81">
        <v>0</v>
      </c>
      <c r="I27" s="53"/>
      <c r="J27" s="54"/>
      <c r="K27" s="55"/>
      <c r="L27" s="56"/>
      <c r="M27" s="57"/>
      <c r="N27" s="58"/>
      <c r="O27" s="59"/>
      <c r="P27" s="59"/>
      <c r="Q27" s="59"/>
      <c r="R27" s="59"/>
      <c r="S27" s="42"/>
      <c r="T27" s="42"/>
      <c r="U27" s="42"/>
      <c r="V27" s="42"/>
      <c r="W27" s="55"/>
      <c r="X27" s="55"/>
      <c r="Y27" s="55"/>
      <c r="Z27" s="55"/>
      <c r="AA27" s="55"/>
      <c r="AB27" s="55"/>
      <c r="AC27" s="61"/>
      <c r="AD27" s="61"/>
      <c r="AE27" s="61"/>
      <c r="AF27" s="61"/>
      <c r="AG27" s="61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62"/>
      <c r="AS27" s="62"/>
      <c r="AT27" s="62"/>
      <c r="AU27" s="62"/>
      <c r="AV27" s="62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63"/>
      <c r="BH27" s="63"/>
      <c r="BI27" s="63"/>
      <c r="BJ27" s="63"/>
      <c r="BK27" s="63"/>
      <c r="BL27" s="55"/>
      <c r="BM27" s="55"/>
      <c r="BN27" s="55"/>
      <c r="BO27" s="55"/>
      <c r="BP27" s="64"/>
      <c r="BQ27" s="34"/>
    </row>
    <row r="28" spans="1:69" ht="17.25" customHeight="1" outlineLevel="1" x14ac:dyDescent="0.25">
      <c r="A28" s="34"/>
      <c r="B28" s="82" t="s">
        <v>67</v>
      </c>
      <c r="C28" s="36" t="s">
        <v>68</v>
      </c>
      <c r="D28" s="36" t="s">
        <v>45</v>
      </c>
      <c r="E28" s="80" t="s">
        <v>57</v>
      </c>
      <c r="F28" s="80" t="s">
        <v>57</v>
      </c>
      <c r="G28" s="38">
        <v>0</v>
      </c>
      <c r="H28" s="39">
        <v>0</v>
      </c>
      <c r="I28" s="53"/>
      <c r="J28" s="54"/>
      <c r="K28" s="55"/>
      <c r="L28" s="56"/>
      <c r="M28" s="57"/>
      <c r="N28" s="58"/>
      <c r="O28" s="59"/>
      <c r="P28" s="59"/>
      <c r="Q28" s="59"/>
      <c r="R28" s="59"/>
      <c r="S28" s="42"/>
      <c r="T28" s="42"/>
      <c r="U28" s="42"/>
      <c r="V28" s="42"/>
      <c r="W28" s="55"/>
      <c r="X28" s="55"/>
      <c r="Y28" s="55"/>
      <c r="Z28" s="55"/>
      <c r="AA28" s="55"/>
      <c r="AB28" s="55"/>
      <c r="AC28" s="61"/>
      <c r="AD28" s="61"/>
      <c r="AE28" s="61"/>
      <c r="AF28" s="61"/>
      <c r="AG28" s="61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62"/>
      <c r="AS28" s="62"/>
      <c r="AT28" s="62"/>
      <c r="AU28" s="62"/>
      <c r="AV28" s="62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63"/>
      <c r="BH28" s="63"/>
      <c r="BI28" s="63"/>
      <c r="BJ28" s="63"/>
      <c r="BK28" s="63"/>
      <c r="BL28" s="55"/>
      <c r="BM28" s="55"/>
      <c r="BN28" s="55"/>
      <c r="BO28" s="55"/>
      <c r="BP28" s="64"/>
      <c r="BQ28" s="34"/>
    </row>
    <row r="29" spans="1:69" ht="17.25" customHeight="1" outlineLevel="1" x14ac:dyDescent="0.25">
      <c r="A29" s="34"/>
      <c r="B29" s="83" t="s">
        <v>69</v>
      </c>
      <c r="C29" s="36" t="s">
        <v>70</v>
      </c>
      <c r="D29" s="36" t="s">
        <v>45</v>
      </c>
      <c r="E29" s="80" t="s">
        <v>57</v>
      </c>
      <c r="F29" s="80" t="s">
        <v>57</v>
      </c>
      <c r="G29" s="38">
        <v>0</v>
      </c>
      <c r="H29" s="39">
        <v>0</v>
      </c>
      <c r="I29" s="53"/>
      <c r="J29" s="54"/>
      <c r="K29" s="55"/>
      <c r="L29" s="56"/>
      <c r="M29" s="57"/>
      <c r="N29" s="58"/>
      <c r="O29" s="59"/>
      <c r="P29" s="59"/>
      <c r="Q29" s="59"/>
      <c r="R29" s="59"/>
      <c r="S29" s="42"/>
      <c r="T29" s="42"/>
      <c r="U29" s="42"/>
      <c r="V29" s="42"/>
      <c r="W29" s="55"/>
      <c r="X29" s="55"/>
      <c r="Y29" s="55"/>
      <c r="Z29" s="55"/>
      <c r="AA29" s="55"/>
      <c r="AB29" s="55"/>
      <c r="AC29" s="61"/>
      <c r="AD29" s="61"/>
      <c r="AE29" s="61"/>
      <c r="AF29" s="61"/>
      <c r="AG29" s="61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62"/>
      <c r="AS29" s="62"/>
      <c r="AT29" s="62"/>
      <c r="AU29" s="62"/>
      <c r="AV29" s="62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63"/>
      <c r="BH29" s="63"/>
      <c r="BI29" s="63"/>
      <c r="BJ29" s="63"/>
      <c r="BK29" s="63"/>
      <c r="BL29" s="55"/>
      <c r="BM29" s="55"/>
      <c r="BN29" s="55"/>
      <c r="BO29" s="55"/>
      <c r="BP29" s="64"/>
      <c r="BQ29" s="34"/>
    </row>
    <row r="30" spans="1:69" ht="21" customHeight="1" x14ac:dyDescent="0.25">
      <c r="A30" s="14"/>
      <c r="B30" s="27">
        <v>4</v>
      </c>
      <c r="C30" s="28" t="s">
        <v>71</v>
      </c>
      <c r="D30" s="29"/>
      <c r="E30" s="77"/>
      <c r="F30" s="77"/>
      <c r="G30" s="29"/>
      <c r="H30" s="29"/>
      <c r="I30" s="30"/>
      <c r="J30" s="31"/>
      <c r="K30" s="32"/>
      <c r="L30" s="32"/>
      <c r="M30" s="33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14"/>
    </row>
    <row r="31" spans="1:69" ht="17.25" customHeight="1" outlineLevel="1" x14ac:dyDescent="0.25">
      <c r="A31" s="34"/>
      <c r="B31" s="35">
        <v>43104</v>
      </c>
      <c r="C31" s="36" t="s">
        <v>72</v>
      </c>
      <c r="D31" s="36" t="s">
        <v>45</v>
      </c>
      <c r="E31" s="80" t="s">
        <v>57</v>
      </c>
      <c r="F31" s="80" t="s">
        <v>57</v>
      </c>
      <c r="G31" s="38">
        <v>0</v>
      </c>
      <c r="H31" s="39">
        <v>0</v>
      </c>
      <c r="I31" s="40"/>
      <c r="J31" s="41"/>
      <c r="K31" s="42"/>
      <c r="L31" s="43"/>
      <c r="M31" s="78"/>
      <c r="N31" s="79"/>
      <c r="O31" s="47"/>
      <c r="P31" s="47"/>
      <c r="Q31" s="47"/>
      <c r="R31" s="47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8"/>
      <c r="AD31" s="48"/>
      <c r="AE31" s="48"/>
      <c r="AF31" s="48"/>
      <c r="AG31" s="48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9"/>
      <c r="AS31" s="49"/>
      <c r="AT31" s="49"/>
      <c r="AU31" s="49"/>
      <c r="AV31" s="49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50"/>
      <c r="BH31" s="50"/>
      <c r="BI31" s="50"/>
      <c r="BJ31" s="50"/>
      <c r="BK31" s="50"/>
      <c r="BL31" s="42"/>
      <c r="BM31" s="42"/>
      <c r="BN31" s="42"/>
      <c r="BO31" s="42"/>
      <c r="BP31" s="51"/>
      <c r="BQ31" s="34"/>
    </row>
    <row r="32" spans="1:69" ht="17.25" customHeight="1" outlineLevel="1" x14ac:dyDescent="0.25">
      <c r="A32" s="34"/>
      <c r="B32" s="35">
        <v>43135</v>
      </c>
      <c r="C32" s="36" t="s">
        <v>73</v>
      </c>
      <c r="D32" s="36" t="s">
        <v>45</v>
      </c>
      <c r="E32" s="80" t="s">
        <v>57</v>
      </c>
      <c r="F32" s="80" t="s">
        <v>57</v>
      </c>
      <c r="G32" s="38">
        <v>0</v>
      </c>
      <c r="H32" s="39">
        <v>0</v>
      </c>
      <c r="I32" s="53"/>
      <c r="J32" s="54"/>
      <c r="K32" s="55"/>
      <c r="L32" s="56"/>
      <c r="M32" s="57"/>
      <c r="N32" s="79"/>
      <c r="O32" s="47"/>
      <c r="P32" s="47"/>
      <c r="Q32" s="47"/>
      <c r="R32" s="47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61"/>
      <c r="AD32" s="61"/>
      <c r="AE32" s="61"/>
      <c r="AF32" s="61"/>
      <c r="AG32" s="61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62"/>
      <c r="AS32" s="62"/>
      <c r="AT32" s="62"/>
      <c r="AU32" s="62"/>
      <c r="AV32" s="62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63"/>
      <c r="BH32" s="63"/>
      <c r="BI32" s="63"/>
      <c r="BJ32" s="63"/>
      <c r="BK32" s="63"/>
      <c r="BL32" s="55"/>
      <c r="BM32" s="55"/>
      <c r="BN32" s="55"/>
      <c r="BO32" s="55"/>
      <c r="BP32" s="64"/>
      <c r="BQ32" s="34"/>
    </row>
    <row r="33" spans="1:69" ht="17.25" customHeight="1" outlineLevel="1" x14ac:dyDescent="0.25">
      <c r="A33" s="34"/>
      <c r="B33" s="35">
        <v>43163</v>
      </c>
      <c r="C33" s="36" t="s">
        <v>74</v>
      </c>
      <c r="D33" s="36" t="s">
        <v>45</v>
      </c>
      <c r="E33" s="80" t="s">
        <v>57</v>
      </c>
      <c r="F33" s="80" t="s">
        <v>57</v>
      </c>
      <c r="G33" s="38">
        <v>0</v>
      </c>
      <c r="H33" s="39">
        <v>0</v>
      </c>
      <c r="I33" s="53"/>
      <c r="J33" s="54"/>
      <c r="K33" s="55"/>
      <c r="L33" s="56"/>
      <c r="M33" s="57"/>
      <c r="N33" s="79"/>
      <c r="O33" s="47"/>
      <c r="P33" s="47"/>
      <c r="Q33" s="47"/>
      <c r="R33" s="47"/>
      <c r="S33" s="42"/>
      <c r="T33" s="42"/>
      <c r="U33" s="42"/>
      <c r="V33" s="42"/>
      <c r="W33" s="55"/>
      <c r="X33" s="55"/>
      <c r="Y33" s="55"/>
      <c r="Z33" s="55"/>
      <c r="AA33" s="55"/>
      <c r="AB33" s="55"/>
      <c r="AC33" s="61"/>
      <c r="AD33" s="61"/>
      <c r="AE33" s="61"/>
      <c r="AF33" s="61"/>
      <c r="AG33" s="61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62"/>
      <c r="AS33" s="62"/>
      <c r="AT33" s="62"/>
      <c r="AU33" s="62"/>
      <c r="AV33" s="62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63"/>
      <c r="BH33" s="63"/>
      <c r="BI33" s="63"/>
      <c r="BJ33" s="63"/>
      <c r="BK33" s="63"/>
      <c r="BL33" s="55"/>
      <c r="BM33" s="55"/>
      <c r="BN33" s="55"/>
      <c r="BO33" s="55"/>
      <c r="BP33" s="64"/>
      <c r="BQ33" s="34"/>
    </row>
    <row r="34" spans="1:69" ht="17.25" customHeight="1" outlineLevel="1" x14ac:dyDescent="0.25">
      <c r="A34" s="34"/>
      <c r="B34" s="35">
        <v>43194</v>
      </c>
      <c r="C34" s="36" t="s">
        <v>75</v>
      </c>
      <c r="D34" s="36" t="s">
        <v>45</v>
      </c>
      <c r="E34" s="80" t="s">
        <v>57</v>
      </c>
      <c r="F34" s="80" t="s">
        <v>57</v>
      </c>
      <c r="G34" s="38">
        <v>0</v>
      </c>
      <c r="H34" s="81">
        <v>0</v>
      </c>
      <c r="I34" s="53"/>
      <c r="J34" s="54"/>
      <c r="K34" s="55"/>
      <c r="L34" s="56"/>
      <c r="M34" s="84"/>
      <c r="N34" s="79"/>
      <c r="O34" s="47"/>
      <c r="P34" s="47"/>
      <c r="Q34" s="47"/>
      <c r="R34" s="47"/>
      <c r="S34" s="42"/>
      <c r="T34" s="42"/>
      <c r="U34" s="42"/>
      <c r="V34" s="42"/>
      <c r="W34" s="55"/>
      <c r="X34" s="55"/>
      <c r="Y34" s="55"/>
      <c r="Z34" s="55"/>
      <c r="AA34" s="55"/>
      <c r="AB34" s="55"/>
      <c r="AC34" s="61"/>
      <c r="AD34" s="61"/>
      <c r="AE34" s="61"/>
      <c r="AF34" s="61"/>
      <c r="AG34" s="61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62"/>
      <c r="AS34" s="62"/>
      <c r="AT34" s="62"/>
      <c r="AU34" s="62"/>
      <c r="AV34" s="62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63"/>
      <c r="BH34" s="63"/>
      <c r="BI34" s="63"/>
      <c r="BJ34" s="63"/>
      <c r="BK34" s="63"/>
      <c r="BL34" s="55"/>
      <c r="BM34" s="55"/>
      <c r="BN34" s="55"/>
      <c r="BO34" s="55"/>
      <c r="BP34" s="64"/>
      <c r="BQ34" s="34"/>
    </row>
    <row r="35" spans="1:69" ht="21" customHeight="1" x14ac:dyDescent="0.25">
      <c r="A35" s="14"/>
      <c r="B35" s="85"/>
      <c r="C35" s="14"/>
      <c r="D35" s="14"/>
      <c r="E35" s="14"/>
      <c r="F35" s="14"/>
      <c r="G35" s="86"/>
      <c r="H35" s="86"/>
      <c r="I35" s="14"/>
      <c r="J35" s="14"/>
      <c r="K35" s="14"/>
      <c r="L35" s="133" t="s">
        <v>76</v>
      </c>
      <c r="M35" s="134"/>
      <c r="N35" s="13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21" customHeight="1" x14ac:dyDescent="0.25">
      <c r="A36" s="14"/>
      <c r="B36" s="135" t="s">
        <v>3</v>
      </c>
      <c r="C36" s="136"/>
      <c r="D36" s="136"/>
      <c r="E36" s="136"/>
      <c r="F36" s="136"/>
      <c r="G36" s="136"/>
      <c r="H36" s="136"/>
      <c r="I36" s="136"/>
      <c r="J36" s="137"/>
      <c r="K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21" customHeight="1" x14ac:dyDescent="0.25">
      <c r="A37" s="14"/>
      <c r="B37" s="138" t="s">
        <v>4</v>
      </c>
      <c r="C37" s="134"/>
      <c r="D37" s="134"/>
      <c r="E37" s="134"/>
      <c r="F37" s="134"/>
      <c r="G37" s="134"/>
      <c r="H37" s="134"/>
      <c r="I37" s="134"/>
      <c r="J37" s="13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21" customHeight="1" x14ac:dyDescent="0.25">
      <c r="A38" s="14"/>
      <c r="B38" s="140"/>
      <c r="C38" s="141"/>
      <c r="D38" s="141"/>
      <c r="E38" s="141"/>
      <c r="F38" s="141"/>
      <c r="G38" s="141"/>
      <c r="H38" s="141"/>
      <c r="I38" s="141"/>
      <c r="J38" s="142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</sheetData>
  <mergeCells count="42">
    <mergeCell ref="B1:G1"/>
    <mergeCell ref="I1:N1"/>
    <mergeCell ref="O1:AE1"/>
    <mergeCell ref="AH1:BA1"/>
    <mergeCell ref="AH2:BA3"/>
    <mergeCell ref="B3:C3"/>
    <mergeCell ref="D3:G3"/>
    <mergeCell ref="D5:G5"/>
    <mergeCell ref="I5:AB5"/>
    <mergeCell ref="I3:O3"/>
    <mergeCell ref="P3:AB3"/>
    <mergeCell ref="B4:C4"/>
    <mergeCell ref="D4:G4"/>
    <mergeCell ref="I4:O4"/>
    <mergeCell ref="P4:AA4"/>
    <mergeCell ref="B5:C5"/>
    <mergeCell ref="X7:AL7"/>
    <mergeCell ref="AM7:BA7"/>
    <mergeCell ref="BB7:BP7"/>
    <mergeCell ref="AR8:AV8"/>
    <mergeCell ref="AW8:BA8"/>
    <mergeCell ref="BB8:BF8"/>
    <mergeCell ref="BG8:BK8"/>
    <mergeCell ref="BL8:BP8"/>
    <mergeCell ref="X8:AB8"/>
    <mergeCell ref="AC8:AG8"/>
    <mergeCell ref="AH8:AL8"/>
    <mergeCell ref="AM8:AQ8"/>
    <mergeCell ref="L35:N35"/>
    <mergeCell ref="B36:J36"/>
    <mergeCell ref="B37:J38"/>
    <mergeCell ref="B7:B9"/>
    <mergeCell ref="C7:C9"/>
    <mergeCell ref="D7:D9"/>
    <mergeCell ref="E7:E9"/>
    <mergeCell ref="F7:F9"/>
    <mergeCell ref="G7:G9"/>
    <mergeCell ref="H7:H9"/>
    <mergeCell ref="I7:W7"/>
    <mergeCell ref="I8:M8"/>
    <mergeCell ref="N8:R8"/>
    <mergeCell ref="S8:W8"/>
  </mergeCells>
  <conditionalFormatting sqref="H11:H17 H19:H3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AH2" r:id="rId1" xr:uid="{00000000-0004-0000-0000-000000000000}"/>
    <hyperlink ref="P3" r:id="rId2" xr:uid="{00000000-0004-0000-0000-000001000000}"/>
    <hyperlink ref="B4" r:id="rId3" xr:uid="{00000000-0004-0000-0000-000002000000}"/>
    <hyperlink ref="D5" r:id="rId4" xr:uid="{00000000-0004-0000-0000-000003000000}"/>
    <hyperlink ref="I5" r:id="rId5" xr:uid="{00000000-0004-0000-0000-000004000000}"/>
    <hyperlink ref="B37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BQ38"/>
  <sheetViews>
    <sheetView showGridLines="0" workbookViewId="0">
      <pane ySplit="9" topLeftCell="A12" activePane="bottomLeft" state="frozen"/>
      <selection pane="bottomLeft" activeCell="B11" sqref="B11"/>
    </sheetView>
  </sheetViews>
  <sheetFormatPr defaultColWidth="12.5546875" defaultRowHeight="15.75" customHeight="1" outlineLevelRow="1" x14ac:dyDescent="0.25"/>
  <cols>
    <col min="1" max="1" width="2.33203125" customWidth="1"/>
    <col min="2" max="2" width="8.5546875" customWidth="1"/>
    <col min="3" max="3" width="32.33203125" customWidth="1"/>
    <col min="4" max="4" width="10.5546875" customWidth="1"/>
    <col min="5" max="5" width="8.6640625" customWidth="1"/>
    <col min="6" max="6" width="8.5546875" customWidth="1"/>
    <col min="7" max="7" width="7.6640625" customWidth="1"/>
    <col min="8" max="8" width="9.5546875" customWidth="1"/>
    <col min="9" max="68" width="3" customWidth="1"/>
    <col min="69" max="69" width="3.44140625" customWidth="1"/>
  </cols>
  <sheetData>
    <row r="1" spans="1:69" ht="40.200000000000003" x14ac:dyDescent="0.25">
      <c r="A1" s="1"/>
      <c r="B1" s="178" t="s">
        <v>0</v>
      </c>
      <c r="C1" s="171"/>
      <c r="D1" s="171"/>
      <c r="E1" s="171"/>
      <c r="F1" s="171"/>
      <c r="G1" s="171"/>
      <c r="H1" s="2"/>
      <c r="I1" s="172" t="s">
        <v>1</v>
      </c>
      <c r="J1" s="171"/>
      <c r="K1" s="171"/>
      <c r="L1" s="171"/>
      <c r="M1" s="171"/>
      <c r="N1" s="171"/>
      <c r="O1" s="173" t="s">
        <v>2</v>
      </c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12" customHeight="1" x14ac:dyDescent="0.25">
      <c r="A2" s="1"/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7"/>
      <c r="N2" s="7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8"/>
      <c r="AE2" s="8"/>
      <c r="AF2" s="8"/>
      <c r="AG2" s="8"/>
      <c r="AH2" s="8"/>
      <c r="AI2" s="8"/>
      <c r="AJ2" s="8"/>
      <c r="AK2" s="8"/>
      <c r="AL2" s="8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7">
      <c r="A3" s="1"/>
      <c r="B3" s="165" t="s">
        <v>5</v>
      </c>
      <c r="C3" s="160"/>
      <c r="D3" s="174" t="s">
        <v>6</v>
      </c>
      <c r="E3" s="159"/>
      <c r="F3" s="159"/>
      <c r="G3" s="160"/>
      <c r="H3" s="87"/>
      <c r="I3" s="162" t="s">
        <v>7</v>
      </c>
      <c r="J3" s="163"/>
      <c r="K3" s="163"/>
      <c r="L3" s="163"/>
      <c r="M3" s="163"/>
      <c r="N3" s="163"/>
      <c r="O3" s="163"/>
      <c r="P3" s="164" t="s">
        <v>8</v>
      </c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0"/>
      <c r="AD3" s="8"/>
      <c r="AE3" s="135" t="s">
        <v>3</v>
      </c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7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 x14ac:dyDescent="0.7">
      <c r="A4" s="1"/>
      <c r="B4" s="165" t="s">
        <v>9</v>
      </c>
      <c r="C4" s="160"/>
      <c r="D4" s="176" t="s">
        <v>10</v>
      </c>
      <c r="E4" s="159"/>
      <c r="F4" s="159"/>
      <c r="G4" s="160"/>
      <c r="H4" s="88"/>
      <c r="I4" s="167" t="s">
        <v>11</v>
      </c>
      <c r="J4" s="134"/>
      <c r="K4" s="134"/>
      <c r="L4" s="134"/>
      <c r="M4" s="134"/>
      <c r="N4" s="134"/>
      <c r="O4" s="134"/>
      <c r="P4" s="177">
        <f ca="1">TODAY()</f>
        <v>45961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2"/>
      <c r="AC4" s="10"/>
      <c r="AD4" s="1"/>
      <c r="AE4" s="138" t="s">
        <v>4</v>
      </c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9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25">
      <c r="A5" s="14"/>
      <c r="B5" s="169" t="s">
        <v>12</v>
      </c>
      <c r="C5" s="160"/>
      <c r="D5" s="175" t="s">
        <v>13</v>
      </c>
      <c r="E5" s="159"/>
      <c r="F5" s="159"/>
      <c r="G5" s="160"/>
      <c r="H5" s="15"/>
      <c r="I5" s="161" t="s">
        <v>77</v>
      </c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60"/>
      <c r="AC5" s="14"/>
      <c r="AD5" s="14"/>
      <c r="AE5" s="140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2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8.25" customHeight="1" x14ac:dyDescent="0.25">
      <c r="A6" s="14"/>
      <c r="B6" s="16"/>
      <c r="C6" s="16"/>
      <c r="D6" s="16"/>
      <c r="E6" s="16"/>
      <c r="F6" s="16"/>
      <c r="G6" s="15"/>
      <c r="H6" s="15"/>
      <c r="I6" s="16"/>
      <c r="J6" s="16"/>
      <c r="K6" s="16"/>
      <c r="L6" s="1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ht="17.25" customHeight="1" x14ac:dyDescent="0.25">
      <c r="A7" s="17"/>
      <c r="B7" s="143" t="s">
        <v>15</v>
      </c>
      <c r="C7" s="143" t="s">
        <v>16</v>
      </c>
      <c r="D7" s="143" t="s">
        <v>17</v>
      </c>
      <c r="E7" s="143" t="s">
        <v>18</v>
      </c>
      <c r="F7" s="143" t="s">
        <v>19</v>
      </c>
      <c r="G7" s="143" t="s">
        <v>20</v>
      </c>
      <c r="H7" s="143" t="s">
        <v>21</v>
      </c>
      <c r="I7" s="146" t="s">
        <v>22</v>
      </c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51" t="s">
        <v>23</v>
      </c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52" t="s">
        <v>24</v>
      </c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53" t="s">
        <v>25</v>
      </c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54"/>
      <c r="BQ7" s="14"/>
    </row>
    <row r="8" spans="1:69" ht="17.25" customHeight="1" x14ac:dyDescent="0.25">
      <c r="A8" s="18"/>
      <c r="B8" s="144"/>
      <c r="C8" s="144"/>
      <c r="D8" s="144"/>
      <c r="E8" s="144"/>
      <c r="F8" s="144"/>
      <c r="G8" s="144"/>
      <c r="H8" s="144"/>
      <c r="I8" s="147" t="s">
        <v>26</v>
      </c>
      <c r="J8" s="148"/>
      <c r="K8" s="148"/>
      <c r="L8" s="148"/>
      <c r="M8" s="149"/>
      <c r="N8" s="150" t="s">
        <v>27</v>
      </c>
      <c r="O8" s="148"/>
      <c r="P8" s="148"/>
      <c r="Q8" s="148"/>
      <c r="R8" s="149"/>
      <c r="S8" s="150" t="s">
        <v>28</v>
      </c>
      <c r="T8" s="148"/>
      <c r="U8" s="148"/>
      <c r="V8" s="148"/>
      <c r="W8" s="149"/>
      <c r="X8" s="157" t="s">
        <v>29</v>
      </c>
      <c r="Y8" s="148"/>
      <c r="Z8" s="148"/>
      <c r="AA8" s="148"/>
      <c r="AB8" s="149"/>
      <c r="AC8" s="157" t="s">
        <v>30</v>
      </c>
      <c r="AD8" s="148"/>
      <c r="AE8" s="148"/>
      <c r="AF8" s="148"/>
      <c r="AG8" s="149"/>
      <c r="AH8" s="157" t="s">
        <v>31</v>
      </c>
      <c r="AI8" s="148"/>
      <c r="AJ8" s="148"/>
      <c r="AK8" s="148"/>
      <c r="AL8" s="149"/>
      <c r="AM8" s="155" t="s">
        <v>32</v>
      </c>
      <c r="AN8" s="148"/>
      <c r="AO8" s="148"/>
      <c r="AP8" s="148"/>
      <c r="AQ8" s="149"/>
      <c r="AR8" s="155" t="s">
        <v>33</v>
      </c>
      <c r="AS8" s="148"/>
      <c r="AT8" s="148"/>
      <c r="AU8" s="148"/>
      <c r="AV8" s="149"/>
      <c r="AW8" s="155" t="s">
        <v>34</v>
      </c>
      <c r="AX8" s="148"/>
      <c r="AY8" s="148"/>
      <c r="AZ8" s="148"/>
      <c r="BA8" s="149"/>
      <c r="BB8" s="156" t="s">
        <v>35</v>
      </c>
      <c r="BC8" s="148"/>
      <c r="BD8" s="148"/>
      <c r="BE8" s="148"/>
      <c r="BF8" s="149"/>
      <c r="BG8" s="156" t="s">
        <v>36</v>
      </c>
      <c r="BH8" s="148"/>
      <c r="BI8" s="148"/>
      <c r="BJ8" s="148"/>
      <c r="BK8" s="149"/>
      <c r="BL8" s="156" t="s">
        <v>37</v>
      </c>
      <c r="BM8" s="148"/>
      <c r="BN8" s="148"/>
      <c r="BO8" s="148"/>
      <c r="BP8" s="149"/>
      <c r="BQ8" s="18"/>
    </row>
    <row r="9" spans="1:69" ht="17.25" customHeight="1" x14ac:dyDescent="0.25">
      <c r="A9" s="19"/>
      <c r="B9" s="145"/>
      <c r="C9" s="145"/>
      <c r="D9" s="145"/>
      <c r="E9" s="145"/>
      <c r="F9" s="145"/>
      <c r="G9" s="145"/>
      <c r="H9" s="145"/>
      <c r="I9" s="20" t="s">
        <v>38</v>
      </c>
      <c r="J9" s="21" t="s">
        <v>39</v>
      </c>
      <c r="K9" s="21" t="s">
        <v>40</v>
      </c>
      <c r="L9" s="21" t="s">
        <v>41</v>
      </c>
      <c r="M9" s="21" t="s">
        <v>42</v>
      </c>
      <c r="N9" s="21" t="s">
        <v>38</v>
      </c>
      <c r="O9" s="21" t="s">
        <v>39</v>
      </c>
      <c r="P9" s="21" t="s">
        <v>40</v>
      </c>
      <c r="Q9" s="21" t="s">
        <v>41</v>
      </c>
      <c r="R9" s="21" t="s">
        <v>42</v>
      </c>
      <c r="S9" s="22" t="s">
        <v>38</v>
      </c>
      <c r="T9" s="23" t="s">
        <v>39</v>
      </c>
      <c r="U9" s="20" t="s">
        <v>40</v>
      </c>
      <c r="V9" s="21" t="s">
        <v>41</v>
      </c>
      <c r="W9" s="21" t="s">
        <v>42</v>
      </c>
      <c r="X9" s="24" t="s">
        <v>38</v>
      </c>
      <c r="Y9" s="24" t="s">
        <v>39</v>
      </c>
      <c r="Z9" s="24" t="s">
        <v>40</v>
      </c>
      <c r="AA9" s="24" t="s">
        <v>41</v>
      </c>
      <c r="AB9" s="24" t="s">
        <v>42</v>
      </c>
      <c r="AC9" s="24" t="s">
        <v>38</v>
      </c>
      <c r="AD9" s="24" t="s">
        <v>39</v>
      </c>
      <c r="AE9" s="24" t="s">
        <v>40</v>
      </c>
      <c r="AF9" s="24" t="s">
        <v>41</v>
      </c>
      <c r="AG9" s="24" t="s">
        <v>42</v>
      </c>
      <c r="AH9" s="24" t="s">
        <v>38</v>
      </c>
      <c r="AI9" s="24" t="s">
        <v>39</v>
      </c>
      <c r="AJ9" s="24" t="s">
        <v>40</v>
      </c>
      <c r="AK9" s="24" t="s">
        <v>41</v>
      </c>
      <c r="AL9" s="24" t="s">
        <v>42</v>
      </c>
      <c r="AM9" s="25" t="s">
        <v>38</v>
      </c>
      <c r="AN9" s="25" t="s">
        <v>39</v>
      </c>
      <c r="AO9" s="25" t="s">
        <v>40</v>
      </c>
      <c r="AP9" s="25" t="s">
        <v>41</v>
      </c>
      <c r="AQ9" s="25" t="s">
        <v>42</v>
      </c>
      <c r="AR9" s="25" t="s">
        <v>38</v>
      </c>
      <c r="AS9" s="25" t="s">
        <v>39</v>
      </c>
      <c r="AT9" s="25" t="s">
        <v>40</v>
      </c>
      <c r="AU9" s="25" t="s">
        <v>41</v>
      </c>
      <c r="AV9" s="25" t="s">
        <v>42</v>
      </c>
      <c r="AW9" s="25" t="s">
        <v>38</v>
      </c>
      <c r="AX9" s="25" t="s">
        <v>39</v>
      </c>
      <c r="AY9" s="25" t="s">
        <v>40</v>
      </c>
      <c r="AZ9" s="25" t="s">
        <v>41</v>
      </c>
      <c r="BA9" s="25" t="s">
        <v>42</v>
      </c>
      <c r="BB9" s="26" t="s">
        <v>38</v>
      </c>
      <c r="BC9" s="26" t="s">
        <v>39</v>
      </c>
      <c r="BD9" s="26" t="s">
        <v>40</v>
      </c>
      <c r="BE9" s="26" t="s">
        <v>41</v>
      </c>
      <c r="BF9" s="26" t="s">
        <v>42</v>
      </c>
      <c r="BG9" s="26" t="s">
        <v>38</v>
      </c>
      <c r="BH9" s="26" t="s">
        <v>39</v>
      </c>
      <c r="BI9" s="26" t="s">
        <v>40</v>
      </c>
      <c r="BJ9" s="26" t="s">
        <v>41</v>
      </c>
      <c r="BK9" s="26" t="s">
        <v>42</v>
      </c>
      <c r="BL9" s="26" t="s">
        <v>38</v>
      </c>
      <c r="BM9" s="26" t="s">
        <v>39</v>
      </c>
      <c r="BN9" s="26" t="s">
        <v>40</v>
      </c>
      <c r="BO9" s="26" t="s">
        <v>41</v>
      </c>
      <c r="BP9" s="26" t="s">
        <v>42</v>
      </c>
      <c r="BQ9" s="19"/>
    </row>
    <row r="10" spans="1:69" ht="21" customHeight="1" x14ac:dyDescent="0.25">
      <c r="A10" s="14"/>
      <c r="B10" s="89">
        <v>1</v>
      </c>
      <c r="C10" s="90" t="s">
        <v>43</v>
      </c>
      <c r="D10" s="29"/>
      <c r="E10" s="29"/>
      <c r="F10" s="29"/>
      <c r="G10" s="29"/>
      <c r="H10" s="29"/>
      <c r="I10" s="30"/>
      <c r="J10" s="31"/>
      <c r="K10" s="32"/>
      <c r="L10" s="32"/>
      <c r="M10" s="30"/>
      <c r="N10" s="30"/>
      <c r="O10" s="30"/>
      <c r="P10" s="30"/>
      <c r="Q10" s="30"/>
      <c r="R10" s="30"/>
      <c r="S10" s="30"/>
      <c r="T10" s="33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4"/>
    </row>
    <row r="11" spans="1:69" ht="17.25" customHeight="1" outlineLevel="1" x14ac:dyDescent="0.25">
      <c r="A11" s="34"/>
      <c r="B11" s="91">
        <v>43101</v>
      </c>
      <c r="C11" s="92" t="s">
        <v>44</v>
      </c>
      <c r="D11" s="92" t="s">
        <v>45</v>
      </c>
      <c r="E11" s="37">
        <f ca="1">TODAY()</f>
        <v>45961</v>
      </c>
      <c r="F11" s="37">
        <f ca="1">E11+3</f>
        <v>45964</v>
      </c>
      <c r="G11" s="93">
        <f t="shared" ref="G11:G17" ca="1" si="0">DAYS360(E11,F11)</f>
        <v>3</v>
      </c>
      <c r="H11" s="94">
        <v>1</v>
      </c>
      <c r="I11" s="40"/>
      <c r="J11" s="41"/>
      <c r="K11" s="42"/>
      <c r="L11" s="42"/>
      <c r="M11" s="95"/>
      <c r="N11" s="95"/>
      <c r="O11" s="95"/>
      <c r="P11" s="47"/>
      <c r="Q11" s="47"/>
      <c r="R11" s="47"/>
      <c r="S11" s="43"/>
      <c r="T11" s="78"/>
      <c r="U11" s="96"/>
      <c r="V11" s="42"/>
      <c r="W11" s="42"/>
      <c r="X11" s="42"/>
      <c r="Y11" s="42"/>
      <c r="Z11" s="42"/>
      <c r="AA11" s="42"/>
      <c r="AB11" s="42"/>
      <c r="AC11" s="48"/>
      <c r="AD11" s="48"/>
      <c r="AE11" s="48"/>
      <c r="AF11" s="48"/>
      <c r="AG11" s="48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9"/>
      <c r="AS11" s="49"/>
      <c r="AT11" s="49"/>
      <c r="AU11" s="49"/>
      <c r="AV11" s="49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50"/>
      <c r="BH11" s="50"/>
      <c r="BI11" s="50"/>
      <c r="BJ11" s="50"/>
      <c r="BK11" s="50"/>
      <c r="BL11" s="42"/>
      <c r="BM11" s="42"/>
      <c r="BN11" s="42"/>
      <c r="BO11" s="42"/>
      <c r="BP11" s="51"/>
      <c r="BQ11" s="34"/>
    </row>
    <row r="12" spans="1:69" ht="17.25" customHeight="1" outlineLevel="1" x14ac:dyDescent="0.25">
      <c r="A12" s="34"/>
      <c r="B12" s="97" t="s">
        <v>46</v>
      </c>
      <c r="C12" s="92" t="s">
        <v>47</v>
      </c>
      <c r="D12" s="92" t="s">
        <v>45</v>
      </c>
      <c r="E12" s="37">
        <f ca="1">F11</f>
        <v>45964</v>
      </c>
      <c r="F12" s="37">
        <f ca="1">E12+1</f>
        <v>45965</v>
      </c>
      <c r="G12" s="93">
        <f t="shared" ca="1" si="0"/>
        <v>1</v>
      </c>
      <c r="H12" s="94">
        <v>1</v>
      </c>
      <c r="I12" s="53"/>
      <c r="J12" s="54"/>
      <c r="K12" s="55"/>
      <c r="L12" s="55"/>
      <c r="M12" s="55"/>
      <c r="N12" s="59"/>
      <c r="O12" s="59"/>
      <c r="P12" s="95"/>
      <c r="Q12" s="59"/>
      <c r="R12" s="59"/>
      <c r="S12" s="56"/>
      <c r="T12" s="57"/>
      <c r="U12" s="98"/>
      <c r="V12" s="55"/>
      <c r="W12" s="55"/>
      <c r="X12" s="55"/>
      <c r="Y12" s="55"/>
      <c r="Z12" s="55"/>
      <c r="AA12" s="55"/>
      <c r="AB12" s="55"/>
      <c r="AC12" s="61"/>
      <c r="AD12" s="61"/>
      <c r="AE12" s="61"/>
      <c r="AF12" s="61"/>
      <c r="AG12" s="61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62"/>
      <c r="AS12" s="62"/>
      <c r="AT12" s="62"/>
      <c r="AU12" s="62"/>
      <c r="AV12" s="62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63"/>
      <c r="BH12" s="63"/>
      <c r="BI12" s="63"/>
      <c r="BJ12" s="63"/>
      <c r="BK12" s="63"/>
      <c r="BL12" s="55"/>
      <c r="BM12" s="55"/>
      <c r="BN12" s="55"/>
      <c r="BO12" s="55"/>
      <c r="BP12" s="64"/>
      <c r="BQ12" s="34"/>
    </row>
    <row r="13" spans="1:69" ht="17.25" customHeight="1" outlineLevel="1" x14ac:dyDescent="0.25">
      <c r="A13" s="34"/>
      <c r="B13" s="91">
        <v>43132</v>
      </c>
      <c r="C13" s="92" t="s">
        <v>48</v>
      </c>
      <c r="D13" s="92" t="s">
        <v>45</v>
      </c>
      <c r="E13" s="37">
        <f ca="1">E12</f>
        <v>45964</v>
      </c>
      <c r="F13" s="37">
        <f t="shared" ref="F13:F14" ca="1" si="1">E13+6</f>
        <v>45970</v>
      </c>
      <c r="G13" s="93">
        <f t="shared" ca="1" si="0"/>
        <v>6</v>
      </c>
      <c r="H13" s="94">
        <v>0.9</v>
      </c>
      <c r="I13" s="53"/>
      <c r="J13" s="54"/>
      <c r="K13" s="55"/>
      <c r="L13" s="55"/>
      <c r="M13" s="55"/>
      <c r="N13" s="59"/>
      <c r="O13" s="59"/>
      <c r="P13" s="95"/>
      <c r="Q13" s="95"/>
      <c r="R13" s="95"/>
      <c r="S13" s="99"/>
      <c r="T13" s="100"/>
      <c r="U13" s="101"/>
      <c r="V13" s="55"/>
      <c r="W13" s="55"/>
      <c r="X13" s="55"/>
      <c r="Y13" s="55"/>
      <c r="Z13" s="55"/>
      <c r="AA13" s="55"/>
      <c r="AB13" s="55"/>
      <c r="AC13" s="61"/>
      <c r="AD13" s="61"/>
      <c r="AE13" s="61"/>
      <c r="AF13" s="61"/>
      <c r="AG13" s="61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62"/>
      <c r="AS13" s="62"/>
      <c r="AT13" s="62"/>
      <c r="AU13" s="62"/>
      <c r="AV13" s="62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63"/>
      <c r="BH13" s="63"/>
      <c r="BI13" s="63"/>
      <c r="BJ13" s="63"/>
      <c r="BK13" s="63"/>
      <c r="BL13" s="55"/>
      <c r="BM13" s="55"/>
      <c r="BN13" s="55"/>
      <c r="BO13" s="55"/>
      <c r="BP13" s="64"/>
      <c r="BQ13" s="34"/>
    </row>
    <row r="14" spans="1:69" ht="17.25" customHeight="1" outlineLevel="1" x14ac:dyDescent="0.25">
      <c r="A14" s="34"/>
      <c r="B14" s="91">
        <v>43160</v>
      </c>
      <c r="C14" s="92" t="s">
        <v>49</v>
      </c>
      <c r="D14" s="92" t="s">
        <v>45</v>
      </c>
      <c r="E14" s="37">
        <f ca="1">E13+1</f>
        <v>45965</v>
      </c>
      <c r="F14" s="37">
        <f t="shared" ca="1" si="1"/>
        <v>45971</v>
      </c>
      <c r="G14" s="93">
        <f t="shared" ca="1" si="0"/>
        <v>6</v>
      </c>
      <c r="H14" s="102">
        <v>0.4</v>
      </c>
      <c r="I14" s="53"/>
      <c r="J14" s="54"/>
      <c r="K14" s="55"/>
      <c r="L14" s="55"/>
      <c r="M14" s="55"/>
      <c r="N14" s="59"/>
      <c r="O14" s="59"/>
      <c r="P14" s="59"/>
      <c r="Q14" s="95"/>
      <c r="R14" s="95"/>
      <c r="S14" s="99"/>
      <c r="T14" s="103"/>
      <c r="U14" s="104"/>
      <c r="V14" s="60"/>
      <c r="W14" s="55"/>
      <c r="X14" s="55"/>
      <c r="Y14" s="55"/>
      <c r="Z14" s="55"/>
      <c r="AA14" s="55"/>
      <c r="AB14" s="55"/>
      <c r="AC14" s="61"/>
      <c r="AD14" s="61"/>
      <c r="AE14" s="61"/>
      <c r="AF14" s="61"/>
      <c r="AG14" s="61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62"/>
      <c r="AS14" s="62"/>
      <c r="AT14" s="62"/>
      <c r="AU14" s="62"/>
      <c r="AV14" s="62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63"/>
      <c r="BH14" s="63"/>
      <c r="BI14" s="63"/>
      <c r="BJ14" s="63"/>
      <c r="BK14" s="63"/>
      <c r="BL14" s="55"/>
      <c r="BM14" s="55"/>
      <c r="BN14" s="55"/>
      <c r="BO14" s="55"/>
      <c r="BP14" s="64"/>
      <c r="BQ14" s="34"/>
    </row>
    <row r="15" spans="1:69" ht="17.25" customHeight="1" outlineLevel="1" x14ac:dyDescent="0.25">
      <c r="A15" s="34"/>
      <c r="B15" s="91">
        <v>43191</v>
      </c>
      <c r="C15" s="92" t="s">
        <v>50</v>
      </c>
      <c r="D15" s="92" t="s">
        <v>45</v>
      </c>
      <c r="E15" s="37">
        <f ca="1">E14+2</f>
        <v>45967</v>
      </c>
      <c r="F15" s="37">
        <f ca="1">E15+4</f>
        <v>45971</v>
      </c>
      <c r="G15" s="93">
        <f t="shared" ca="1" si="0"/>
        <v>4</v>
      </c>
      <c r="H15" s="94">
        <v>0.7</v>
      </c>
      <c r="I15" s="53"/>
      <c r="J15" s="54"/>
      <c r="K15" s="55"/>
      <c r="L15" s="55"/>
      <c r="M15" s="55"/>
      <c r="N15" s="59"/>
      <c r="O15" s="59"/>
      <c r="P15" s="59"/>
      <c r="Q15" s="59"/>
      <c r="R15" s="59"/>
      <c r="S15" s="99"/>
      <c r="T15" s="100"/>
      <c r="U15" s="101"/>
      <c r="V15" s="60"/>
      <c r="W15" s="55"/>
      <c r="X15" s="55"/>
      <c r="Y15" s="55"/>
      <c r="Z15" s="55"/>
      <c r="AA15" s="55"/>
      <c r="AB15" s="55"/>
      <c r="AC15" s="61"/>
      <c r="AD15" s="61"/>
      <c r="AE15" s="61"/>
      <c r="AF15" s="61"/>
      <c r="AG15" s="61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62"/>
      <c r="AS15" s="62"/>
      <c r="AT15" s="62"/>
      <c r="AU15" s="62"/>
      <c r="AV15" s="62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63"/>
      <c r="BH15" s="63"/>
      <c r="BI15" s="63"/>
      <c r="BJ15" s="63"/>
      <c r="BK15" s="63"/>
      <c r="BL15" s="55"/>
      <c r="BM15" s="55"/>
      <c r="BN15" s="55"/>
      <c r="BO15" s="55"/>
      <c r="BP15" s="64"/>
      <c r="BQ15" s="34"/>
    </row>
    <row r="16" spans="1:69" ht="17.25" customHeight="1" outlineLevel="1" x14ac:dyDescent="0.25">
      <c r="A16" s="34"/>
      <c r="B16" s="91">
        <v>43221</v>
      </c>
      <c r="C16" s="92" t="s">
        <v>51</v>
      </c>
      <c r="D16" s="92" t="s">
        <v>45</v>
      </c>
      <c r="E16" s="37">
        <f ca="1">E15+1</f>
        <v>45968</v>
      </c>
      <c r="F16" s="37">
        <f ca="1">E16+3</f>
        <v>45971</v>
      </c>
      <c r="G16" s="93">
        <f t="shared" ca="1" si="0"/>
        <v>3</v>
      </c>
      <c r="H16" s="94">
        <v>0.6</v>
      </c>
      <c r="I16" s="53"/>
      <c r="J16" s="54"/>
      <c r="K16" s="55"/>
      <c r="L16" s="55"/>
      <c r="M16" s="55"/>
      <c r="N16" s="59"/>
      <c r="O16" s="59"/>
      <c r="P16" s="59"/>
      <c r="Q16" s="59"/>
      <c r="R16" s="59"/>
      <c r="S16" s="56"/>
      <c r="T16" s="100"/>
      <c r="U16" s="101"/>
      <c r="V16" s="60"/>
      <c r="W16" s="55"/>
      <c r="X16" s="55"/>
      <c r="Y16" s="55"/>
      <c r="Z16" s="55"/>
      <c r="AA16" s="55"/>
      <c r="AB16" s="55"/>
      <c r="AC16" s="61"/>
      <c r="AD16" s="61"/>
      <c r="AE16" s="61"/>
      <c r="AF16" s="61"/>
      <c r="AG16" s="61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62"/>
      <c r="AS16" s="62"/>
      <c r="AT16" s="62"/>
      <c r="AU16" s="62"/>
      <c r="AV16" s="62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63"/>
      <c r="BH16" s="63"/>
      <c r="BI16" s="63"/>
      <c r="BJ16" s="63"/>
      <c r="BK16" s="63"/>
      <c r="BL16" s="55"/>
      <c r="BM16" s="55"/>
      <c r="BN16" s="55"/>
      <c r="BO16" s="55"/>
      <c r="BP16" s="64"/>
      <c r="BQ16" s="34"/>
    </row>
    <row r="17" spans="1:69" ht="17.25" customHeight="1" outlineLevel="1" x14ac:dyDescent="0.25">
      <c r="A17" s="34"/>
      <c r="B17" s="91">
        <v>43252</v>
      </c>
      <c r="C17" s="92" t="s">
        <v>52</v>
      </c>
      <c r="D17" s="92" t="s">
        <v>45</v>
      </c>
      <c r="E17" s="37">
        <f ca="1">F16+1</f>
        <v>45972</v>
      </c>
      <c r="F17" s="37">
        <f ca="1">E17+1</f>
        <v>45973</v>
      </c>
      <c r="G17" s="93">
        <f t="shared" ca="1" si="0"/>
        <v>1</v>
      </c>
      <c r="H17" s="94">
        <v>0</v>
      </c>
      <c r="I17" s="65"/>
      <c r="J17" s="66"/>
      <c r="K17" s="67"/>
      <c r="L17" s="67"/>
      <c r="M17" s="67"/>
      <c r="N17" s="71"/>
      <c r="O17" s="71"/>
      <c r="P17" s="71"/>
      <c r="Q17" s="71"/>
      <c r="R17" s="71"/>
      <c r="S17" s="68"/>
      <c r="T17" s="69"/>
      <c r="U17" s="105"/>
      <c r="V17" s="67"/>
      <c r="W17" s="60"/>
      <c r="X17" s="67"/>
      <c r="Y17" s="67"/>
      <c r="Z17" s="67"/>
      <c r="AA17" s="67"/>
      <c r="AB17" s="67"/>
      <c r="AC17" s="73"/>
      <c r="AD17" s="73"/>
      <c r="AE17" s="73"/>
      <c r="AF17" s="73"/>
      <c r="AG17" s="73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74"/>
      <c r="AS17" s="74"/>
      <c r="AT17" s="74"/>
      <c r="AU17" s="74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75"/>
      <c r="BH17" s="75"/>
      <c r="BI17" s="75"/>
      <c r="BJ17" s="75"/>
      <c r="BK17" s="75"/>
      <c r="BL17" s="67"/>
      <c r="BM17" s="67"/>
      <c r="BN17" s="67"/>
      <c r="BO17" s="67"/>
      <c r="BP17" s="76"/>
      <c r="BQ17" s="34"/>
    </row>
    <row r="18" spans="1:69" ht="21" customHeight="1" x14ac:dyDescent="0.25">
      <c r="A18" s="14"/>
      <c r="B18" s="89">
        <v>2</v>
      </c>
      <c r="C18" s="90" t="s">
        <v>53</v>
      </c>
      <c r="D18" s="29"/>
      <c r="E18" s="77"/>
      <c r="F18" s="77"/>
      <c r="G18" s="29"/>
      <c r="H18" s="29"/>
      <c r="I18" s="30"/>
      <c r="J18" s="31"/>
      <c r="K18" s="32"/>
      <c r="L18" s="32"/>
      <c r="M18" s="30"/>
      <c r="N18" s="30"/>
      <c r="O18" s="30"/>
      <c r="P18" s="30"/>
      <c r="Q18" s="30"/>
      <c r="R18" s="30"/>
      <c r="S18" s="30"/>
      <c r="T18" s="33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4"/>
    </row>
    <row r="19" spans="1:69" ht="17.25" customHeight="1" outlineLevel="1" x14ac:dyDescent="0.25">
      <c r="A19" s="34"/>
      <c r="B19" s="91">
        <v>43102</v>
      </c>
      <c r="C19" s="92" t="s">
        <v>54</v>
      </c>
      <c r="D19" s="92" t="s">
        <v>45</v>
      </c>
      <c r="E19" s="37">
        <f ca="1">F17+1</f>
        <v>45974</v>
      </c>
      <c r="F19" s="37">
        <f ca="1">E19+4</f>
        <v>45978</v>
      </c>
      <c r="G19" s="93">
        <v>4</v>
      </c>
      <c r="H19" s="94">
        <v>0.22</v>
      </c>
      <c r="I19" s="40"/>
      <c r="J19" s="41"/>
      <c r="K19" s="42"/>
      <c r="L19" s="42"/>
      <c r="M19" s="42"/>
      <c r="N19" s="47"/>
      <c r="O19" s="47"/>
      <c r="P19" s="47"/>
      <c r="Q19" s="47"/>
      <c r="R19" s="47"/>
      <c r="S19" s="43"/>
      <c r="T19" s="78"/>
      <c r="U19" s="96"/>
      <c r="V19" s="42"/>
      <c r="W19" s="42"/>
      <c r="X19" s="95"/>
      <c r="Y19" s="106"/>
      <c r="Z19" s="60"/>
      <c r="AA19" s="60"/>
      <c r="AB19" s="42"/>
      <c r="AC19" s="48"/>
      <c r="AD19" s="48"/>
      <c r="AE19" s="48"/>
      <c r="AF19" s="48"/>
      <c r="AG19" s="48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9"/>
      <c r="AS19" s="49"/>
      <c r="AT19" s="49"/>
      <c r="AU19" s="49"/>
      <c r="AV19" s="49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50"/>
      <c r="BH19" s="50"/>
      <c r="BI19" s="50"/>
      <c r="BJ19" s="50"/>
      <c r="BK19" s="50"/>
      <c r="BL19" s="42"/>
      <c r="BM19" s="42"/>
      <c r="BN19" s="42"/>
      <c r="BO19" s="42"/>
      <c r="BP19" s="51"/>
      <c r="BQ19" s="34"/>
    </row>
    <row r="20" spans="1:69" ht="17.25" customHeight="1" outlineLevel="1" x14ac:dyDescent="0.25">
      <c r="A20" s="34"/>
      <c r="B20" s="91">
        <v>43133</v>
      </c>
      <c r="C20" s="92" t="s">
        <v>55</v>
      </c>
      <c r="D20" s="92" t="s">
        <v>45</v>
      </c>
      <c r="E20" s="37">
        <f ca="1">F19+1</f>
        <v>45979</v>
      </c>
      <c r="F20" s="37">
        <f ca="1">E20+3</f>
        <v>45982</v>
      </c>
      <c r="G20" s="93">
        <v>3</v>
      </c>
      <c r="H20" s="94">
        <v>0</v>
      </c>
      <c r="I20" s="53"/>
      <c r="J20" s="54"/>
      <c r="K20" s="55"/>
      <c r="L20" s="55"/>
      <c r="M20" s="55"/>
      <c r="N20" s="59"/>
      <c r="O20" s="59"/>
      <c r="P20" s="59"/>
      <c r="Q20" s="59"/>
      <c r="R20" s="59"/>
      <c r="S20" s="56"/>
      <c r="T20" s="57"/>
      <c r="U20" s="98"/>
      <c r="V20" s="55"/>
      <c r="W20" s="55"/>
      <c r="X20" s="55"/>
      <c r="Y20" s="55"/>
      <c r="Z20" s="55"/>
      <c r="AA20" s="55"/>
      <c r="AB20" s="60"/>
      <c r="AC20" s="60"/>
      <c r="AD20" s="60"/>
      <c r="AE20" s="48"/>
      <c r="AF20" s="48"/>
      <c r="AG20" s="48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62"/>
      <c r="AS20" s="62"/>
      <c r="AT20" s="62"/>
      <c r="AU20" s="62"/>
      <c r="AV20" s="62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63"/>
      <c r="BH20" s="63"/>
      <c r="BI20" s="63"/>
      <c r="BJ20" s="63"/>
      <c r="BK20" s="63"/>
      <c r="BL20" s="55"/>
      <c r="BM20" s="55"/>
      <c r="BN20" s="55"/>
      <c r="BO20" s="55"/>
      <c r="BP20" s="64"/>
      <c r="BQ20" s="34"/>
    </row>
    <row r="21" spans="1:69" ht="17.25" customHeight="1" outlineLevel="1" x14ac:dyDescent="0.25">
      <c r="A21" s="34"/>
      <c r="B21" s="91">
        <v>43161</v>
      </c>
      <c r="C21" s="92" t="s">
        <v>56</v>
      </c>
      <c r="D21" s="92" t="s">
        <v>45</v>
      </c>
      <c r="E21" s="107" t="s">
        <v>57</v>
      </c>
      <c r="F21" s="107" t="s">
        <v>57</v>
      </c>
      <c r="G21" s="93">
        <v>0</v>
      </c>
      <c r="H21" s="94">
        <v>0</v>
      </c>
      <c r="I21" s="53"/>
      <c r="J21" s="54"/>
      <c r="K21" s="55"/>
      <c r="L21" s="55"/>
      <c r="M21" s="55"/>
      <c r="N21" s="59"/>
      <c r="O21" s="59"/>
      <c r="P21" s="59"/>
      <c r="Q21" s="59"/>
      <c r="R21" s="59"/>
      <c r="S21" s="56"/>
      <c r="T21" s="57"/>
      <c r="U21" s="98"/>
      <c r="V21" s="55"/>
      <c r="W21" s="55"/>
      <c r="X21" s="55"/>
      <c r="Y21" s="55"/>
      <c r="Z21" s="55"/>
      <c r="AA21" s="55"/>
      <c r="AB21" s="55"/>
      <c r="AC21" s="61"/>
      <c r="AD21" s="61"/>
      <c r="AE21" s="61"/>
      <c r="AF21" s="61"/>
      <c r="AG21" s="61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62"/>
      <c r="AS21" s="62"/>
      <c r="AT21" s="62"/>
      <c r="AU21" s="62"/>
      <c r="AV21" s="62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63"/>
      <c r="BH21" s="63"/>
      <c r="BI21" s="63"/>
      <c r="BJ21" s="63"/>
      <c r="BK21" s="63"/>
      <c r="BL21" s="55"/>
      <c r="BM21" s="55"/>
      <c r="BN21" s="55"/>
      <c r="BO21" s="55"/>
      <c r="BP21" s="64"/>
      <c r="BQ21" s="34"/>
    </row>
    <row r="22" spans="1:69" ht="17.25" customHeight="1" outlineLevel="1" x14ac:dyDescent="0.25">
      <c r="A22" s="34"/>
      <c r="B22" s="91">
        <v>43192</v>
      </c>
      <c r="C22" s="92" t="s">
        <v>58</v>
      </c>
      <c r="D22" s="92" t="s">
        <v>45</v>
      </c>
      <c r="E22" s="107" t="s">
        <v>57</v>
      </c>
      <c r="F22" s="107" t="s">
        <v>57</v>
      </c>
      <c r="G22" s="93">
        <v>0</v>
      </c>
      <c r="H22" s="102">
        <v>0</v>
      </c>
      <c r="I22" s="53"/>
      <c r="J22" s="54"/>
      <c r="K22" s="55"/>
      <c r="L22" s="55"/>
      <c r="M22" s="55"/>
      <c r="N22" s="59"/>
      <c r="O22" s="59"/>
      <c r="P22" s="59"/>
      <c r="Q22" s="59"/>
      <c r="R22" s="59"/>
      <c r="S22" s="56"/>
      <c r="T22" s="57"/>
      <c r="U22" s="98"/>
      <c r="V22" s="55"/>
      <c r="W22" s="55"/>
      <c r="X22" s="55"/>
      <c r="Y22" s="55"/>
      <c r="Z22" s="55"/>
      <c r="AA22" s="55"/>
      <c r="AB22" s="55"/>
      <c r="AC22" s="61"/>
      <c r="AD22" s="61"/>
      <c r="AE22" s="61"/>
      <c r="AF22" s="61"/>
      <c r="AG22" s="61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62"/>
      <c r="AS22" s="62"/>
      <c r="AT22" s="62"/>
      <c r="AU22" s="62"/>
      <c r="AV22" s="62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63"/>
      <c r="BH22" s="63"/>
      <c r="BI22" s="63"/>
      <c r="BJ22" s="63"/>
      <c r="BK22" s="63"/>
      <c r="BL22" s="55"/>
      <c r="BM22" s="55"/>
      <c r="BN22" s="55"/>
      <c r="BO22" s="55"/>
      <c r="BP22" s="64"/>
      <c r="BQ22" s="34"/>
    </row>
    <row r="23" spans="1:69" ht="21" customHeight="1" x14ac:dyDescent="0.25">
      <c r="A23" s="14"/>
      <c r="B23" s="89">
        <v>3</v>
      </c>
      <c r="C23" s="90" t="s">
        <v>43</v>
      </c>
      <c r="D23" s="29"/>
      <c r="E23" s="77"/>
      <c r="F23" s="77"/>
      <c r="G23" s="29"/>
      <c r="H23" s="29"/>
      <c r="I23" s="30"/>
      <c r="J23" s="31"/>
      <c r="K23" s="32"/>
      <c r="L23" s="32"/>
      <c r="M23" s="30"/>
      <c r="N23" s="30"/>
      <c r="O23" s="30"/>
      <c r="P23" s="30"/>
      <c r="Q23" s="30"/>
      <c r="R23" s="30"/>
      <c r="S23" s="30"/>
      <c r="T23" s="33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14"/>
    </row>
    <row r="24" spans="1:69" ht="17.25" customHeight="1" outlineLevel="1" x14ac:dyDescent="0.25">
      <c r="A24" s="34"/>
      <c r="B24" s="108" t="s">
        <v>59</v>
      </c>
      <c r="C24" s="92" t="s">
        <v>60</v>
      </c>
      <c r="D24" s="92" t="s">
        <v>45</v>
      </c>
      <c r="E24" s="107" t="s">
        <v>57</v>
      </c>
      <c r="F24" s="107" t="s">
        <v>57</v>
      </c>
      <c r="G24" s="93">
        <v>0</v>
      </c>
      <c r="H24" s="94">
        <v>0</v>
      </c>
      <c r="I24" s="40"/>
      <c r="J24" s="41"/>
      <c r="K24" s="42"/>
      <c r="L24" s="42"/>
      <c r="M24" s="42"/>
      <c r="N24" s="59"/>
      <c r="O24" s="59"/>
      <c r="P24" s="59"/>
      <c r="Q24" s="59"/>
      <c r="R24" s="59"/>
      <c r="S24" s="43"/>
      <c r="T24" s="78"/>
      <c r="U24" s="96"/>
      <c r="V24" s="42"/>
      <c r="W24" s="42"/>
      <c r="X24" s="42"/>
      <c r="Y24" s="42"/>
      <c r="Z24" s="42"/>
      <c r="AA24" s="42"/>
      <c r="AB24" s="42"/>
      <c r="AC24" s="48"/>
      <c r="AD24" s="48"/>
      <c r="AE24" s="48"/>
      <c r="AF24" s="48"/>
      <c r="AG24" s="48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9"/>
      <c r="AS24" s="49"/>
      <c r="AT24" s="49"/>
      <c r="AU24" s="49"/>
      <c r="AV24" s="49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50"/>
      <c r="BH24" s="50"/>
      <c r="BI24" s="50"/>
      <c r="BJ24" s="50"/>
      <c r="BK24" s="50"/>
      <c r="BL24" s="42"/>
      <c r="BM24" s="42"/>
      <c r="BN24" s="42"/>
      <c r="BO24" s="42"/>
      <c r="BP24" s="51"/>
      <c r="BQ24" s="34"/>
    </row>
    <row r="25" spans="1:69" ht="17.25" customHeight="1" outlineLevel="1" x14ac:dyDescent="0.25">
      <c r="A25" s="34"/>
      <c r="B25" s="108" t="s">
        <v>61</v>
      </c>
      <c r="C25" s="92" t="s">
        <v>62</v>
      </c>
      <c r="D25" s="92" t="s">
        <v>45</v>
      </c>
      <c r="E25" s="107" t="s">
        <v>57</v>
      </c>
      <c r="F25" s="107" t="s">
        <v>57</v>
      </c>
      <c r="G25" s="93">
        <v>0</v>
      </c>
      <c r="H25" s="94">
        <v>0</v>
      </c>
      <c r="I25" s="53"/>
      <c r="J25" s="54"/>
      <c r="K25" s="55"/>
      <c r="L25" s="55"/>
      <c r="M25" s="55"/>
      <c r="N25" s="59"/>
      <c r="O25" s="59"/>
      <c r="P25" s="59"/>
      <c r="Q25" s="59"/>
      <c r="R25" s="59"/>
      <c r="S25" s="56"/>
      <c r="T25" s="57"/>
      <c r="U25" s="98"/>
      <c r="V25" s="55"/>
      <c r="W25" s="55"/>
      <c r="X25" s="55"/>
      <c r="Y25" s="55"/>
      <c r="Z25" s="55"/>
      <c r="AA25" s="55"/>
      <c r="AB25" s="55"/>
      <c r="AC25" s="61"/>
      <c r="AD25" s="61"/>
      <c r="AE25" s="61"/>
      <c r="AF25" s="61"/>
      <c r="AG25" s="61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62"/>
      <c r="AS25" s="62"/>
      <c r="AT25" s="62"/>
      <c r="AU25" s="62"/>
      <c r="AV25" s="62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63"/>
      <c r="BH25" s="63"/>
      <c r="BI25" s="63"/>
      <c r="BJ25" s="63"/>
      <c r="BK25" s="63"/>
      <c r="BL25" s="55"/>
      <c r="BM25" s="55"/>
      <c r="BN25" s="55"/>
      <c r="BO25" s="55"/>
      <c r="BP25" s="64"/>
      <c r="BQ25" s="34"/>
    </row>
    <row r="26" spans="1:69" ht="17.25" customHeight="1" outlineLevel="1" x14ac:dyDescent="0.25">
      <c r="A26" s="34"/>
      <c r="B26" s="109" t="s">
        <v>63</v>
      </c>
      <c r="C26" s="92" t="s">
        <v>64</v>
      </c>
      <c r="D26" s="92" t="s">
        <v>45</v>
      </c>
      <c r="E26" s="107" t="s">
        <v>57</v>
      </c>
      <c r="F26" s="107" t="s">
        <v>57</v>
      </c>
      <c r="G26" s="93">
        <v>0</v>
      </c>
      <c r="H26" s="94">
        <v>0</v>
      </c>
      <c r="I26" s="53"/>
      <c r="J26" s="54"/>
      <c r="K26" s="55"/>
      <c r="L26" s="55"/>
      <c r="M26" s="55"/>
      <c r="N26" s="59"/>
      <c r="O26" s="59"/>
      <c r="P26" s="59"/>
      <c r="Q26" s="59"/>
      <c r="R26" s="59"/>
      <c r="S26" s="43"/>
      <c r="T26" s="78"/>
      <c r="U26" s="96"/>
      <c r="V26" s="42"/>
      <c r="W26" s="55"/>
      <c r="X26" s="55"/>
      <c r="Y26" s="55"/>
      <c r="Z26" s="55"/>
      <c r="AA26" s="55"/>
      <c r="AB26" s="55"/>
      <c r="AC26" s="61"/>
      <c r="AD26" s="61"/>
      <c r="AE26" s="61"/>
      <c r="AF26" s="61"/>
      <c r="AG26" s="61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62"/>
      <c r="AS26" s="62"/>
      <c r="AT26" s="62"/>
      <c r="AU26" s="62"/>
      <c r="AV26" s="62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63"/>
      <c r="BH26" s="63"/>
      <c r="BI26" s="63"/>
      <c r="BJ26" s="63"/>
      <c r="BK26" s="63"/>
      <c r="BL26" s="55"/>
      <c r="BM26" s="55"/>
      <c r="BN26" s="55"/>
      <c r="BO26" s="55"/>
      <c r="BP26" s="64"/>
      <c r="BQ26" s="34"/>
    </row>
    <row r="27" spans="1:69" ht="17.25" customHeight="1" outlineLevel="1" x14ac:dyDescent="0.25">
      <c r="A27" s="34"/>
      <c r="B27" s="109" t="s">
        <v>65</v>
      </c>
      <c r="C27" s="92" t="s">
        <v>66</v>
      </c>
      <c r="D27" s="92" t="s">
        <v>45</v>
      </c>
      <c r="E27" s="107" t="s">
        <v>57</v>
      </c>
      <c r="F27" s="107" t="s">
        <v>57</v>
      </c>
      <c r="G27" s="93">
        <v>0</v>
      </c>
      <c r="H27" s="102">
        <v>0</v>
      </c>
      <c r="I27" s="53"/>
      <c r="J27" s="54"/>
      <c r="K27" s="55"/>
      <c r="L27" s="55"/>
      <c r="M27" s="55"/>
      <c r="N27" s="59"/>
      <c r="O27" s="59"/>
      <c r="P27" s="59"/>
      <c r="Q27" s="59"/>
      <c r="R27" s="59"/>
      <c r="S27" s="43"/>
      <c r="T27" s="78"/>
      <c r="U27" s="96"/>
      <c r="V27" s="42"/>
      <c r="W27" s="55"/>
      <c r="X27" s="55"/>
      <c r="Y27" s="55"/>
      <c r="Z27" s="55"/>
      <c r="AA27" s="55"/>
      <c r="AB27" s="55"/>
      <c r="AC27" s="61"/>
      <c r="AD27" s="61"/>
      <c r="AE27" s="61"/>
      <c r="AF27" s="61"/>
      <c r="AG27" s="61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62"/>
      <c r="AS27" s="62"/>
      <c r="AT27" s="62"/>
      <c r="AU27" s="62"/>
      <c r="AV27" s="62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63"/>
      <c r="BH27" s="63"/>
      <c r="BI27" s="63"/>
      <c r="BJ27" s="63"/>
      <c r="BK27" s="63"/>
      <c r="BL27" s="55"/>
      <c r="BM27" s="55"/>
      <c r="BN27" s="55"/>
      <c r="BO27" s="55"/>
      <c r="BP27" s="64"/>
      <c r="BQ27" s="34"/>
    </row>
    <row r="28" spans="1:69" ht="17.25" customHeight="1" outlineLevel="1" x14ac:dyDescent="0.25">
      <c r="A28" s="34"/>
      <c r="B28" s="108" t="s">
        <v>67</v>
      </c>
      <c r="C28" s="92" t="s">
        <v>68</v>
      </c>
      <c r="D28" s="92" t="s">
        <v>45</v>
      </c>
      <c r="E28" s="107" t="s">
        <v>57</v>
      </c>
      <c r="F28" s="107" t="s">
        <v>57</v>
      </c>
      <c r="G28" s="93">
        <v>0</v>
      </c>
      <c r="H28" s="94">
        <v>0</v>
      </c>
      <c r="I28" s="53"/>
      <c r="J28" s="54"/>
      <c r="K28" s="55"/>
      <c r="L28" s="55"/>
      <c r="M28" s="55"/>
      <c r="N28" s="59"/>
      <c r="O28" s="59"/>
      <c r="P28" s="59"/>
      <c r="Q28" s="59"/>
      <c r="R28" s="59"/>
      <c r="S28" s="43"/>
      <c r="T28" s="78"/>
      <c r="U28" s="96"/>
      <c r="V28" s="42"/>
      <c r="W28" s="55"/>
      <c r="X28" s="55"/>
      <c r="Y28" s="55"/>
      <c r="Z28" s="55"/>
      <c r="AA28" s="55"/>
      <c r="AB28" s="55"/>
      <c r="AC28" s="61"/>
      <c r="AD28" s="61"/>
      <c r="AE28" s="61"/>
      <c r="AF28" s="61"/>
      <c r="AG28" s="61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62"/>
      <c r="AS28" s="62"/>
      <c r="AT28" s="62"/>
      <c r="AU28" s="62"/>
      <c r="AV28" s="62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63"/>
      <c r="BH28" s="63"/>
      <c r="BI28" s="63"/>
      <c r="BJ28" s="63"/>
      <c r="BK28" s="63"/>
      <c r="BL28" s="55"/>
      <c r="BM28" s="55"/>
      <c r="BN28" s="55"/>
      <c r="BO28" s="55"/>
      <c r="BP28" s="64"/>
      <c r="BQ28" s="34"/>
    </row>
    <row r="29" spans="1:69" ht="17.25" customHeight="1" outlineLevel="1" x14ac:dyDescent="0.25">
      <c r="A29" s="34"/>
      <c r="B29" s="109" t="s">
        <v>69</v>
      </c>
      <c r="C29" s="92" t="s">
        <v>70</v>
      </c>
      <c r="D29" s="92" t="s">
        <v>45</v>
      </c>
      <c r="E29" s="107" t="s">
        <v>57</v>
      </c>
      <c r="F29" s="107" t="s">
        <v>57</v>
      </c>
      <c r="G29" s="93">
        <v>0</v>
      </c>
      <c r="H29" s="94">
        <v>0</v>
      </c>
      <c r="I29" s="53"/>
      <c r="J29" s="54"/>
      <c r="K29" s="55"/>
      <c r="L29" s="55"/>
      <c r="M29" s="55"/>
      <c r="N29" s="59"/>
      <c r="O29" s="59"/>
      <c r="P29" s="59"/>
      <c r="Q29" s="59"/>
      <c r="R29" s="59"/>
      <c r="S29" s="43"/>
      <c r="T29" s="78"/>
      <c r="U29" s="96"/>
      <c r="V29" s="42"/>
      <c r="W29" s="55"/>
      <c r="X29" s="55"/>
      <c r="Y29" s="55"/>
      <c r="Z29" s="55"/>
      <c r="AA29" s="55"/>
      <c r="AB29" s="55"/>
      <c r="AC29" s="61"/>
      <c r="AD29" s="61"/>
      <c r="AE29" s="61"/>
      <c r="AF29" s="61"/>
      <c r="AG29" s="61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62"/>
      <c r="AS29" s="62"/>
      <c r="AT29" s="62"/>
      <c r="AU29" s="62"/>
      <c r="AV29" s="62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63"/>
      <c r="BH29" s="63"/>
      <c r="BI29" s="63"/>
      <c r="BJ29" s="63"/>
      <c r="BK29" s="63"/>
      <c r="BL29" s="55"/>
      <c r="BM29" s="55"/>
      <c r="BN29" s="55"/>
      <c r="BO29" s="55"/>
      <c r="BP29" s="64"/>
      <c r="BQ29" s="34"/>
    </row>
    <row r="30" spans="1:69" ht="21" customHeight="1" x14ac:dyDescent="0.25">
      <c r="A30" s="14"/>
      <c r="B30" s="89">
        <v>4</v>
      </c>
      <c r="C30" s="90" t="s">
        <v>71</v>
      </c>
      <c r="D30" s="29"/>
      <c r="E30" s="77"/>
      <c r="F30" s="77"/>
      <c r="G30" s="29"/>
      <c r="H30" s="29"/>
      <c r="I30" s="30"/>
      <c r="J30" s="31"/>
      <c r="K30" s="32"/>
      <c r="L30" s="32"/>
      <c r="M30" s="30"/>
      <c r="N30" s="30"/>
      <c r="O30" s="30"/>
      <c r="P30" s="30"/>
      <c r="Q30" s="30"/>
      <c r="R30" s="30"/>
      <c r="S30" s="30"/>
      <c r="T30" s="33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14"/>
    </row>
    <row r="31" spans="1:69" ht="17.25" customHeight="1" outlineLevel="1" x14ac:dyDescent="0.25">
      <c r="A31" s="34"/>
      <c r="B31" s="91">
        <v>43104</v>
      </c>
      <c r="C31" s="92" t="s">
        <v>72</v>
      </c>
      <c r="D31" s="92" t="s">
        <v>45</v>
      </c>
      <c r="E31" s="107" t="s">
        <v>57</v>
      </c>
      <c r="F31" s="107" t="s">
        <v>57</v>
      </c>
      <c r="G31" s="93">
        <v>0</v>
      </c>
      <c r="H31" s="94">
        <v>0</v>
      </c>
      <c r="I31" s="40"/>
      <c r="J31" s="41"/>
      <c r="K31" s="42"/>
      <c r="L31" s="42"/>
      <c r="M31" s="42"/>
      <c r="N31" s="47"/>
      <c r="O31" s="47"/>
      <c r="P31" s="47"/>
      <c r="Q31" s="47"/>
      <c r="R31" s="47"/>
      <c r="S31" s="43"/>
      <c r="T31" s="78"/>
      <c r="U31" s="96"/>
      <c r="V31" s="42"/>
      <c r="W31" s="42"/>
      <c r="X31" s="42"/>
      <c r="Y31" s="42"/>
      <c r="Z31" s="42"/>
      <c r="AA31" s="42"/>
      <c r="AB31" s="42"/>
      <c r="AC31" s="48"/>
      <c r="AD31" s="48"/>
      <c r="AE31" s="48"/>
      <c r="AF31" s="48"/>
      <c r="AG31" s="48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9"/>
      <c r="AS31" s="49"/>
      <c r="AT31" s="49"/>
      <c r="AU31" s="49"/>
      <c r="AV31" s="49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50"/>
      <c r="BH31" s="50"/>
      <c r="BI31" s="50"/>
      <c r="BJ31" s="50"/>
      <c r="BK31" s="50"/>
      <c r="BL31" s="42"/>
      <c r="BM31" s="42"/>
      <c r="BN31" s="42"/>
      <c r="BO31" s="42"/>
      <c r="BP31" s="51"/>
      <c r="BQ31" s="34"/>
    </row>
    <row r="32" spans="1:69" ht="17.25" customHeight="1" outlineLevel="1" x14ac:dyDescent="0.25">
      <c r="A32" s="34"/>
      <c r="B32" s="91">
        <v>43135</v>
      </c>
      <c r="C32" s="92" t="s">
        <v>73</v>
      </c>
      <c r="D32" s="92" t="s">
        <v>45</v>
      </c>
      <c r="E32" s="107" t="s">
        <v>57</v>
      </c>
      <c r="F32" s="107" t="s">
        <v>57</v>
      </c>
      <c r="G32" s="93">
        <v>0</v>
      </c>
      <c r="H32" s="94">
        <v>0</v>
      </c>
      <c r="I32" s="53"/>
      <c r="J32" s="54"/>
      <c r="K32" s="55"/>
      <c r="L32" s="55"/>
      <c r="M32" s="55"/>
      <c r="N32" s="47"/>
      <c r="O32" s="47"/>
      <c r="P32" s="47"/>
      <c r="Q32" s="47"/>
      <c r="R32" s="47"/>
      <c r="S32" s="56"/>
      <c r="T32" s="57"/>
      <c r="U32" s="98"/>
      <c r="V32" s="55"/>
      <c r="W32" s="55"/>
      <c r="X32" s="55"/>
      <c r="Y32" s="55"/>
      <c r="Z32" s="55"/>
      <c r="AA32" s="55"/>
      <c r="AB32" s="55"/>
      <c r="AC32" s="61"/>
      <c r="AD32" s="61"/>
      <c r="AE32" s="61"/>
      <c r="AF32" s="61"/>
      <c r="AG32" s="61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62"/>
      <c r="AS32" s="62"/>
      <c r="AT32" s="62"/>
      <c r="AU32" s="62"/>
      <c r="AV32" s="62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63"/>
      <c r="BH32" s="63"/>
      <c r="BI32" s="63"/>
      <c r="BJ32" s="63"/>
      <c r="BK32" s="63"/>
      <c r="BL32" s="55"/>
      <c r="BM32" s="55"/>
      <c r="BN32" s="55"/>
      <c r="BO32" s="55"/>
      <c r="BP32" s="64"/>
      <c r="BQ32" s="34"/>
    </row>
    <row r="33" spans="1:69" ht="17.25" customHeight="1" outlineLevel="1" x14ac:dyDescent="0.25">
      <c r="A33" s="34"/>
      <c r="B33" s="91">
        <v>43163</v>
      </c>
      <c r="C33" s="92" t="s">
        <v>74</v>
      </c>
      <c r="D33" s="92" t="s">
        <v>45</v>
      </c>
      <c r="E33" s="107" t="s">
        <v>57</v>
      </c>
      <c r="F33" s="107" t="s">
        <v>57</v>
      </c>
      <c r="G33" s="93">
        <v>0</v>
      </c>
      <c r="H33" s="94">
        <v>0</v>
      </c>
      <c r="I33" s="53"/>
      <c r="J33" s="54"/>
      <c r="K33" s="55"/>
      <c r="L33" s="55"/>
      <c r="M33" s="55"/>
      <c r="N33" s="47"/>
      <c r="O33" s="47"/>
      <c r="P33" s="47"/>
      <c r="Q33" s="47"/>
      <c r="R33" s="47"/>
      <c r="S33" s="43"/>
      <c r="T33" s="78"/>
      <c r="U33" s="96"/>
      <c r="V33" s="42"/>
      <c r="W33" s="55"/>
      <c r="X33" s="55"/>
      <c r="Y33" s="55"/>
      <c r="Z33" s="55"/>
      <c r="AA33" s="55"/>
      <c r="AB33" s="55"/>
      <c r="AC33" s="61"/>
      <c r="AD33" s="61"/>
      <c r="AE33" s="61"/>
      <c r="AF33" s="61"/>
      <c r="AG33" s="61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62"/>
      <c r="AS33" s="62"/>
      <c r="AT33" s="62"/>
      <c r="AU33" s="62"/>
      <c r="AV33" s="62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63"/>
      <c r="BH33" s="63"/>
      <c r="BI33" s="63"/>
      <c r="BJ33" s="63"/>
      <c r="BK33" s="63"/>
      <c r="BL33" s="55"/>
      <c r="BM33" s="55"/>
      <c r="BN33" s="55"/>
      <c r="BO33" s="55"/>
      <c r="BP33" s="64"/>
      <c r="BQ33" s="34"/>
    </row>
    <row r="34" spans="1:69" ht="17.25" customHeight="1" outlineLevel="1" x14ac:dyDescent="0.25">
      <c r="A34" s="34"/>
      <c r="B34" s="91">
        <v>43194</v>
      </c>
      <c r="C34" s="92" t="s">
        <v>75</v>
      </c>
      <c r="D34" s="92" t="s">
        <v>45</v>
      </c>
      <c r="E34" s="107" t="s">
        <v>57</v>
      </c>
      <c r="F34" s="107" t="s">
        <v>57</v>
      </c>
      <c r="G34" s="93">
        <v>0</v>
      </c>
      <c r="H34" s="102">
        <v>0</v>
      </c>
      <c r="I34" s="53"/>
      <c r="J34" s="54"/>
      <c r="K34" s="55"/>
      <c r="L34" s="55"/>
      <c r="M34" s="55"/>
      <c r="N34" s="47"/>
      <c r="O34" s="47"/>
      <c r="P34" s="47"/>
      <c r="Q34" s="47"/>
      <c r="R34" s="47"/>
      <c r="S34" s="43"/>
      <c r="T34" s="110"/>
      <c r="U34" s="96"/>
      <c r="V34" s="42"/>
      <c r="W34" s="55"/>
      <c r="X34" s="55"/>
      <c r="Y34" s="55"/>
      <c r="Z34" s="55"/>
      <c r="AA34" s="55"/>
      <c r="AB34" s="55"/>
      <c r="AC34" s="61"/>
      <c r="AD34" s="61"/>
      <c r="AE34" s="61"/>
      <c r="AF34" s="61"/>
      <c r="AG34" s="61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62"/>
      <c r="AS34" s="62"/>
      <c r="AT34" s="62"/>
      <c r="AU34" s="62"/>
      <c r="AV34" s="62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63"/>
      <c r="BH34" s="63"/>
      <c r="BI34" s="63"/>
      <c r="BJ34" s="63"/>
      <c r="BK34" s="63"/>
      <c r="BL34" s="55"/>
      <c r="BM34" s="55"/>
      <c r="BN34" s="55"/>
      <c r="BO34" s="55"/>
      <c r="BP34" s="64"/>
      <c r="BQ34" s="34"/>
    </row>
    <row r="35" spans="1:69" ht="21" customHeight="1" x14ac:dyDescent="0.25">
      <c r="A35" s="14"/>
      <c r="B35" s="14"/>
      <c r="C35" s="14"/>
      <c r="D35" s="14"/>
      <c r="E35" s="14"/>
      <c r="F35" s="14"/>
      <c r="G35" s="86"/>
      <c r="H35" s="8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33" t="s">
        <v>76</v>
      </c>
      <c r="T35" s="134"/>
      <c r="U35" s="13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21" customHeight="1" x14ac:dyDescent="0.25">
      <c r="A36" s="14"/>
      <c r="B36" s="135" t="s">
        <v>3</v>
      </c>
      <c r="C36" s="136"/>
      <c r="D36" s="136"/>
      <c r="E36" s="136"/>
      <c r="F36" s="136"/>
      <c r="G36" s="136"/>
      <c r="H36" s="136"/>
      <c r="I36" s="136"/>
      <c r="J36" s="13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21" customHeight="1" x14ac:dyDescent="0.25">
      <c r="A37" s="14"/>
      <c r="B37" s="138" t="s">
        <v>4</v>
      </c>
      <c r="C37" s="134"/>
      <c r="D37" s="134"/>
      <c r="E37" s="134"/>
      <c r="F37" s="134"/>
      <c r="G37" s="134"/>
      <c r="H37" s="134"/>
      <c r="I37" s="134"/>
      <c r="J37" s="13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21" customHeight="1" x14ac:dyDescent="0.25">
      <c r="A38" s="14"/>
      <c r="B38" s="140"/>
      <c r="C38" s="141"/>
      <c r="D38" s="141"/>
      <c r="E38" s="141"/>
      <c r="F38" s="141"/>
      <c r="G38" s="141"/>
      <c r="H38" s="141"/>
      <c r="I38" s="141"/>
      <c r="J38" s="142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</sheetData>
  <mergeCells count="42">
    <mergeCell ref="B1:G1"/>
    <mergeCell ref="I1:N1"/>
    <mergeCell ref="O1:AL1"/>
    <mergeCell ref="D3:G3"/>
    <mergeCell ref="I3:O3"/>
    <mergeCell ref="P3:AB3"/>
    <mergeCell ref="AE3:AX3"/>
    <mergeCell ref="B3:C3"/>
    <mergeCell ref="AM7:BA7"/>
    <mergeCell ref="B4:C4"/>
    <mergeCell ref="D4:G4"/>
    <mergeCell ref="I4:O4"/>
    <mergeCell ref="P4:AA4"/>
    <mergeCell ref="AE4:AX5"/>
    <mergeCell ref="B5:C5"/>
    <mergeCell ref="BB7:BP7"/>
    <mergeCell ref="I8:M8"/>
    <mergeCell ref="N8:R8"/>
    <mergeCell ref="S35:U35"/>
    <mergeCell ref="B36:J36"/>
    <mergeCell ref="BB8:BF8"/>
    <mergeCell ref="BG8:BK8"/>
    <mergeCell ref="BL8:BP8"/>
    <mergeCell ref="AC8:AG8"/>
    <mergeCell ref="AH8:AL8"/>
    <mergeCell ref="AM8:AQ8"/>
    <mergeCell ref="AR8:AV8"/>
    <mergeCell ref="AW8:BA8"/>
    <mergeCell ref="G7:G9"/>
    <mergeCell ref="H7:H9"/>
    <mergeCell ref="I7:W7"/>
    <mergeCell ref="B37:J38"/>
    <mergeCell ref="D5:G5"/>
    <mergeCell ref="I5:AB5"/>
    <mergeCell ref="B7:B9"/>
    <mergeCell ref="C7:C9"/>
    <mergeCell ref="D7:D9"/>
    <mergeCell ref="E7:E9"/>
    <mergeCell ref="F7:F9"/>
    <mergeCell ref="S8:W8"/>
    <mergeCell ref="X8:AB8"/>
    <mergeCell ref="X7:AL7"/>
  </mergeCells>
  <conditionalFormatting sqref="H11:H17 H19:H3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P3" r:id="rId1" xr:uid="{00000000-0004-0000-0100-000000000000}"/>
    <hyperlink ref="B4" r:id="rId2" xr:uid="{00000000-0004-0000-0100-000001000000}"/>
    <hyperlink ref="AE4" r:id="rId3" xr:uid="{00000000-0004-0000-0100-000002000000}"/>
    <hyperlink ref="D5" r:id="rId4" xr:uid="{00000000-0004-0000-0100-000003000000}"/>
    <hyperlink ref="I5" r:id="rId5" xr:uid="{00000000-0004-0000-0100-000004000000}"/>
    <hyperlink ref="B37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3A1F-CAAF-4627-AA89-A275ED3AD0C2}">
  <sheetPr>
    <tabColor rgb="FF3D85C6"/>
    <outlinePr summaryBelow="0" summaryRight="0"/>
  </sheetPr>
  <dimension ref="A1:AR153"/>
  <sheetViews>
    <sheetView showGridLines="0" tabSelected="1" zoomScale="89" workbookViewId="0">
      <pane xSplit="6" topLeftCell="G1" activePane="topRight" state="frozen"/>
      <selection pane="topRight" activeCell="O167" sqref="O167"/>
    </sheetView>
  </sheetViews>
  <sheetFormatPr defaultColWidth="12.88671875" defaultRowHeight="15.75" customHeight="1" x14ac:dyDescent="0.25"/>
  <cols>
    <col min="1" max="1" width="2.109375" bestFit="1" customWidth="1"/>
    <col min="2" max="2" width="58.6640625" bestFit="1" customWidth="1"/>
    <col min="3" max="3" width="6.44140625" bestFit="1" customWidth="1"/>
    <col min="4" max="4" width="7.5546875" bestFit="1" customWidth="1"/>
    <col min="5" max="5" width="7.109375" style="111" bestFit="1" customWidth="1"/>
    <col min="6" max="6" width="10.88671875" style="111" bestFit="1" customWidth="1"/>
    <col min="7" max="16" width="3.33203125" bestFit="1" customWidth="1"/>
    <col min="17" max="17" width="3.33203125" customWidth="1"/>
    <col min="18" max="24" width="3.33203125" bestFit="1" customWidth="1"/>
    <col min="25" max="27" width="3.6640625" bestFit="1" customWidth="1"/>
    <col min="28" max="28" width="3.33203125" customWidth="1"/>
    <col min="29" max="29" width="3.6640625" bestFit="1" customWidth="1"/>
    <col min="30" max="35" width="3.33203125" bestFit="1" customWidth="1"/>
    <col min="36" max="36" width="3.33203125" customWidth="1"/>
    <col min="37" max="41" width="3.33203125" bestFit="1" customWidth="1"/>
  </cols>
  <sheetData>
    <row r="1" spans="1:41" ht="26.4" x14ac:dyDescent="0.25">
      <c r="A1" s="184" t="s">
        <v>108</v>
      </c>
      <c r="B1" s="126" t="s">
        <v>251</v>
      </c>
      <c r="C1" s="126" t="s">
        <v>252</v>
      </c>
      <c r="D1" s="126" t="s">
        <v>255</v>
      </c>
      <c r="E1" s="184" t="s">
        <v>111</v>
      </c>
      <c r="F1" s="186" t="s">
        <v>114</v>
      </c>
      <c r="G1" s="179" t="s">
        <v>216</v>
      </c>
      <c r="H1" s="179" t="s">
        <v>217</v>
      </c>
      <c r="I1" s="179" t="s">
        <v>218</v>
      </c>
      <c r="J1" s="179" t="s">
        <v>219</v>
      </c>
      <c r="K1" s="179" t="s">
        <v>220</v>
      </c>
      <c r="L1" s="179" t="s">
        <v>221</v>
      </c>
      <c r="M1" s="179" t="s">
        <v>222</v>
      </c>
      <c r="N1" s="179" t="s">
        <v>223</v>
      </c>
      <c r="O1" s="179" t="s">
        <v>224</v>
      </c>
      <c r="P1" s="179" t="s">
        <v>225</v>
      </c>
      <c r="Q1" s="179" t="s">
        <v>226</v>
      </c>
      <c r="R1" s="179" t="s">
        <v>227</v>
      </c>
      <c r="S1" s="179" t="s">
        <v>228</v>
      </c>
      <c r="T1" s="179" t="s">
        <v>229</v>
      </c>
      <c r="U1" s="179" t="s">
        <v>230</v>
      </c>
      <c r="V1" s="179" t="s">
        <v>231</v>
      </c>
      <c r="W1" s="179" t="s">
        <v>232</v>
      </c>
      <c r="X1" s="179" t="s">
        <v>233</v>
      </c>
      <c r="Y1" s="179" t="s">
        <v>234</v>
      </c>
      <c r="Z1" s="179" t="s">
        <v>235</v>
      </c>
      <c r="AA1" s="179" t="s">
        <v>236</v>
      </c>
      <c r="AB1" s="179" t="s">
        <v>237</v>
      </c>
      <c r="AC1" s="179" t="s">
        <v>238</v>
      </c>
      <c r="AD1" s="179" t="s">
        <v>239</v>
      </c>
      <c r="AE1" s="179" t="s">
        <v>240</v>
      </c>
      <c r="AF1" s="179" t="s">
        <v>241</v>
      </c>
      <c r="AG1" s="179" t="s">
        <v>242</v>
      </c>
      <c r="AH1" s="179" t="s">
        <v>243</v>
      </c>
      <c r="AI1" s="179" t="s">
        <v>244</v>
      </c>
      <c r="AJ1" s="179" t="s">
        <v>245</v>
      </c>
      <c r="AK1" s="179" t="s">
        <v>246</v>
      </c>
      <c r="AL1" s="179" t="s">
        <v>247</v>
      </c>
      <c r="AM1" s="179" t="s">
        <v>248</v>
      </c>
      <c r="AN1" s="179" t="s">
        <v>249</v>
      </c>
      <c r="AO1" s="179" t="s">
        <v>250</v>
      </c>
    </row>
    <row r="2" spans="1:41" ht="31.5" customHeight="1" x14ac:dyDescent="0.25">
      <c r="A2" s="185"/>
      <c r="B2" s="127">
        <f>WORKDAY($F$3,ROUNDUP(($E$3-$E$5)/$C$2,0)+$E$5,Holiday!$A$1:$A$30)</f>
        <v>46365</v>
      </c>
      <c r="C2" s="128">
        <v>8</v>
      </c>
      <c r="D2" s="129">
        <f>Setting!$A$2</f>
        <v>0.5</v>
      </c>
      <c r="E2" s="185"/>
      <c r="F2" s="187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</row>
    <row r="3" spans="1:41" ht="60" customHeight="1" x14ac:dyDescent="0.25">
      <c r="A3" s="123"/>
      <c r="B3" s="123" t="s">
        <v>109</v>
      </c>
      <c r="C3" s="123" t="s">
        <v>110</v>
      </c>
      <c r="D3" s="123" t="s">
        <v>254</v>
      </c>
      <c r="E3" s="123">
        <f>SUM(E5:E153)</f>
        <v>1711</v>
      </c>
      <c r="F3" s="125">
        <f>Setting!$C$2</f>
        <v>46023</v>
      </c>
      <c r="G3" s="124">
        <f>WORKDAY(F3,22,Holiday!$A$1:$A$30)</f>
        <v>46055</v>
      </c>
      <c r="H3" s="124">
        <f>WORKDAY(G3,22,Holiday!$A$1:$A$30)</f>
        <v>46085</v>
      </c>
      <c r="I3" s="124">
        <f>WORKDAY(H3,22,Holiday!$A$1:$A$30)</f>
        <v>46115</v>
      </c>
      <c r="J3" s="124">
        <f>WORKDAY(I3,22,Holiday!$A$1:$A$30)</f>
        <v>46149</v>
      </c>
      <c r="K3" s="124">
        <f>WORKDAY(J3,22,Holiday!$A$1:$A$30)</f>
        <v>46181</v>
      </c>
      <c r="L3" s="124">
        <f>WORKDAY(K3,22,Holiday!$A$1:$A$30)</f>
        <v>46211</v>
      </c>
      <c r="M3" s="124">
        <f>WORKDAY(L3,22,Holiday!$A$1:$A$30)</f>
        <v>46241</v>
      </c>
      <c r="N3" s="124">
        <f>WORKDAY(M3,22,Holiday!$A$1:$A$30)</f>
        <v>46274</v>
      </c>
      <c r="O3" s="124">
        <f>WORKDAY(N3,22,Holiday!$A$1:$A$30)</f>
        <v>46304</v>
      </c>
      <c r="P3" s="124">
        <f>WORKDAY(O3,22,Holiday!$A$1:$A$30)</f>
        <v>46336</v>
      </c>
      <c r="Q3" s="124">
        <f>WORKDAY(P3,22,Holiday!$A$1:$A$30)</f>
        <v>46366</v>
      </c>
      <c r="R3" s="124">
        <f>WORKDAY(Q3,22,Holiday!$A$1:$A$30)</f>
        <v>46398</v>
      </c>
      <c r="S3" s="124">
        <f>WORKDAY(R3,22,Holiday!$A$1:$A$30)</f>
        <v>46428</v>
      </c>
      <c r="T3" s="124">
        <f>WORKDAY(S3,22,Holiday!$A$1:$A$30)</f>
        <v>46458</v>
      </c>
      <c r="U3" s="124">
        <f>WORKDAY(T3,22,Holiday!$A$1:$A$30)</f>
        <v>46490</v>
      </c>
      <c r="V3" s="124">
        <f>WORKDAY(U3,22,Holiday!$A$1:$A$30)</f>
        <v>46520</v>
      </c>
      <c r="W3" s="124">
        <f>WORKDAY(V3,22,Holiday!$A$1:$A$30)</f>
        <v>46552</v>
      </c>
      <c r="X3" s="124">
        <f>WORKDAY(W3,22,Holiday!$A$1:$A$30)</f>
        <v>46582</v>
      </c>
      <c r="Y3" s="124">
        <f>WORKDAY(X3,22,Holiday!$A$1:$A$30)</f>
        <v>46612</v>
      </c>
      <c r="Z3" s="124">
        <f>WORKDAY(Y3,22,Holiday!$A$1:$A$30)</f>
        <v>46644</v>
      </c>
      <c r="AA3" s="124">
        <f>WORKDAY(Z3,22,Holiday!$A$1:$A$30)</f>
        <v>46674</v>
      </c>
      <c r="AB3" s="124">
        <f>WORKDAY(AA3,22,Holiday!$A$1:$A$30)</f>
        <v>46706</v>
      </c>
      <c r="AC3" s="124">
        <f>WORKDAY(AB3,22,Holiday!$A$1:$A$30)</f>
        <v>46736</v>
      </c>
      <c r="AD3" s="124">
        <f>WORKDAY(AC3,22,Holiday!$A$1:$A$30)</f>
        <v>46766</v>
      </c>
      <c r="AE3" s="124">
        <f>WORKDAY(AD3,22,Holiday!$A$1:$A$30)</f>
        <v>46798</v>
      </c>
      <c r="AF3" s="124">
        <f>WORKDAY(AE3,22,Holiday!$A$1:$A$30)</f>
        <v>46828</v>
      </c>
      <c r="AG3" s="124">
        <f>WORKDAY(AF3,22,Holiday!$A$1:$A$30)</f>
        <v>46860</v>
      </c>
      <c r="AH3" s="124">
        <f>WORKDAY(AG3,22,Holiday!$A$1:$A$30)</f>
        <v>46890</v>
      </c>
      <c r="AI3" s="124">
        <f>WORKDAY(AH3,22,Holiday!$A$1:$A$30)</f>
        <v>46920</v>
      </c>
      <c r="AJ3" s="124">
        <f>WORKDAY(AI3,22,Holiday!$A$1:$A$30)</f>
        <v>46952</v>
      </c>
      <c r="AK3" s="124">
        <f>WORKDAY(AJ3,22,Holiday!$A$1:$A$30)</f>
        <v>46982</v>
      </c>
      <c r="AL3" s="124">
        <f>WORKDAY(AK3,22,Holiday!$A$1:$A$30)</f>
        <v>47014</v>
      </c>
      <c r="AM3" s="124">
        <f>WORKDAY(AL3,22,Holiday!$A$1:$A$30)</f>
        <v>47044</v>
      </c>
      <c r="AN3" s="124">
        <f>WORKDAY(AM3,22,Holiday!$A$1:$A$30)</f>
        <v>47074</v>
      </c>
      <c r="AO3" s="124">
        <f>WORKDAY(AN3,22,Holiday!$A$1:$A$30)</f>
        <v>47106</v>
      </c>
    </row>
    <row r="4" spans="1:41" ht="13.2" x14ac:dyDescent="0.25">
      <c r="A4" s="182" t="s">
        <v>278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</row>
    <row r="5" spans="1:41" ht="13.2" x14ac:dyDescent="0.25">
      <c r="A5" s="118"/>
      <c r="B5" s="115" t="s">
        <v>79</v>
      </c>
      <c r="C5" s="115" t="s">
        <v>78</v>
      </c>
      <c r="D5" s="116">
        <v>20</v>
      </c>
      <c r="E5" s="116">
        <f>ROUNDUP(D5*(1+$D$2),0)</f>
        <v>30</v>
      </c>
      <c r="F5" s="122">
        <f>WORKDAY(F3,E5,Holiday!$A$1:$A$30)</f>
        <v>46065</v>
      </c>
      <c r="G5" s="113">
        <f>IF(OR(AND($F3&lt;=G$3, $F5 &gt;= G$3), AND($F5&lt;G$3, WORKDAY($F5, 22,Holiday!$A$1:$A$30)&gt;G$3)), 1, 0)+IF(AND((G$3-$B$2)&gt;=0,(G$3-$B$2)&lt;30), 2,0)</f>
        <v>1</v>
      </c>
      <c r="H5" s="113">
        <f>IF(OR(AND($F3&lt;=H$3, $F5 &gt;= H$3), AND($F5&lt;H$3, WORKDAY($F5, 22,Holiday!$A$1:$A$30)&gt;H$3)), 1, 0)+IF(AND((H$3-$B$2)&gt;=0,(H$3-$B$2)&lt;30), 2,0)</f>
        <v>1</v>
      </c>
      <c r="I5" s="113">
        <f>IF(OR(AND($F3&lt;=I$3, $F5 &gt;= I$3), AND($F5&lt;I$3, WORKDAY($F5, 22,Holiday!$A$1:$A$30)&gt;I$3)), 1, 0)+IF(AND((I$3-$B$2)&gt;=0,(I$3-$B$2)&lt;30), 2,0)</f>
        <v>0</v>
      </c>
      <c r="J5" s="113">
        <f>IF(OR(AND($F3&lt;=J$3, $F5 &gt;= J$3), AND($F5&lt;J$3, WORKDAY($F5, 22,Holiday!$A$1:$A$30)&gt;J$3)), 1, 0)+IF(AND((J$3-$B$2)&gt;=0,(J$3-$B$2)&lt;30), 2,0)</f>
        <v>0</v>
      </c>
      <c r="K5" s="113">
        <f>IF(OR(AND($F3&lt;=K$3, $F5 &gt;= K$3), AND($F5&lt;K$3, WORKDAY($F5, 22,Holiday!$A$1:$A$30)&gt;K$3)), 1, 0)+IF(AND((K$3-$B$2)&gt;=0,(K$3-$B$2)&lt;30), 2,0)</f>
        <v>0</v>
      </c>
      <c r="L5" s="113">
        <f>IF(OR(AND($F3&lt;=L$3, $F5 &gt;= L$3), AND($F5&lt;L$3, WORKDAY($F5, 22,Holiday!$A$1:$A$30)&gt;L$3)), 1, 0)+IF(AND((L$3-$B$2)&gt;=0,(L$3-$B$2)&lt;30), 2,0)</f>
        <v>0</v>
      </c>
      <c r="M5" s="113">
        <f>IF(OR(AND($F3&lt;=M$3, $F5 &gt;= M$3), AND($F5&lt;M$3, WORKDAY($F5, 22,Holiday!$A$1:$A$30)&gt;M$3)), 1, 0)+IF(AND((M$3-$B$2)&gt;=0,(M$3-$B$2)&lt;30), 2,0)</f>
        <v>0</v>
      </c>
      <c r="N5" s="113">
        <f>IF(OR(AND($F3&lt;=N$3, $F5 &gt;= N$3), AND($F5&lt;N$3, WORKDAY($F5, 22,Holiday!$A$1:$A$30)&gt;N$3)), 1, 0)+IF(AND((N$3-$B$2)&gt;=0,(N$3-$B$2)&lt;30), 2,0)</f>
        <v>0</v>
      </c>
      <c r="O5" s="113">
        <f>IF(OR(AND($F3&lt;=O$3, $F5 &gt;= O$3), AND($F5&lt;O$3, WORKDAY($F5, 22,Holiday!$A$1:$A$30)&gt;O$3)), 1, 0)+IF(AND((O$3-$B$2)&gt;=0,(O$3-$B$2)&lt;30), 2,0)</f>
        <v>0</v>
      </c>
      <c r="P5" s="113">
        <f>IF(OR(AND($F3&lt;=P$3, $F5 &gt;= P$3), AND($F5&lt;P$3, WORKDAY($F5, 22,Holiday!$A$1:$A$30)&gt;P$3)), 1, 0)+IF(AND((P$3-$B$2)&gt;=0,(P$3-$B$2)&lt;30), 2,0)</f>
        <v>0</v>
      </c>
      <c r="Q5" s="113">
        <f>IF(OR(AND($F3&lt;=Q$3, $F5 &gt;= Q$3), AND($F5&lt;Q$3, WORKDAY($F5, 22,Holiday!$A$1:$A$30)&gt;Q$3)), 1, 0)+IF(AND((Q$3-$B$2)&gt;=0,(Q$3-$B$2)&lt;30), 2,0)</f>
        <v>2</v>
      </c>
      <c r="R5" s="113">
        <f>IF(OR(AND($F3&lt;=R$3, $F5 &gt;= R$3), AND($F5&lt;R$3, WORKDAY($F5, 22,Holiday!$A$1:$A$30)&gt;R$3)), 1, 0)+IF(AND((R$3-$B$2)&gt;=0,(R$3-$B$2)&lt;30), 2,0)</f>
        <v>0</v>
      </c>
      <c r="S5" s="113">
        <f>IF(OR(AND($F3&lt;=S$3, $F5 &gt;= S$3), AND($F5&lt;S$3, WORKDAY($F5, 22,Holiday!$A$1:$A$30)&gt;S$3)), 1, 0)+IF(AND((S$3-$B$2)&gt;=0,(S$3-$B$2)&lt;30), 2,0)</f>
        <v>0</v>
      </c>
      <c r="T5" s="113">
        <f>IF(OR(AND($F3&lt;=T$3, $F5 &gt;= T$3), AND($F5&lt;T$3, WORKDAY($F5, 22,Holiday!$A$1:$A$30)&gt;T$3)), 1, 0)+IF(AND((T$3-$B$2)&gt;=0,(T$3-$B$2)&lt;30), 2,0)</f>
        <v>0</v>
      </c>
      <c r="U5" s="113">
        <f>IF(OR(AND($F3&lt;=U$3, $F5 &gt;= U$3), AND($F5&lt;U$3, WORKDAY($F5, 22,Holiday!$A$1:$A$30)&gt;U$3)), 1, 0)+IF(AND((U$3-$B$2)&gt;=0,(U$3-$B$2)&lt;30), 2,0)</f>
        <v>0</v>
      </c>
      <c r="V5" s="113">
        <f>IF(OR(AND($F3&lt;=V$3, $F5 &gt;= V$3), AND($F5&lt;V$3, WORKDAY($F5, 22,Holiday!$A$1:$A$30)&gt;V$3)), 1, 0)+IF(AND((V$3-$B$2)&gt;=0,(V$3-$B$2)&lt;30), 2,0)</f>
        <v>0</v>
      </c>
      <c r="W5" s="113">
        <f>IF(OR(AND($F3&lt;=W$3, $F5 &gt;= W$3), AND($F5&lt;W$3, WORKDAY($F5, 22,Holiday!$A$1:$A$30)&gt;W$3)), 1, 0)+IF(AND((W$3-$B$2)&gt;=0,(W$3-$B$2)&lt;30), 2,0)</f>
        <v>0</v>
      </c>
      <c r="X5" s="113">
        <f>IF(OR(AND($F3&lt;=X$3, $F5 &gt;= X$3), AND($F5&lt;X$3, WORKDAY($F5, 22,Holiday!$A$1:$A$30)&gt;X$3)), 1, 0)+IF(AND((X$3-$B$2)&gt;=0,(X$3-$B$2)&lt;30), 2,0)</f>
        <v>0</v>
      </c>
      <c r="Y5" s="113">
        <f>IF(OR(AND($F3&lt;=Y$3, $F5 &gt;= Y$3), AND($F5&lt;Y$3, WORKDAY($F5, 22,Holiday!$A$1:$A$30)&gt;Y$3)), 1, 0)+IF(AND((Y$3-$B$2)&gt;=0,(Y$3-$B$2)&lt;30), 2,0)</f>
        <v>0</v>
      </c>
      <c r="Z5" s="113">
        <f>IF(OR(AND($F3&lt;=Z$3, $F5 &gt;= Z$3), AND($F5&lt;Z$3, WORKDAY($F5, 22,Holiday!$A$1:$A$30)&gt;Z$3)), 1, 0)+IF(AND((Z$3-$B$2)&gt;=0,(Z$3-$B$2)&lt;30), 2,0)</f>
        <v>0</v>
      </c>
      <c r="AA5" s="113">
        <f>IF(OR(AND($F3&lt;=AA$3, $F5 &gt;= AA$3), AND($F5&lt;AA$3, WORKDAY($F5, 22,Holiday!$A$1:$A$30)&gt;AA$3)), 1, 0)+IF(AND((AA$3-$B$2)&gt;=0,(AA$3-$B$2)&lt;30), 2,0)</f>
        <v>0</v>
      </c>
      <c r="AB5" s="113">
        <f>IF(OR(AND($F3&lt;=AB$3, $F5 &gt;= AB$3), AND($F5&lt;AB$3, WORKDAY($F5, 22,Holiday!$A$1:$A$30)&gt;AB$3)), 1, 0)+IF(AND((AB$3-$B$2)&gt;=0,(AB$3-$B$2)&lt;30), 2,0)</f>
        <v>0</v>
      </c>
      <c r="AC5" s="113">
        <f>IF(OR(AND($F3&lt;=AC$3, $F5 &gt;= AC$3), AND($F5&lt;AC$3, WORKDAY($F5, 22,Holiday!$A$1:$A$30)&gt;AC$3)), 1, 0)+IF(AND((AC$3-$B$2)&gt;=0,(AC$3-$B$2)&lt;30), 2,0)</f>
        <v>0</v>
      </c>
      <c r="AD5" s="113">
        <f>IF(OR(AND($F3&lt;=AD$3, $F5 &gt;= AD$3), AND($F5&lt;AD$3, WORKDAY($F5, 22,Holiday!$A$1:$A$30)&gt;AD$3)), 1, 0)+IF(AND((AD$3-$B$2)&gt;=0,(AD$3-$B$2)&lt;30), 2,0)</f>
        <v>0</v>
      </c>
      <c r="AE5" s="113">
        <f>IF(OR(AND($F3&lt;=AE$3, $F5 &gt;= AE$3), AND($F5&lt;AE$3, WORKDAY($F5, 22,Holiday!$A$1:$A$30)&gt;AE$3)), 1, 0)+IF(AND((AE$3-$B$2)&gt;=0,(AE$3-$B$2)&lt;30), 2,0)</f>
        <v>0</v>
      </c>
      <c r="AF5" s="113">
        <f>IF(OR(AND($F3&lt;=AF$3, $F5 &gt;= AF$3), AND($F5&lt;AF$3, WORKDAY($F5, 22,Holiday!$A$1:$A$30)&gt;AF$3)), 1, 0)+IF(AND((AF$3-$B$2)&gt;=0,(AF$3-$B$2)&lt;30), 2,0)</f>
        <v>0</v>
      </c>
      <c r="AG5" s="113">
        <f>IF(OR(AND($F3&lt;=AG$3, $F5 &gt;= AG$3), AND($F5&lt;AG$3, WORKDAY($F5, 22,Holiday!$A$1:$A$30)&gt;AG$3)), 1, 0)+IF(AND((AG$3-$B$2)&gt;=0,(AG$3-$B$2)&lt;30), 2,0)</f>
        <v>0</v>
      </c>
      <c r="AH5" s="113">
        <f>IF(OR(AND($F3&lt;=AH$3, $F5 &gt;= AH$3), AND($F5&lt;AH$3, WORKDAY($F5, 22,Holiday!$A$1:$A$30)&gt;AH$3)), 1, 0)+IF(AND((AH$3-$B$2)&gt;=0,(AH$3-$B$2)&lt;30), 2,0)</f>
        <v>0</v>
      </c>
      <c r="AI5" s="113">
        <f>IF(OR(AND($F3&lt;=AI$3, $F5 &gt;= AI$3), AND($F5&lt;AI$3, WORKDAY($F5, 22,Holiday!$A$1:$A$30)&gt;AI$3)), 1, 0)+IF(AND((AI$3-$B$2)&gt;=0,(AI$3-$B$2)&lt;30), 2,0)</f>
        <v>0</v>
      </c>
      <c r="AJ5" s="113">
        <f>IF(OR(AND($F3&lt;=AJ$3, $F5 &gt;= AJ$3), AND($F5&lt;AJ$3, WORKDAY($F5, 22,Holiday!$A$1:$A$30)&gt;AJ$3)), 1, 0)+IF(AND((AJ$3-$B$2)&gt;=0,(AJ$3-$B$2)&lt;30), 2,0)</f>
        <v>0</v>
      </c>
      <c r="AK5" s="113">
        <f>IF(OR(AND($F3&lt;=AK$3, $F5 &gt;= AK$3), AND($F5&lt;AK$3, WORKDAY($F5, 22,Holiday!$A$1:$A$30)&gt;AK$3)), 1, 0)+IF(AND((AK$3-$B$2)&gt;=0,(AK$3-$B$2)&lt;30), 2,0)</f>
        <v>0</v>
      </c>
      <c r="AL5" s="113">
        <f>IF(OR(AND($F3&lt;=AL$3, $F5 &gt;= AL$3), AND($F5&lt;AL$3, WORKDAY($F5, 22,Holiday!$A$1:$A$30)&gt;AL$3)), 1, 0)+IF(AND((AL$3-$B$2)&gt;=0,(AL$3-$B$2)&lt;30), 2,0)</f>
        <v>0</v>
      </c>
      <c r="AM5" s="113">
        <f>IF(OR(AND($F3&lt;=AM$3, $F5 &gt;= AM$3), AND($F5&lt;AM$3, WORKDAY($F5, 22,Holiday!$A$1:$A$30)&gt;AM$3)), 1, 0)+IF(AND((AM$3-$B$2)&gt;=0,(AM$3-$B$2)&lt;30), 2,0)</f>
        <v>0</v>
      </c>
      <c r="AN5" s="113">
        <f>IF(OR(AND($F3&lt;=AN$3, $F5 &gt;= AN$3), AND($F5&lt;AN$3, WORKDAY($F5, 22,Holiday!$A$1:$A$30)&gt;AN$3)), 1, 0)+IF(AND((AN$3-$B$2)&gt;=0,(AN$3-$B$2)&lt;30), 2,0)</f>
        <v>0</v>
      </c>
      <c r="AO5" s="113">
        <f>IF(OR(AND($F3&lt;=AO$3, $F5 &gt;= AO$3), AND($F5&lt;AO$3, WORKDAY($F5, 22,Holiday!$A$1:$A$30)&gt;AO$3)), 1, 0)+IF(AND((AO$3-$B$2)&gt;=0,(AO$3-$B$2)&lt;30), 2,0)</f>
        <v>0</v>
      </c>
    </row>
    <row r="6" spans="1:41" ht="14.4" x14ac:dyDescent="0.25">
      <c r="A6" s="85"/>
      <c r="B6" s="36" t="s">
        <v>80</v>
      </c>
      <c r="C6" s="112" t="s">
        <v>78</v>
      </c>
      <c r="D6" s="117">
        <v>15</v>
      </c>
      <c r="E6" s="116">
        <f t="shared" ref="E6:E70" si="0">ROUNDUP(D6*(1+$D$2),0)</f>
        <v>23</v>
      </c>
      <c r="F6" s="122">
        <f>WORKDAY(F5,E6,Holiday!$A$1:$A$30)</f>
        <v>46098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2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3.2" x14ac:dyDescent="0.25">
      <c r="B7" s="36" t="s">
        <v>81</v>
      </c>
      <c r="C7" s="112" t="s">
        <v>78</v>
      </c>
      <c r="D7" s="117">
        <v>3</v>
      </c>
      <c r="E7" s="116">
        <f t="shared" si="0"/>
        <v>5</v>
      </c>
      <c r="F7" s="122">
        <f>WORKDAY(F6,E7,Holiday!$A$1:$A$30)</f>
        <v>46105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2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3.2" x14ac:dyDescent="0.25">
      <c r="B8" s="36" t="s">
        <v>82</v>
      </c>
      <c r="C8" s="112" t="s">
        <v>78</v>
      </c>
      <c r="D8" s="117">
        <v>15</v>
      </c>
      <c r="E8" s="116">
        <f t="shared" si="0"/>
        <v>23</v>
      </c>
      <c r="F8" s="122">
        <f>WORKDAY(F7,E8,Holiday!$A$1:$A$30)</f>
        <v>46136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2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3.2" x14ac:dyDescent="0.25">
      <c r="B9" s="36" t="s">
        <v>83</v>
      </c>
      <c r="C9" s="112" t="s">
        <v>78</v>
      </c>
      <c r="D9" s="117">
        <v>3</v>
      </c>
      <c r="E9" s="116">
        <f t="shared" si="0"/>
        <v>5</v>
      </c>
      <c r="F9" s="122">
        <f>WORKDAY(F8,E9,Holiday!$A$1:$A$30)</f>
        <v>46147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0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2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3.2" x14ac:dyDescent="0.25">
      <c r="B10" s="36" t="s">
        <v>84</v>
      </c>
      <c r="C10" s="112" t="s">
        <v>78</v>
      </c>
      <c r="D10" s="117">
        <v>5</v>
      </c>
      <c r="E10" s="116">
        <f t="shared" si="0"/>
        <v>8</v>
      </c>
      <c r="F10" s="122">
        <f>WORKDAY(F9,E10,Holiday!$A$1:$A$30)</f>
        <v>46157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1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2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3.2" x14ac:dyDescent="0.25">
      <c r="B11" s="36" t="s">
        <v>85</v>
      </c>
      <c r="C11" s="112" t="s">
        <v>78</v>
      </c>
      <c r="D11" s="117">
        <v>8</v>
      </c>
      <c r="E11" s="116">
        <f t="shared" si="0"/>
        <v>12</v>
      </c>
      <c r="F11" s="122">
        <f>WORKDAY(F10,E11,Holiday!$A$1:$A$30)</f>
        <v>46175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0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2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3.2" x14ac:dyDescent="0.25">
      <c r="B12" s="36" t="s">
        <v>86</v>
      </c>
      <c r="C12" s="112" t="s">
        <v>78</v>
      </c>
      <c r="D12" s="117">
        <v>13</v>
      </c>
      <c r="E12" s="116">
        <f t="shared" si="0"/>
        <v>20</v>
      </c>
      <c r="F12" s="122">
        <f>WORKDAY(F11,E12,Holiday!$A$1:$A$30)</f>
        <v>46203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1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0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2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3.2" x14ac:dyDescent="0.25">
      <c r="B13" s="36" t="s">
        <v>87</v>
      </c>
      <c r="C13" s="112" t="s">
        <v>78</v>
      </c>
      <c r="D13" s="117">
        <v>13</v>
      </c>
      <c r="E13" s="116">
        <f t="shared" si="0"/>
        <v>20</v>
      </c>
      <c r="F13" s="122">
        <f>WORKDAY(F12,E13,Holiday!$A$1:$A$30)</f>
        <v>46231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1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2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3.2" x14ac:dyDescent="0.25">
      <c r="B14" s="36" t="s">
        <v>88</v>
      </c>
      <c r="C14" s="112" t="s">
        <v>78</v>
      </c>
      <c r="D14" s="117">
        <v>15</v>
      </c>
      <c r="E14" s="116">
        <f t="shared" si="0"/>
        <v>23</v>
      </c>
      <c r="F14" s="122">
        <f>WORKDAY(F13,E14,Holiday!$A$1:$A$30)</f>
        <v>46262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2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3.2" x14ac:dyDescent="0.25">
      <c r="B15" s="36" t="s">
        <v>89</v>
      </c>
      <c r="C15" s="112" t="s">
        <v>78</v>
      </c>
      <c r="D15" s="117">
        <v>15</v>
      </c>
      <c r="E15" s="116">
        <f t="shared" si="0"/>
        <v>23</v>
      </c>
      <c r="F15" s="122">
        <f>WORKDAY(F14,E15,Holiday!$A$1:$A$30)</f>
        <v>46296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2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3.2" x14ac:dyDescent="0.25">
      <c r="B16" s="36" t="s">
        <v>90</v>
      </c>
      <c r="C16" s="112" t="s">
        <v>112</v>
      </c>
      <c r="D16" s="117">
        <v>13</v>
      </c>
      <c r="E16" s="116">
        <f t="shared" si="0"/>
        <v>20</v>
      </c>
      <c r="F16" s="122">
        <f>WORKDAY(F5,E16,Holiday!$A$1:$A$30)</f>
        <v>46093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1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2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3.2" x14ac:dyDescent="0.25">
      <c r="B17" s="36" t="s">
        <v>91</v>
      </c>
      <c r="C17" s="112" t="s">
        <v>112</v>
      </c>
      <c r="D17" s="117">
        <v>3</v>
      </c>
      <c r="E17" s="116">
        <f t="shared" si="0"/>
        <v>5</v>
      </c>
      <c r="F17" s="122">
        <f>WORKDAY(F16,E17,Holiday!$A$1:$A$30)</f>
        <v>46100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1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0</v>
      </c>
      <c r="Q17" s="113">
        <f>IF(OR(AND($F16&lt;=Q$3, $F17 &gt;= Q$3), AND($F17&lt;Q$3, WORKDAY($F17, 22,Holiday!$A$1:$A$30)&gt;Q$3)), 1, 0)+IF(AND((Q$3-$B$2)&gt;=0,(Q$3-$B$2)&lt;30), 2,0)</f>
        <v>2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3.2" x14ac:dyDescent="0.25">
      <c r="B18" s="36" t="s">
        <v>92</v>
      </c>
      <c r="C18" s="112" t="s">
        <v>112</v>
      </c>
      <c r="D18" s="117">
        <v>13</v>
      </c>
      <c r="E18" s="116">
        <f t="shared" si="0"/>
        <v>20</v>
      </c>
      <c r="F18" s="122">
        <f>WORKDAY(F17,E18,Holiday!$A$1:$A$30)</f>
        <v>46128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1</v>
      </c>
      <c r="J18" s="113">
        <f>IF(OR(AND($F17&lt;=J$3, $F18 &gt;= J$3), AND($F18&lt;J$3, WORKDAY($F18, 22,Holiday!$A$1:$A$30)&gt;J$3)), 1, 0)+IF(AND((J$3-$B$2)&gt;=0,(J$3-$B$2)&lt;30), 2,0)</f>
        <v>1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2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3.2" x14ac:dyDescent="0.25">
      <c r="B19" s="36" t="s">
        <v>93</v>
      </c>
      <c r="C19" s="112" t="s">
        <v>112</v>
      </c>
      <c r="D19" s="117">
        <v>5</v>
      </c>
      <c r="E19" s="116">
        <f t="shared" si="0"/>
        <v>8</v>
      </c>
      <c r="F19" s="122">
        <f>WORKDAY(F18,E19,Holiday!$A$1:$A$30)</f>
        <v>46140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1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2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3.2" x14ac:dyDescent="0.25">
      <c r="B20" s="36" t="s">
        <v>94</v>
      </c>
      <c r="C20" s="112" t="s">
        <v>112</v>
      </c>
      <c r="D20" s="117">
        <v>8</v>
      </c>
      <c r="E20" s="116">
        <f t="shared" si="0"/>
        <v>12</v>
      </c>
      <c r="F20" s="122">
        <f>WORKDAY(F19,E20,Holiday!$A$1:$A$30)</f>
        <v>46160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1</v>
      </c>
      <c r="K20" s="113">
        <f>IF(OR(AND($F19&lt;=K$3, $F20 &gt;= K$3), AND($F20&lt;K$3, WORKDAY($F20, 22,Holiday!$A$1:$A$30)&gt;K$3)), 1, 0)+IF(AND((K$3-$B$2)&gt;=0,(K$3-$B$2)&lt;30), 2,0)</f>
        <v>1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2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3.2" x14ac:dyDescent="0.25">
      <c r="B21" s="36" t="s">
        <v>95</v>
      </c>
      <c r="C21" s="112" t="s">
        <v>112</v>
      </c>
      <c r="D21" s="117">
        <v>8</v>
      </c>
      <c r="E21" s="116">
        <f t="shared" si="0"/>
        <v>12</v>
      </c>
      <c r="F21" s="122">
        <f>WORKDAY(F20,E21,Holiday!$A$1:$A$30)</f>
        <v>46176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1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2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3.2" x14ac:dyDescent="0.25">
      <c r="B22" s="36" t="s">
        <v>96</v>
      </c>
      <c r="C22" s="112" t="s">
        <v>112</v>
      </c>
      <c r="D22" s="117">
        <v>8</v>
      </c>
      <c r="E22" s="116">
        <f t="shared" si="0"/>
        <v>12</v>
      </c>
      <c r="F22" s="122">
        <f>WORKDAY(F21,E22,Holiday!$A$1:$A$30)</f>
        <v>46192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1</v>
      </c>
      <c r="L22" s="113">
        <f>IF(OR(AND($F21&lt;=L$3, $F22 &gt;= L$3), AND($F22&lt;L$3, WORKDAY($F22, 22,Holiday!$A$1:$A$30)&gt;L$3)), 1, 0)+IF(AND((L$3-$B$2)&gt;=0,(L$3-$B$2)&lt;30), 2,0)</f>
        <v>1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2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3.2" x14ac:dyDescent="0.25">
      <c r="B23" s="36" t="s">
        <v>97</v>
      </c>
      <c r="C23" s="112" t="s">
        <v>112</v>
      </c>
      <c r="D23" s="117">
        <v>5</v>
      </c>
      <c r="E23" s="116">
        <f t="shared" si="0"/>
        <v>8</v>
      </c>
      <c r="F23" s="122">
        <f>WORKDAY(F22,E23,Holiday!$A$1:$A$30)</f>
        <v>46204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1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2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3.2" x14ac:dyDescent="0.25">
      <c r="B24" s="36" t="s">
        <v>98</v>
      </c>
      <c r="C24" s="112" t="s">
        <v>112</v>
      </c>
      <c r="D24" s="117">
        <v>8</v>
      </c>
      <c r="E24" s="116">
        <f t="shared" si="0"/>
        <v>12</v>
      </c>
      <c r="F24" s="122">
        <f>WORKDAY(F23,E24,Holiday!$A$1:$A$30)</f>
        <v>46220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1</v>
      </c>
      <c r="M24" s="113">
        <f>IF(OR(AND($F23&lt;=M$3, $F24 &gt;= M$3), AND($F24&lt;M$3, WORKDAY($F24, 22,Holiday!$A$1:$A$30)&gt;M$3)), 1, 0)+IF(AND((M$3-$B$2)&gt;=0,(M$3-$B$2)&lt;30), 2,0)</f>
        <v>1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2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3.2" x14ac:dyDescent="0.25">
      <c r="B25" s="36" t="s">
        <v>99</v>
      </c>
      <c r="C25" s="112" t="s">
        <v>112</v>
      </c>
      <c r="D25" s="117">
        <v>8</v>
      </c>
      <c r="E25" s="116">
        <f t="shared" si="0"/>
        <v>12</v>
      </c>
      <c r="F25" s="122">
        <f>WORKDAY(F24,E25,Holiday!$A$1:$A$30)</f>
        <v>46238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1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2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3.2" x14ac:dyDescent="0.25">
      <c r="B26" s="36" t="s">
        <v>100</v>
      </c>
      <c r="C26" s="112" t="s">
        <v>112</v>
      </c>
      <c r="D26" s="117">
        <v>3</v>
      </c>
      <c r="E26" s="116">
        <f t="shared" si="0"/>
        <v>5</v>
      </c>
      <c r="F26" s="122">
        <f>WORKDAY(F25,E26,Holiday!$A$1:$A$30)</f>
        <v>46245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1</v>
      </c>
      <c r="N26" s="113">
        <f>IF(OR(AND($F25&lt;=N$3, $F26 &gt;= N$3), AND($F26&lt;N$3, WORKDAY($F26, 22,Holiday!$A$1:$A$30)&gt;N$3)), 1, 0)+IF(AND((N$3-$B$2)&gt;=0,(N$3-$B$2)&lt;30), 2,0)</f>
        <v>1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2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3.2" x14ac:dyDescent="0.25">
      <c r="B27" s="36" t="s">
        <v>101</v>
      </c>
      <c r="C27" s="112" t="s">
        <v>112</v>
      </c>
      <c r="D27" s="38">
        <v>10</v>
      </c>
      <c r="E27" s="116">
        <f t="shared" si="0"/>
        <v>15</v>
      </c>
      <c r="F27" s="122">
        <f>WORKDAY(F26,E27,Holiday!$A$1:$A$30)</f>
        <v>46266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1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2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3.2" x14ac:dyDescent="0.25">
      <c r="B28" s="36" t="s">
        <v>102</v>
      </c>
      <c r="C28" s="112" t="s">
        <v>112</v>
      </c>
      <c r="D28" s="38">
        <v>10</v>
      </c>
      <c r="E28" s="116">
        <f t="shared" si="0"/>
        <v>15</v>
      </c>
      <c r="F28" s="122">
        <f>WORKDAY(F27,E28,Holiday!$A$1:$A$30)</f>
        <v>46288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1</v>
      </c>
      <c r="O28" s="113">
        <f>IF(OR(AND($F27&lt;=O$3, $F28 &gt;= O$3), AND($F28&lt;O$3, WORKDAY($F28, 22,Holiday!$A$1:$A$30)&gt;O$3)), 1, 0)+IF(AND((O$3-$B$2)&gt;=0,(O$3-$B$2)&lt;30), 2,0)</f>
        <v>1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2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3.2" x14ac:dyDescent="0.25">
      <c r="B29" s="36" t="s">
        <v>103</v>
      </c>
      <c r="C29" s="112" t="s">
        <v>112</v>
      </c>
      <c r="D29" s="38">
        <v>10</v>
      </c>
      <c r="E29" s="116">
        <f t="shared" si="0"/>
        <v>15</v>
      </c>
      <c r="F29" s="122">
        <f>WORKDAY(F28,E29,Holiday!$A$1:$A$30)</f>
        <v>46309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1</v>
      </c>
      <c r="P29" s="113">
        <f>IF(OR(AND($F28&lt;=P$3, $F29 &gt;= P$3), AND($F29&lt;P$3, WORKDAY($F29, 22,Holiday!$A$1:$A$30)&gt;P$3)), 1, 0)+IF(AND((P$3-$B$2)&gt;=0,(P$3-$B$2)&lt;30), 2,0)</f>
        <v>1</v>
      </c>
      <c r="Q29" s="113">
        <f>IF(OR(AND($F28&lt;=Q$3, $F29 &gt;= Q$3), AND($F29&lt;Q$3, WORKDAY($F29, 22,Holiday!$A$1:$A$30)&gt;Q$3)), 1, 0)+IF(AND((Q$3-$B$2)&gt;=0,(Q$3-$B$2)&lt;30), 2,0)</f>
        <v>2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3.2" x14ac:dyDescent="0.25">
      <c r="B30" s="36" t="s">
        <v>104</v>
      </c>
      <c r="C30" s="112" t="s">
        <v>113</v>
      </c>
      <c r="D30" s="38">
        <v>20</v>
      </c>
      <c r="E30" s="116">
        <f t="shared" si="0"/>
        <v>30</v>
      </c>
      <c r="F30" s="122">
        <f>WORKDAY(F5,E30,Holiday!$A$1:$A$30)</f>
        <v>46107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1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2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3.2" x14ac:dyDescent="0.25">
      <c r="B31" s="36" t="s">
        <v>105</v>
      </c>
      <c r="C31" s="112" t="s">
        <v>113</v>
      </c>
      <c r="D31" s="38">
        <v>20</v>
      </c>
      <c r="E31" s="116">
        <f t="shared" si="0"/>
        <v>30</v>
      </c>
      <c r="F31" s="122">
        <f>WORKDAY(F30,E31,Holiday!$A$1:$A$30)</f>
        <v>46153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1</v>
      </c>
      <c r="J31" s="113">
        <f>IF(OR(AND($F30&lt;=J$3, $F31 &gt;= J$3), AND($F31&lt;J$3, WORKDAY($F31, 22,Holiday!$A$1:$A$30)&gt;J$3)), 1, 0)+IF(AND((J$3-$B$2)&gt;=0,(J$3-$B$2)&lt;30), 2,0)</f>
        <v>1</v>
      </c>
      <c r="K31" s="113">
        <f>IF(OR(AND($F30&lt;=K$3, $F31 &gt;= K$3), AND($F31&lt;K$3, WORKDAY($F31, 22,Holiday!$A$1:$A$30)&gt;K$3)), 1, 0)+IF(AND((K$3-$B$2)&gt;=0,(K$3-$B$2)&lt;30), 2,0)</f>
        <v>1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2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3.2" x14ac:dyDescent="0.25">
      <c r="B32" s="36" t="s">
        <v>106</v>
      </c>
      <c r="C32" s="112" t="s">
        <v>113</v>
      </c>
      <c r="D32" s="38">
        <v>20</v>
      </c>
      <c r="E32" s="116">
        <f t="shared" si="0"/>
        <v>30</v>
      </c>
      <c r="F32" s="122">
        <f>WORKDAY(F31,E32,Holiday!$A$1:$A$30)</f>
        <v>46195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1</v>
      </c>
      <c r="L32" s="113">
        <f>IF(OR(AND($F31&lt;=L$3, $F32 &gt;= L$3), AND($F32&lt;L$3, WORKDAY($F32, 22,Holiday!$A$1:$A$30)&gt;L$3)), 1, 0)+IF(AND((L$3-$B$2)&gt;=0,(L$3-$B$2)&lt;30), 2,0)</f>
        <v>1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2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3.2" x14ac:dyDescent="0.25">
      <c r="B33" s="36" t="s">
        <v>107</v>
      </c>
      <c r="C33" s="112" t="s">
        <v>113</v>
      </c>
      <c r="D33" s="38">
        <v>20</v>
      </c>
      <c r="E33" s="116">
        <f t="shared" si="0"/>
        <v>30</v>
      </c>
      <c r="F33" s="122">
        <f>WORKDAY(F32,E33,Holiday!$A$1:$A$30)</f>
        <v>46237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1</v>
      </c>
      <c r="M33" s="113">
        <f>IF(OR(AND($F32&lt;=M$3, $F33 &gt;= M$3), AND($F33&lt;M$3, WORKDAY($F33, 22,Holiday!$A$1:$A$30)&gt;M$3)), 1, 0)+IF(AND((M$3-$B$2)&gt;=0,(M$3-$B$2)&lt;30), 2,0)</f>
        <v>1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2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3.2" x14ac:dyDescent="0.25">
      <c r="B34" s="115" t="s">
        <v>258</v>
      </c>
      <c r="C34" s="112" t="s">
        <v>113</v>
      </c>
      <c r="D34" s="116">
        <v>3</v>
      </c>
      <c r="E34" s="116">
        <f t="shared" si="0"/>
        <v>5</v>
      </c>
      <c r="F34" s="122">
        <f>WORKDAY(F33,E34,Holiday!$A$1:$A$30)</f>
        <v>46244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1</v>
      </c>
      <c r="N34" s="113">
        <f>IF(OR(AND($F33&lt;=N$3, $F34 &gt;= N$3), AND($F34&lt;N$3, WORKDAY($F34, 22,Holiday!$A$1:$A$30)&gt;N$3)), 1, 0)+IF(AND((N$3-$B$2)&gt;=0,(N$3-$B$2)&lt;30), 2,0)</f>
        <v>1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2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5">
      <c r="B35" s="115" t="s">
        <v>259</v>
      </c>
      <c r="C35" s="112" t="s">
        <v>113</v>
      </c>
      <c r="D35" s="116">
        <v>5</v>
      </c>
      <c r="E35" s="116">
        <f t="shared" si="0"/>
        <v>8</v>
      </c>
      <c r="F35" s="122">
        <f>WORKDAY(F34,E35,Holiday!$A$1:$A$30)</f>
        <v>46254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1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2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5">
      <c r="B36" s="119" t="s">
        <v>260</v>
      </c>
      <c r="C36" s="112" t="s">
        <v>113</v>
      </c>
      <c r="D36" s="116">
        <v>8</v>
      </c>
      <c r="E36" s="116">
        <f t="shared" si="0"/>
        <v>12</v>
      </c>
      <c r="F36" s="122">
        <f>WORKDAY(F35,E36,Holiday!$A$1:$A$30)</f>
        <v>46273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1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2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5">
      <c r="B37" s="119" t="s">
        <v>261</v>
      </c>
      <c r="C37" s="112" t="s">
        <v>113</v>
      </c>
      <c r="D37" s="116">
        <v>8</v>
      </c>
      <c r="E37" s="116">
        <f t="shared" si="0"/>
        <v>12</v>
      </c>
      <c r="F37" s="122">
        <f>WORKDAY(F36,E37,Holiday!$A$1:$A$30)</f>
        <v>46289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1</v>
      </c>
      <c r="O37" s="113">
        <f>IF(OR(AND($F36&lt;=O$3, $F37 &gt;= O$3), AND($F37&lt;O$3, WORKDAY($F37, 22,Holiday!$A$1:$A$30)&gt;O$3)), 1, 0)+IF(AND((O$3-$B$2)&gt;=0,(O$3-$B$2)&lt;30), 2,0)</f>
        <v>1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2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5">
      <c r="B38" s="115" t="s">
        <v>262</v>
      </c>
      <c r="C38" s="112" t="s">
        <v>113</v>
      </c>
      <c r="D38" s="116">
        <v>10</v>
      </c>
      <c r="E38" s="116">
        <f t="shared" si="0"/>
        <v>15</v>
      </c>
      <c r="F38" s="122">
        <f>WORKDAY(F37,E38,Holiday!$A$1:$A$30)</f>
        <v>46310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1</v>
      </c>
      <c r="P38" s="113">
        <f>IF(OR(AND($F37&lt;=P$3, $F38 &gt;= P$3), AND($F38&lt;P$3, WORKDAY($F38, 22,Holiday!$A$1:$A$30)&gt;P$3)), 1, 0)+IF(AND((P$3-$B$2)&gt;=0,(P$3-$B$2)&lt;30), 2,0)</f>
        <v>1</v>
      </c>
      <c r="Q38" s="113">
        <f>IF(OR(AND($F37&lt;=Q$3, $F38 &gt;= Q$3), AND($F38&lt;Q$3, WORKDAY($F38, 22,Holiday!$A$1:$A$30)&gt;Q$3)), 1, 0)+IF(AND((Q$3-$B$2)&gt;=0,(Q$3-$B$2)&lt;30), 2,0)</f>
        <v>2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5">
      <c r="B39" s="119" t="s">
        <v>263</v>
      </c>
      <c r="C39" s="115" t="s">
        <v>214</v>
      </c>
      <c r="D39" s="116">
        <v>8</v>
      </c>
      <c r="E39" s="116">
        <f t="shared" si="0"/>
        <v>12</v>
      </c>
      <c r="F39" s="122">
        <f>WORKDAY(F5,E39,Holiday!$A$1:$A$30)</f>
        <v>46083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1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2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5">
      <c r="B40" s="119" t="s">
        <v>264</v>
      </c>
      <c r="C40" s="115" t="s">
        <v>214</v>
      </c>
      <c r="D40" s="116">
        <v>10</v>
      </c>
      <c r="E40" s="116">
        <f t="shared" si="0"/>
        <v>15</v>
      </c>
      <c r="F40" s="122">
        <f>WORKDAY(F39,E40,Holiday!$A$1:$A$30)</f>
        <v>46104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1</v>
      </c>
      <c r="I40" s="113">
        <f>IF(OR(AND($F39&lt;=I$3, $F40 &gt;= I$3), AND($F40&lt;I$3, WORKDAY($F40, 22,Holiday!$A$1:$A$30)&gt;I$3)), 1, 0)+IF(AND((I$3-$B$2)&gt;=0,(I$3-$B$2)&lt;30), 2,0)</f>
        <v>1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2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5">
      <c r="B41" s="119" t="s">
        <v>265</v>
      </c>
      <c r="C41" s="115" t="s">
        <v>214</v>
      </c>
      <c r="D41" s="116">
        <v>8</v>
      </c>
      <c r="E41" s="116">
        <f t="shared" si="0"/>
        <v>12</v>
      </c>
      <c r="F41" s="122">
        <f>WORKDAY(F40,E41,Holiday!$A$1:$A$30)</f>
        <v>46120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1</v>
      </c>
      <c r="J41" s="113">
        <f>IF(OR(AND($F40&lt;=J$3, $F41 &gt;= J$3), AND($F41&lt;J$3, WORKDAY($F41, 22,Holiday!$A$1:$A$30)&gt;J$3)), 1, 0)+IF(AND((J$3-$B$2)&gt;=0,(J$3-$B$2)&lt;30), 2,0)</f>
        <v>1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2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5">
      <c r="B42" s="119" t="s">
        <v>266</v>
      </c>
      <c r="C42" s="115" t="s">
        <v>214</v>
      </c>
      <c r="D42" s="116">
        <v>10</v>
      </c>
      <c r="E42" s="116">
        <f t="shared" si="0"/>
        <v>15</v>
      </c>
      <c r="F42" s="122">
        <f>WORKDAY(F41,E42,Holiday!$A$1:$A$30)</f>
        <v>46141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1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2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5">
      <c r="B43" s="119" t="s">
        <v>267</v>
      </c>
      <c r="C43" s="115" t="s">
        <v>214</v>
      </c>
      <c r="D43" s="116">
        <v>10</v>
      </c>
      <c r="E43" s="116">
        <f t="shared" si="0"/>
        <v>15</v>
      </c>
      <c r="F43" s="122">
        <f>WORKDAY(F42,E43,Holiday!$A$1:$A$30)</f>
        <v>46164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1</v>
      </c>
      <c r="K43" s="113">
        <f>IF(OR(AND($F42&lt;=K$3, $F43 &gt;= K$3), AND($F43&lt;K$3, WORKDAY($F43, 22,Holiday!$A$1:$A$30)&gt;K$3)), 1, 0)+IF(AND((K$3-$B$2)&gt;=0,(K$3-$B$2)&lt;30), 2,0)</f>
        <v>1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2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5">
      <c r="B44" s="119" t="s">
        <v>268</v>
      </c>
      <c r="C44" s="115" t="s">
        <v>214</v>
      </c>
      <c r="D44" s="116">
        <v>8</v>
      </c>
      <c r="E44" s="116">
        <f t="shared" si="0"/>
        <v>12</v>
      </c>
      <c r="F44" s="122">
        <f>WORKDAY(F43,E44,Holiday!$A$1:$A$30)</f>
        <v>46182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1</v>
      </c>
      <c r="L44" s="113">
        <f>IF(OR(AND($F43&lt;=L$3, $F44 &gt;= L$3), AND($F44&lt;L$3, WORKDAY($F44, 22,Holiday!$A$1:$A$30)&gt;L$3)), 1, 0)+IF(AND((L$3-$B$2)&gt;=0,(L$3-$B$2)&lt;30), 2,0)</f>
        <v>1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2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5">
      <c r="B45" s="119" t="s">
        <v>269</v>
      </c>
      <c r="C45" s="115" t="s">
        <v>214</v>
      </c>
      <c r="D45" s="116">
        <v>5</v>
      </c>
      <c r="E45" s="116">
        <f t="shared" si="0"/>
        <v>8</v>
      </c>
      <c r="F45" s="122">
        <f>WORKDAY(F44,E45,Holiday!$A$1:$A$30)</f>
        <v>46192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1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2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2:41" ht="15.75" customHeight="1" x14ac:dyDescent="0.25">
      <c r="B46" s="119" t="s">
        <v>270</v>
      </c>
      <c r="C46" s="115" t="s">
        <v>214</v>
      </c>
      <c r="D46" s="116">
        <v>13</v>
      </c>
      <c r="E46" s="116">
        <f t="shared" si="0"/>
        <v>20</v>
      </c>
      <c r="F46" s="122">
        <f>WORKDAY(F45,E46,Holiday!$A$1:$A$30)</f>
        <v>46220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1</v>
      </c>
      <c r="M46" s="113">
        <f>IF(OR(AND($F45&lt;=M$3, $F46 &gt;= M$3), AND($F46&lt;M$3, WORKDAY($F46, 22,Holiday!$A$1:$A$30)&gt;M$3)), 1, 0)+IF(AND((M$3-$B$2)&gt;=0,(M$3-$B$2)&lt;30), 2,0)</f>
        <v>1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2</v>
      </c>
      <c r="R46" s="113">
        <f>IF(OR(AND($F45&lt;=R$3, $F46 &gt;= R$3), AND($F46&lt;R$3, WORKDAY($F46, 22,Holiday!$A$1:$A$30)&gt;R$3)), 1, 0)+IF(AND((R$3-$B$2)&gt;=0,(R$3-$B$2)&lt;30), 2,0)</f>
        <v>0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2:41" ht="15.75" customHeight="1" x14ac:dyDescent="0.25">
      <c r="B47" s="130" t="s">
        <v>271</v>
      </c>
      <c r="C47" s="115" t="s">
        <v>214</v>
      </c>
      <c r="D47" s="131">
        <v>15</v>
      </c>
      <c r="E47" s="116">
        <f t="shared" si="0"/>
        <v>23</v>
      </c>
      <c r="F47" s="122">
        <f>WORKDAY(F46,E47,Holiday!$A$1:$A$30)</f>
        <v>46253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0</v>
      </c>
      <c r="M47" s="113">
        <f>IF(OR(AND($F46&lt;=M$3, $F47 &gt;= M$3), AND($F47&lt;M$3, WORKDAY($F47, 22,Holiday!$A$1:$A$30)&gt;M$3)), 1, 0)+IF(AND((M$3-$B$2)&gt;=0,(M$3-$B$2)&lt;30), 2,0)</f>
        <v>1</v>
      </c>
      <c r="N47" s="113">
        <f>IF(OR(AND($F46&lt;=N$3, $F47 &gt;= N$3), AND($F47&lt;N$3, WORKDAY($F47, 22,Holiday!$A$1:$A$30)&gt;N$3)), 1, 0)+IF(AND((N$3-$B$2)&gt;=0,(N$3-$B$2)&lt;30), 2,0)</f>
        <v>1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2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2:41" ht="15.75" customHeight="1" x14ac:dyDescent="0.25">
      <c r="B48" s="130" t="s">
        <v>272</v>
      </c>
      <c r="C48" s="115" t="s">
        <v>214</v>
      </c>
      <c r="D48" s="131">
        <v>3</v>
      </c>
      <c r="E48" s="116">
        <f t="shared" si="0"/>
        <v>5</v>
      </c>
      <c r="F48" s="122">
        <f>WORKDAY(F47,E48,Holiday!$A$1:$A$30)</f>
        <v>46260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0</v>
      </c>
      <c r="N48" s="113">
        <f>IF(OR(AND($F47&lt;=N$3, $F48 &gt;= N$3), AND($F48&lt;N$3, WORKDAY($F48, 22,Holiday!$A$1:$A$30)&gt;N$3)), 1, 0)+IF(AND((N$3-$B$2)&gt;=0,(N$3-$B$2)&lt;30), 2,0)</f>
        <v>1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2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1:44" ht="15.75" customHeight="1" x14ac:dyDescent="0.25">
      <c r="B49" s="130" t="s">
        <v>273</v>
      </c>
      <c r="C49" s="115" t="s">
        <v>214</v>
      </c>
      <c r="D49" s="132">
        <v>8</v>
      </c>
      <c r="E49" s="116">
        <f t="shared" si="0"/>
        <v>12</v>
      </c>
      <c r="F49" s="122">
        <f>WORKDAY(F48,E49,Holiday!$A$1:$A$30)</f>
        <v>46279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1</v>
      </c>
      <c r="O49" s="113">
        <f>IF(OR(AND($F48&lt;=O$3, $F49 &gt;= O$3), AND($F49&lt;O$3, WORKDAY($F49, 22,Holiday!$A$1:$A$30)&gt;O$3)), 1, 0)+IF(AND((O$3-$B$2)&gt;=0,(O$3-$B$2)&lt;30), 2,0)</f>
        <v>1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2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1:44" ht="15.75" customHeight="1" x14ac:dyDescent="0.25">
      <c r="B50" s="130" t="s">
        <v>274</v>
      </c>
      <c r="C50" s="115" t="s">
        <v>214</v>
      </c>
      <c r="D50" s="132">
        <v>5</v>
      </c>
      <c r="E50" s="116">
        <f t="shared" si="0"/>
        <v>8</v>
      </c>
      <c r="F50" s="122">
        <f>WORKDAY(F49,E50,Holiday!$A$1:$A$30)</f>
        <v>46289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0</v>
      </c>
      <c r="O50" s="113">
        <f>IF(OR(AND($F49&lt;=O$3, $F50 &gt;= O$3), AND($F50&lt;O$3, WORKDAY($F50, 22,Holiday!$A$1:$A$30)&gt;O$3)), 1, 0)+IF(AND((O$3-$B$2)&gt;=0,(O$3-$B$2)&lt;30), 2,0)</f>
        <v>1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2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1:44" ht="15.75" customHeight="1" x14ac:dyDescent="0.25">
      <c r="B51" s="130" t="s">
        <v>275</v>
      </c>
      <c r="C51" s="115" t="s">
        <v>214</v>
      </c>
      <c r="D51" s="132">
        <v>5</v>
      </c>
      <c r="E51" s="116">
        <f t="shared" si="0"/>
        <v>8</v>
      </c>
      <c r="F51" s="122">
        <f>WORKDAY(F50,E51,Holiday!$A$1:$A$30)</f>
        <v>46301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1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2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1:44" ht="15.75" customHeight="1" x14ac:dyDescent="0.25">
      <c r="B52" s="130" t="s">
        <v>276</v>
      </c>
      <c r="C52" s="115" t="s">
        <v>214</v>
      </c>
      <c r="D52" s="132">
        <v>3</v>
      </c>
      <c r="E52" s="116">
        <f t="shared" si="0"/>
        <v>5</v>
      </c>
      <c r="F52" s="122">
        <f>WORKDAY(F51,E52,Holiday!$A$1:$A$30)</f>
        <v>46308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1</v>
      </c>
      <c r="P52" s="113">
        <f>IF(OR(AND($F51&lt;=P$3, $F52 &gt;= P$3), AND($F52&lt;P$3, WORKDAY($F52, 22,Holiday!$A$1:$A$30)&gt;P$3)), 1, 0)+IF(AND((P$3-$B$2)&gt;=0,(P$3-$B$2)&lt;30), 2,0)</f>
        <v>1</v>
      </c>
      <c r="Q52" s="113">
        <f>IF(OR(AND($F51&lt;=Q$3, $F52 &gt;= Q$3), AND($F52&lt;Q$3, WORKDAY($F52, 22,Holiday!$A$1:$A$30)&gt;Q$3)), 1, 0)+IF(AND((Q$3-$B$2)&gt;=0,(Q$3-$B$2)&lt;30), 2,0)</f>
        <v>2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0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1:44" ht="15" customHeight="1" x14ac:dyDescent="0.25">
      <c r="B53" s="181" t="s">
        <v>277</v>
      </c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</row>
    <row r="54" spans="1:44" ht="13.2" x14ac:dyDescent="0.25">
      <c r="A54" s="118"/>
      <c r="B54" s="115" t="s">
        <v>215</v>
      </c>
      <c r="C54" s="115" t="s">
        <v>253</v>
      </c>
      <c r="D54" s="116">
        <v>20</v>
      </c>
      <c r="E54" s="116">
        <f t="shared" si="0"/>
        <v>30</v>
      </c>
      <c r="F54" s="122">
        <f>WORKDAY(F3,E5,Holiday!$A$1:$A$30)</f>
        <v>46065</v>
      </c>
      <c r="G54" s="113">
        <f>IF(OR(AND($F52&lt;=G$3, $F54 &gt;= G$3), AND($F54&lt;G$3, WORKDAY($F54, 22,Holiday!$A$1:$A$30)&gt;G$3)), 1, 0)+IF(AND((G$3-$B$2)&gt;=0,(G$3-$B$2)&lt;30), 2,0)</f>
        <v>0</v>
      </c>
      <c r="H54" s="113">
        <f>IF(OR(AND($F52&lt;=H$3, $F54 &gt;= H$3), AND($F54&lt;H$3, WORKDAY($F54, 22,Holiday!$A$1:$A$30)&gt;H$3)), 1, 0)+IF(AND((H$3-$B$2)&gt;=0,(H$3-$B$2)&lt;30), 2,0)</f>
        <v>1</v>
      </c>
      <c r="I54" s="113">
        <f>IF(OR(AND($F52&lt;=I$3, $F54 &gt;= I$3), AND($F54&lt;I$3, WORKDAY($F54, 22,Holiday!$A$1:$A$30)&gt;I$3)), 1, 0)+IF(AND((I$3-$B$2)&gt;=0,(I$3-$B$2)&lt;30), 2,0)</f>
        <v>0</v>
      </c>
      <c r="J54" s="113">
        <f>IF(OR(AND($F52&lt;=J$3, $F54 &gt;= J$3), AND($F54&lt;J$3, WORKDAY($F54, 22,Holiday!$A$1:$A$30)&gt;J$3)), 1, 0)+IF(AND((J$3-$B$2)&gt;=0,(J$3-$B$2)&lt;30), 2,0)</f>
        <v>0</v>
      </c>
      <c r="K54" s="113">
        <f>IF(OR(AND($F52&lt;=K$3, $F54 &gt;= K$3), AND($F54&lt;K$3, WORKDAY($F54, 22,Holiday!$A$1:$A$30)&gt;K$3)), 1, 0)+IF(AND((K$3-$B$2)&gt;=0,(K$3-$B$2)&lt;30), 2,0)</f>
        <v>0</v>
      </c>
      <c r="L54" s="113">
        <f>IF(OR(AND($F52&lt;=L$3, $F54 &gt;= L$3), AND($F54&lt;L$3, WORKDAY($F54, 22,Holiday!$A$1:$A$30)&gt;L$3)), 1, 0)+IF(AND((L$3-$B$2)&gt;=0,(L$3-$B$2)&lt;30), 2,0)</f>
        <v>0</v>
      </c>
      <c r="M54" s="113">
        <f>IF(OR(AND($F52&lt;=M$3, $F54 &gt;= M$3), AND($F54&lt;M$3, WORKDAY($F54, 22,Holiday!$A$1:$A$30)&gt;M$3)), 1, 0)+IF(AND((M$3-$B$2)&gt;=0,(M$3-$B$2)&lt;30), 2,0)</f>
        <v>0</v>
      </c>
      <c r="N54" s="113">
        <f>IF(OR(AND($F52&lt;=N$3, $F54 &gt;= N$3), AND($F54&lt;N$3, WORKDAY($F54, 22,Holiday!$A$1:$A$30)&gt;N$3)), 1, 0)+IF(AND((N$3-$B$2)&gt;=0,(N$3-$B$2)&lt;30), 2,0)</f>
        <v>0</v>
      </c>
      <c r="O54" s="113">
        <f>IF(OR(AND($F52&lt;=O$3, $F54 &gt;= O$3), AND($F54&lt;O$3, WORKDAY($F54, 22,Holiday!$A$1:$A$30)&gt;O$3)), 1, 0)+IF(AND((O$3-$B$2)&gt;=0,(O$3-$B$2)&lt;30), 2,0)</f>
        <v>0</v>
      </c>
      <c r="P54" s="113">
        <f>IF(OR(AND($F52&lt;=P$3, $F54 &gt;= P$3), AND($F54&lt;P$3, WORKDAY($F54, 22,Holiday!$A$1:$A$30)&gt;P$3)), 1, 0)+IF(AND((P$3-$B$2)&gt;=0,(P$3-$B$2)&lt;30), 2,0)</f>
        <v>0</v>
      </c>
      <c r="Q54" s="113">
        <f>IF(OR(AND($F52&lt;=Q$3, $F54 &gt;= Q$3), AND($F54&lt;Q$3, WORKDAY($F54, 22,Holiday!$A$1:$A$30)&gt;Q$3)), 1, 0)+IF(AND((Q$3-$B$2)&gt;=0,(Q$3-$B$2)&lt;30), 2,0)</f>
        <v>2</v>
      </c>
      <c r="R54" s="113">
        <f>IF(OR(AND($F52&lt;=R$3, $F54 &gt;= R$3), AND($F54&lt;R$3, WORKDAY($F54, 22,Holiday!$A$1:$A$30)&gt;R$3)), 1, 0)+IF(AND((R$3-$B$2)&gt;=0,(R$3-$B$2)&lt;30), 2,0)</f>
        <v>0</v>
      </c>
      <c r="S54" s="113">
        <f>IF(OR(AND($F52&lt;=S$3, $F54 &gt;= S$3), AND($F54&lt;S$3, WORKDAY($F54, 22,Holiday!$A$1:$A$30)&gt;S$3)), 1, 0)+IF(AND((S$3-$B$2)&gt;=0,(S$3-$B$2)&lt;30), 2,0)</f>
        <v>0</v>
      </c>
      <c r="T54" s="113">
        <f>IF(OR(AND($F52&lt;=T$3, $F54 &gt;= T$3), AND($F54&lt;T$3, WORKDAY($F54, 22,Holiday!$A$1:$A$30)&gt;T$3)), 1, 0)+IF(AND((T$3-$B$2)&gt;=0,(T$3-$B$2)&lt;30), 2,0)</f>
        <v>0</v>
      </c>
      <c r="U54" s="113">
        <f>IF(OR(AND($F52&lt;=U$3, $F54 &gt;= U$3), AND($F54&lt;U$3, WORKDAY($F54, 22,Holiday!$A$1:$A$30)&gt;U$3)), 1, 0)+IF(AND((U$3-$B$2)&gt;=0,(U$3-$B$2)&lt;30), 2,0)</f>
        <v>0</v>
      </c>
      <c r="V54" s="113">
        <f>IF(OR(AND($F52&lt;=V$3, $F54 &gt;= V$3), AND($F54&lt;V$3, WORKDAY($F54, 22,Holiday!$A$1:$A$30)&gt;V$3)), 1, 0)+IF(AND((V$3-$B$2)&gt;=0,(V$3-$B$2)&lt;30), 2,0)</f>
        <v>0</v>
      </c>
      <c r="W54" s="113">
        <f>IF(OR(AND($F52&lt;=W$3, $F54 &gt;= W$3), AND($F54&lt;W$3, WORKDAY($F54, 22,Holiday!$A$1:$A$30)&gt;W$3)), 1, 0)+IF(AND((W$3-$B$2)&gt;=0,(W$3-$B$2)&lt;30), 2,0)</f>
        <v>0</v>
      </c>
      <c r="X54" s="113">
        <f>IF(OR(AND($F52&lt;=X$3, $F54 &gt;= X$3), AND($F54&lt;X$3, WORKDAY($F54, 22,Holiday!$A$1:$A$30)&gt;X$3)), 1, 0)+IF(AND((X$3-$B$2)&gt;=0,(X$3-$B$2)&lt;30), 2,0)</f>
        <v>0</v>
      </c>
      <c r="Y54" s="113">
        <f>IF(OR(AND($F52&lt;=Y$3, $F54 &gt;= Y$3), AND($F54&lt;Y$3, WORKDAY($F54, 22,Holiday!$A$1:$A$30)&gt;Y$3)), 1, 0)+IF(AND((Y$3-$B$2)&gt;=0,(Y$3-$B$2)&lt;30), 2,0)</f>
        <v>0</v>
      </c>
      <c r="Z54" s="113">
        <f>IF(OR(AND($F52&lt;=Z$3, $F54 &gt;= Z$3), AND($F54&lt;Z$3, WORKDAY($F54, 22,Holiday!$A$1:$A$30)&gt;Z$3)), 1, 0)+IF(AND((Z$3-$B$2)&gt;=0,(Z$3-$B$2)&lt;30), 2,0)</f>
        <v>0</v>
      </c>
      <c r="AA54" s="113">
        <f>IF(OR(AND($F52&lt;=AA$3, $F54 &gt;= AA$3), AND($F54&lt;AA$3, WORKDAY($F54, 22,Holiday!$A$1:$A$30)&gt;AA$3)), 1, 0)+IF(AND((AA$3-$B$2)&gt;=0,(AA$3-$B$2)&lt;30), 2,0)</f>
        <v>0</v>
      </c>
      <c r="AB54" s="113">
        <f>IF(OR(AND($F52&lt;=AB$3, $F54 &gt;= AB$3), AND($F54&lt;AB$3, WORKDAY($F54, 22,Holiday!$A$1:$A$30)&gt;AB$3)), 1, 0)+IF(AND((AB$3-$B$2)&gt;=0,(AB$3-$B$2)&lt;30), 2,0)</f>
        <v>0</v>
      </c>
      <c r="AC54" s="113">
        <f>IF(OR(AND($F52&lt;=AC$3, $F54 &gt;= AC$3), AND($F54&lt;AC$3, WORKDAY($F54, 22,Holiday!$A$1:$A$30)&gt;AC$3)), 1, 0)+IF(AND((AC$3-$B$2)&gt;=0,(AC$3-$B$2)&lt;30), 2,0)</f>
        <v>0</v>
      </c>
      <c r="AD54" s="113">
        <f>IF(OR(AND($F52&lt;=AD$3, $F54 &gt;= AD$3), AND($F54&lt;AD$3, WORKDAY($F54, 22,Holiday!$A$1:$A$30)&gt;AD$3)), 1, 0)+IF(AND((AD$3-$B$2)&gt;=0,(AD$3-$B$2)&lt;30), 2,0)</f>
        <v>0</v>
      </c>
      <c r="AE54" s="113">
        <f>IF(OR(AND($F52&lt;=AE$3, $F54 &gt;= AE$3), AND($F54&lt;AE$3, WORKDAY($F54, 22,Holiday!$A$1:$A$30)&gt;AE$3)), 1, 0)+IF(AND((AE$3-$B$2)&gt;=0,(AE$3-$B$2)&lt;30), 2,0)</f>
        <v>0</v>
      </c>
      <c r="AF54" s="113">
        <f>IF(OR(AND($F52&lt;=AF$3, $F54 &gt;= AF$3), AND($F54&lt;AF$3, WORKDAY($F54, 22,Holiday!$A$1:$A$30)&gt;AF$3)), 1, 0)+IF(AND((AF$3-$B$2)&gt;=0,(AF$3-$B$2)&lt;30), 2,0)</f>
        <v>0</v>
      </c>
      <c r="AG54" s="113">
        <f>IF(OR(AND($F52&lt;=AG$3, $F54 &gt;= AG$3), AND($F54&lt;AG$3, WORKDAY($F54, 22,Holiday!$A$1:$A$30)&gt;AG$3)), 1, 0)+IF(AND((AG$3-$B$2)&gt;=0,(AG$3-$B$2)&lt;30), 2,0)</f>
        <v>0</v>
      </c>
      <c r="AH54" s="113">
        <f>IF(OR(AND($F52&lt;=AH$3, $F54 &gt;= AH$3), AND($F54&lt;AH$3, WORKDAY($F54, 22,Holiday!$A$1:$A$30)&gt;AH$3)), 1, 0)+IF(AND((AH$3-$B$2)&gt;=0,(AH$3-$B$2)&lt;30), 2,0)</f>
        <v>0</v>
      </c>
      <c r="AI54" s="113">
        <f>IF(OR(AND($F52&lt;=AI$3, $F54 &gt;= AI$3), AND($F54&lt;AI$3, WORKDAY($F54, 22,Holiday!$A$1:$A$30)&gt;AI$3)), 1, 0)+IF(AND((AI$3-$B$2)&gt;=0,(AI$3-$B$2)&lt;30), 2,0)</f>
        <v>0</v>
      </c>
      <c r="AJ54" s="113">
        <f>IF(OR(AND($F52&lt;=AJ$3, $F54 &gt;= AJ$3), AND($F54&lt;AJ$3, WORKDAY($F54, 22,Holiday!$A$1:$A$30)&gt;AJ$3)), 1, 0)+IF(AND((AJ$3-$B$2)&gt;=0,(AJ$3-$B$2)&lt;30), 2,0)</f>
        <v>0</v>
      </c>
      <c r="AK54" s="113">
        <f>IF(OR(AND($F52&lt;=AK$3, $F54 &gt;= AK$3), AND($F54&lt;AK$3, WORKDAY($F54, 22,Holiday!$A$1:$A$30)&gt;AK$3)), 1, 0)+IF(AND((AK$3-$B$2)&gt;=0,(AK$3-$B$2)&lt;30), 2,0)</f>
        <v>0</v>
      </c>
      <c r="AL54" s="113">
        <f>IF(OR(AND($F52&lt;=AL$3, $F54 &gt;= AL$3), AND($F54&lt;AL$3, WORKDAY($F54, 22,Holiday!$A$1:$A$30)&gt;AL$3)), 1, 0)+IF(AND((AL$3-$B$2)&gt;=0,(AL$3-$B$2)&lt;30), 2,0)</f>
        <v>0</v>
      </c>
      <c r="AM54" s="113">
        <f>IF(OR(AND($F52&lt;=AM$3, $F54 &gt;= AM$3), AND($F54&lt;AM$3, WORKDAY($F54, 22,Holiday!$A$1:$A$30)&gt;AM$3)), 1, 0)+IF(AND((AM$3-$B$2)&gt;=0,(AM$3-$B$2)&lt;30), 2,0)</f>
        <v>0</v>
      </c>
      <c r="AN54" s="113">
        <f>IF(OR(AND($F52&lt;=AN$3, $F54 &gt;= AN$3), AND($F54&lt;AN$3, WORKDAY($F54, 22,Holiday!$A$1:$A$30)&gt;AN$3)), 1, 0)+IF(AND((AN$3-$B$2)&gt;=0,(AN$3-$B$2)&lt;30), 2,0)</f>
        <v>0</v>
      </c>
      <c r="AO54" s="113">
        <f>IF(OR(AND($F52&lt;=AO$3, $F54 &gt;= AO$3), AND($F54&lt;AO$3, WORKDAY($F54, 22,Holiday!$A$1:$A$30)&gt;AO$3)), 1, 0)+IF(AND((AO$3-$B$2)&gt;=0,(AO$3-$B$2)&lt;30), 2,0)</f>
        <v>0</v>
      </c>
    </row>
    <row r="55" spans="1:44" ht="14.4" x14ac:dyDescent="0.25">
      <c r="A55" s="85"/>
      <c r="B55" t="s">
        <v>115</v>
      </c>
      <c r="C55" s="112" t="s">
        <v>279</v>
      </c>
      <c r="D55" s="86">
        <v>10</v>
      </c>
      <c r="E55" s="116">
        <f t="shared" si="0"/>
        <v>15</v>
      </c>
      <c r="F55" s="121">
        <f>WORKDAY(F54,E55,Holiday!A49:A78)</f>
        <v>46086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1</v>
      </c>
      <c r="I55" s="113">
        <f>IF(OR(AND($F54&lt;=I$3, $F55 &gt;= I$3), AND($F55&lt;I$3, WORKDAY($F55, 22,Holiday!$A$1:$A$30)&gt;I$3)), 1, 0)+IF(AND((I$3-$B$2)&gt;=0,(I$3-$B$2)&lt;30), 2,0)</f>
        <v>1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2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0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  <c r="AR55" s="120"/>
    </row>
    <row r="56" spans="1:44" ht="14.4" x14ac:dyDescent="0.25">
      <c r="B56" t="s">
        <v>192</v>
      </c>
      <c r="C56" s="112" t="s">
        <v>279</v>
      </c>
      <c r="D56" s="86">
        <v>10</v>
      </c>
      <c r="E56" s="116">
        <f t="shared" si="0"/>
        <v>15</v>
      </c>
      <c r="F56" s="121">
        <f>WORKDAY(F55,E56,Holiday!A50:A79)</f>
        <v>46107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1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2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1:44" ht="14.4" x14ac:dyDescent="0.25">
      <c r="B57" t="s">
        <v>188</v>
      </c>
      <c r="C57" s="112" t="s">
        <v>279</v>
      </c>
      <c r="D57" s="86">
        <v>10</v>
      </c>
      <c r="E57" s="116">
        <f t="shared" si="0"/>
        <v>15</v>
      </c>
      <c r="F57" s="121">
        <f>WORKDAY(F56,E57,Holiday!A51:A80)</f>
        <v>46128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1</v>
      </c>
      <c r="J57" s="113">
        <f>IF(OR(AND($F56&lt;=J$3, $F57 &gt;= J$3), AND($F57&lt;J$3, WORKDAY($F57, 22,Holiday!$A$1:$A$30)&gt;J$3)), 1, 0)+IF(AND((J$3-$B$2)&gt;=0,(J$3-$B$2)&lt;30), 2,0)</f>
        <v>1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2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1:44" ht="14.4" x14ac:dyDescent="0.25">
      <c r="B58" t="s">
        <v>120</v>
      </c>
      <c r="C58" s="112" t="s">
        <v>279</v>
      </c>
      <c r="D58" s="86">
        <v>10</v>
      </c>
      <c r="E58" s="116">
        <f t="shared" si="0"/>
        <v>15</v>
      </c>
      <c r="F58" s="121">
        <f>WORKDAY(F57,E58,Holiday!A52:A81)</f>
        <v>46149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0</v>
      </c>
      <c r="J58" s="113">
        <f>IF(OR(AND($F57&lt;=J$3, $F58 &gt;= J$3), AND($F58&lt;J$3, WORKDAY($F58, 22,Holiday!$A$1:$A$30)&gt;J$3)), 1, 0)+IF(AND((J$3-$B$2)&gt;=0,(J$3-$B$2)&lt;30), 2,0)</f>
        <v>1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2</v>
      </c>
      <c r="R58" s="113">
        <f>IF(OR(AND($F57&lt;=R$3, $F58 &gt;= R$3), AND($F58&lt;R$3, WORKDAY($F58, 22,Holiday!$A$1:$A$30)&gt;R$3)), 1, 0)+IF(AND((R$3-$B$2)&gt;=0,(R$3-$B$2)&lt;30), 2,0)</f>
        <v>0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1:44" ht="14.4" x14ac:dyDescent="0.25">
      <c r="B59" t="s">
        <v>119</v>
      </c>
      <c r="C59" s="112" t="s">
        <v>279</v>
      </c>
      <c r="D59" s="86">
        <v>10</v>
      </c>
      <c r="E59" s="116">
        <f t="shared" si="0"/>
        <v>15</v>
      </c>
      <c r="F59" s="121">
        <f>WORKDAY(F58,E59,Holiday!A53:A82)</f>
        <v>46170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1</v>
      </c>
      <c r="K59" s="113">
        <f>IF(OR(AND($F58&lt;=K$3, $F59 &gt;= K$3), AND($F59&lt;K$3, WORKDAY($F59, 22,Holiday!$A$1:$A$30)&gt;K$3)), 1, 0)+IF(AND((K$3-$B$2)&gt;=0,(K$3-$B$2)&lt;30), 2,0)</f>
        <v>1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2</v>
      </c>
      <c r="R59" s="113">
        <f>IF(OR(AND($F58&lt;=R$3, $F59 &gt;= R$3), AND($F59&lt;R$3, WORKDAY($F59, 22,Holiday!$A$1:$A$30)&gt;R$3)), 1, 0)+IF(AND((R$3-$B$2)&gt;=0,(R$3-$B$2)&lt;30), 2,0)</f>
        <v>0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1:44" ht="14.4" x14ac:dyDescent="0.25">
      <c r="B60" t="s">
        <v>212</v>
      </c>
      <c r="C60" s="112" t="s">
        <v>279</v>
      </c>
      <c r="D60" s="86">
        <v>10</v>
      </c>
      <c r="E60" s="116">
        <f t="shared" si="0"/>
        <v>15</v>
      </c>
      <c r="F60" s="121">
        <f>WORKDAY(F59,E60,Holiday!A54:A83)</f>
        <v>46191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0</v>
      </c>
      <c r="K60" s="113">
        <f>IF(OR(AND($F59&lt;=K$3, $F60 &gt;= K$3), AND($F60&lt;K$3, WORKDAY($F60, 22,Holiday!$A$1:$A$30)&gt;K$3)), 1, 0)+IF(AND((K$3-$B$2)&gt;=0,(K$3-$B$2)&lt;30), 2,0)</f>
        <v>1</v>
      </c>
      <c r="L60" s="113">
        <f>IF(OR(AND($F59&lt;=L$3, $F60 &gt;= L$3), AND($F60&lt;L$3, WORKDAY($F60, 22,Holiday!$A$1:$A$30)&gt;L$3)), 1, 0)+IF(AND((L$3-$B$2)&gt;=0,(L$3-$B$2)&lt;30), 2,0)</f>
        <v>1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2</v>
      </c>
      <c r="R60" s="113">
        <f>IF(OR(AND($F59&lt;=R$3, $F60 &gt;= R$3), AND($F60&lt;R$3, WORKDAY($F60, 22,Holiday!$A$1:$A$30)&gt;R$3)), 1, 0)+IF(AND((R$3-$B$2)&gt;=0,(R$3-$B$2)&lt;30), 2,0)</f>
        <v>0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1:44" ht="14.4" x14ac:dyDescent="0.25">
      <c r="B61" t="s">
        <v>191</v>
      </c>
      <c r="C61" s="112" t="s">
        <v>279</v>
      </c>
      <c r="D61" s="86">
        <v>10</v>
      </c>
      <c r="E61" s="116">
        <f t="shared" si="0"/>
        <v>15</v>
      </c>
      <c r="F61" s="121">
        <f>WORKDAY(F60,E61,Holiday!A55:A84)</f>
        <v>46212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0</v>
      </c>
      <c r="L61" s="113">
        <f>IF(OR(AND($F60&lt;=L$3, $F61 &gt;= L$3), AND($F61&lt;L$3, WORKDAY($F61, 22,Holiday!$A$1:$A$30)&gt;L$3)), 1, 0)+IF(AND((L$3-$B$2)&gt;=0,(L$3-$B$2)&lt;30), 2,0)</f>
        <v>1</v>
      </c>
      <c r="M61" s="113">
        <f>IF(OR(AND($F60&lt;=M$3, $F61 &gt;= M$3), AND($F61&lt;M$3, WORKDAY($F61, 22,Holiday!$A$1:$A$30)&gt;M$3)), 1, 0)+IF(AND((M$3-$B$2)&gt;=0,(M$3-$B$2)&lt;30), 2,0)</f>
        <v>1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2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1:44" ht="14.4" x14ac:dyDescent="0.25">
      <c r="B62" t="s">
        <v>190</v>
      </c>
      <c r="C62" s="112" t="s">
        <v>279</v>
      </c>
      <c r="D62" s="86">
        <v>10</v>
      </c>
      <c r="E62" s="116">
        <f t="shared" si="0"/>
        <v>15</v>
      </c>
      <c r="F62" s="121">
        <f>WORKDAY(F61,E62,Holiday!A56:A85)</f>
        <v>46233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0</v>
      </c>
      <c r="L62" s="113">
        <f>IF(OR(AND($F61&lt;=L$3, $F62 &gt;= L$3), AND($F62&lt;L$3, WORKDAY($F62, 22,Holiday!$A$1:$A$30)&gt;L$3)), 1, 0)+IF(AND((L$3-$B$2)&gt;=0,(L$3-$B$2)&lt;30), 2,0)</f>
        <v>0</v>
      </c>
      <c r="M62" s="113">
        <f>IF(OR(AND($F61&lt;=M$3, $F62 &gt;= M$3), AND($F62&lt;M$3, WORKDAY($F62, 22,Holiday!$A$1:$A$30)&gt;M$3)), 1, 0)+IF(AND((M$3-$B$2)&gt;=0,(M$3-$B$2)&lt;30), 2,0)</f>
        <v>1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2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1:44" ht="14.4" x14ac:dyDescent="0.25">
      <c r="B63" t="s">
        <v>117</v>
      </c>
      <c r="C63" s="112" t="s">
        <v>279</v>
      </c>
      <c r="D63" s="86">
        <v>10</v>
      </c>
      <c r="E63" s="116">
        <f t="shared" si="0"/>
        <v>15</v>
      </c>
      <c r="F63" s="121">
        <f>WORKDAY(F62,E63,Holiday!A57:A86)</f>
        <v>46254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0</v>
      </c>
      <c r="L63" s="113">
        <f>IF(OR(AND($F62&lt;=L$3, $F63 &gt;= L$3), AND($F63&lt;L$3, WORKDAY($F63, 22,Holiday!$A$1:$A$30)&gt;L$3)), 1, 0)+IF(AND((L$3-$B$2)&gt;=0,(L$3-$B$2)&lt;30), 2,0)</f>
        <v>0</v>
      </c>
      <c r="M63" s="113">
        <f>IF(OR(AND($F62&lt;=M$3, $F63 &gt;= M$3), AND($F63&lt;M$3, WORKDAY($F63, 22,Holiday!$A$1:$A$30)&gt;M$3)), 1, 0)+IF(AND((M$3-$B$2)&gt;=0,(M$3-$B$2)&lt;30), 2,0)</f>
        <v>1</v>
      </c>
      <c r="N63" s="113">
        <f>IF(OR(AND($F62&lt;=N$3, $F63 &gt;= N$3), AND($F63&lt;N$3, WORKDAY($F63, 22,Holiday!$A$1:$A$30)&gt;N$3)), 1, 0)+IF(AND((N$3-$B$2)&gt;=0,(N$3-$B$2)&lt;30), 2,0)</f>
        <v>1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2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1:44" ht="14.4" x14ac:dyDescent="0.25">
      <c r="B64" t="s">
        <v>193</v>
      </c>
      <c r="C64" s="112" t="s">
        <v>279</v>
      </c>
      <c r="D64" s="86">
        <v>10</v>
      </c>
      <c r="E64" s="116">
        <f t="shared" si="0"/>
        <v>15</v>
      </c>
      <c r="F64" s="121">
        <f>WORKDAY(F63,E64,Holiday!A58:A87)</f>
        <v>46275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0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1</v>
      </c>
      <c r="O64" s="113">
        <f>IF(OR(AND($F63&lt;=O$3, $F64 &gt;= O$3), AND($F64&lt;O$3, WORKDAY($F64, 22,Holiday!$A$1:$A$30)&gt;O$3)), 1, 0)+IF(AND((O$3-$B$2)&gt;=0,(O$3-$B$2)&lt;30), 2,0)</f>
        <v>1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2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2:41" ht="14.4" x14ac:dyDescent="0.25">
      <c r="B65" t="s">
        <v>197</v>
      </c>
      <c r="C65" s="112" t="s">
        <v>279</v>
      </c>
      <c r="D65" s="86">
        <v>10</v>
      </c>
      <c r="E65" s="116">
        <f t="shared" si="0"/>
        <v>15</v>
      </c>
      <c r="F65" s="121">
        <f>WORKDAY(F64,E65,Holiday!A59:A88)</f>
        <v>46296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0</v>
      </c>
      <c r="M65" s="113">
        <f>IF(OR(AND($F64&lt;=M$3, $F65 &gt;= M$3), AND($F65&lt;M$3, WORKDAY($F65, 22,Holiday!$A$1:$A$30)&gt;M$3)), 1, 0)+IF(AND((M$3-$B$2)&gt;=0,(M$3-$B$2)&lt;30), 2,0)</f>
        <v>0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1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2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2:41" ht="14.4" x14ac:dyDescent="0.25">
      <c r="B66" t="s">
        <v>118</v>
      </c>
      <c r="C66" s="112" t="s">
        <v>279</v>
      </c>
      <c r="D66" s="86">
        <v>10</v>
      </c>
      <c r="E66" s="116">
        <f t="shared" si="0"/>
        <v>15</v>
      </c>
      <c r="F66" s="121">
        <f>WORKDAY(F65,E66,Holiday!A60:A89)</f>
        <v>46317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0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1</v>
      </c>
      <c r="P66" s="113">
        <f>IF(OR(AND($F65&lt;=P$3, $F66 &gt;= P$3), AND($F66&lt;P$3, WORKDAY($F66, 22,Holiday!$A$1:$A$30)&gt;P$3)), 1, 0)+IF(AND((P$3-$B$2)&gt;=0,(P$3-$B$2)&lt;30), 2,0)</f>
        <v>1</v>
      </c>
      <c r="Q66" s="113">
        <f>IF(OR(AND($F65&lt;=Q$3, $F66 &gt;= Q$3), AND($F66&lt;Q$3, WORKDAY($F66, 22,Holiday!$A$1:$A$30)&gt;Q$3)), 1, 0)+IF(AND((Q$3-$B$2)&gt;=0,(Q$3-$B$2)&lt;30), 2,0)</f>
        <v>2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2:41" ht="14.4" x14ac:dyDescent="0.25">
      <c r="B67" t="s">
        <v>194</v>
      </c>
      <c r="C67" s="112" t="s">
        <v>279</v>
      </c>
      <c r="D67" s="86">
        <v>10</v>
      </c>
      <c r="E67" s="116">
        <f t="shared" si="0"/>
        <v>15</v>
      </c>
      <c r="F67" s="121">
        <f>WORKDAY(F66,E67,Holiday!A61:A90)</f>
        <v>46338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0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1</v>
      </c>
      <c r="Q67" s="113">
        <f>IF(OR(AND($F66&lt;=Q$3, $F67 &gt;= Q$3), AND($F67&lt;Q$3, WORKDAY($F67, 22,Holiday!$A$1:$A$30)&gt;Q$3)), 1, 0)+IF(AND((Q$3-$B$2)&gt;=0,(Q$3-$B$2)&lt;30), 2,0)</f>
        <v>3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2:41" ht="14.4" x14ac:dyDescent="0.25">
      <c r="B68" t="s">
        <v>187</v>
      </c>
      <c r="C68" s="112" t="s">
        <v>279</v>
      </c>
      <c r="D68" s="86">
        <v>10</v>
      </c>
      <c r="E68" s="116">
        <f t="shared" si="0"/>
        <v>15</v>
      </c>
      <c r="F68" s="121">
        <f>WORKDAY(F67,E68,Holiday!A62:A91)</f>
        <v>46359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0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3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2:41" ht="13.2" x14ac:dyDescent="0.25">
      <c r="B69" t="s">
        <v>122</v>
      </c>
      <c r="C69" s="112" t="s">
        <v>279</v>
      </c>
      <c r="D69" s="111">
        <v>5</v>
      </c>
      <c r="E69" s="116">
        <f t="shared" si="0"/>
        <v>8</v>
      </c>
      <c r="F69" s="121">
        <f>WORKDAY(F68,E69,Holiday!A63:A92)</f>
        <v>46371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0</v>
      </c>
      <c r="O69" s="113">
        <f>IF(OR(AND($F68&lt;=O$3, $F69 &gt;= O$3), AND($F69&lt;O$3, WORKDAY($F69, 22,Holiday!$A$1:$A$30)&gt;O$3)), 1, 0)+IF(AND((O$3-$B$2)&gt;=0,(O$3-$B$2)&lt;30), 2,0)</f>
        <v>0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3</v>
      </c>
      <c r="R69" s="113">
        <f>IF(OR(AND($F68&lt;=R$3, $F69 &gt;= R$3), AND($F69&lt;R$3, WORKDAY($F69, 22,Holiday!$A$1:$A$30)&gt;R$3)), 1, 0)+IF(AND((R$3-$B$2)&gt;=0,(R$3-$B$2)&lt;30), 2,0)</f>
        <v>1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2:41" ht="13.2" x14ac:dyDescent="0.25">
      <c r="B70" t="s">
        <v>138</v>
      </c>
      <c r="C70" s="112" t="s">
        <v>279</v>
      </c>
      <c r="D70" s="111">
        <v>5</v>
      </c>
      <c r="E70" s="116">
        <f t="shared" si="0"/>
        <v>8</v>
      </c>
      <c r="F70" s="121">
        <f>WORKDAY(F69,E70,Holiday!A64:A93)</f>
        <v>46381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0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0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2</v>
      </c>
      <c r="R70" s="113">
        <f>IF(OR(AND($F69&lt;=R$3, $F70 &gt;= R$3), AND($F70&lt;R$3, WORKDAY($F70, 22,Holiday!$A$1:$A$30)&gt;R$3)), 1, 0)+IF(AND((R$3-$B$2)&gt;=0,(R$3-$B$2)&lt;30), 2,0)</f>
        <v>1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2:41" ht="13.2" x14ac:dyDescent="0.25">
      <c r="B71" t="s">
        <v>121</v>
      </c>
      <c r="C71" s="112" t="s">
        <v>279</v>
      </c>
      <c r="D71" s="111">
        <v>5</v>
      </c>
      <c r="E71" s="116">
        <f t="shared" ref="E71:E102" si="1">ROUNDUP(D71*(1+$D$2),0)</f>
        <v>8</v>
      </c>
      <c r="F71" s="121">
        <f>WORKDAY(F70,E71,Holiday!A65:A94)</f>
        <v>46393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0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2</v>
      </c>
      <c r="R71" s="113">
        <f>IF(OR(AND($F70&lt;=R$3, $F71 &gt;= R$3), AND($F71&lt;R$3, WORKDAY($F71, 22,Holiday!$A$1:$A$30)&gt;R$3)), 1, 0)+IF(AND((R$3-$B$2)&gt;=0,(R$3-$B$2)&lt;30), 2,0)</f>
        <v>1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2:41" ht="13.2" x14ac:dyDescent="0.25">
      <c r="B72" t="s">
        <v>137</v>
      </c>
      <c r="C72" s="112" t="s">
        <v>279</v>
      </c>
      <c r="D72" s="111">
        <v>5</v>
      </c>
      <c r="E72" s="116">
        <f t="shared" si="1"/>
        <v>8</v>
      </c>
      <c r="F72" s="121">
        <f>WORKDAY(F71,E72,Holiday!A66:A95)</f>
        <v>46405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0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0</v>
      </c>
      <c r="P72" s="113">
        <f>IF(OR(AND($F71&lt;=P$3, $F72 &gt;= P$3), AND($F72&lt;P$3, WORKDAY($F72, 22,Holiday!$A$1:$A$30)&gt;P$3)), 1, 0)+IF(AND((P$3-$B$2)&gt;=0,(P$3-$B$2)&lt;30), 2,0)</f>
        <v>0</v>
      </c>
      <c r="Q72" s="113">
        <f>IF(OR(AND($F71&lt;=Q$3, $F72 &gt;= Q$3), AND($F72&lt;Q$3, WORKDAY($F72, 22,Holiday!$A$1:$A$30)&gt;Q$3)), 1, 0)+IF(AND((Q$3-$B$2)&gt;=0,(Q$3-$B$2)&lt;30), 2,0)</f>
        <v>2</v>
      </c>
      <c r="R72" s="113">
        <f>IF(OR(AND($F71&lt;=R$3, $F72 &gt;= R$3), AND($F72&lt;R$3, WORKDAY($F72, 22,Holiday!$A$1:$A$30)&gt;R$3)), 1, 0)+IF(AND((R$3-$B$2)&gt;=0,(R$3-$B$2)&lt;30), 2,0)</f>
        <v>1</v>
      </c>
      <c r="S72" s="113">
        <f>IF(OR(AND($F71&lt;=S$3, $F72 &gt;= S$3), AND($F72&lt;S$3, WORKDAY($F72, 22,Holiday!$A$1:$A$30)&gt;S$3)), 1, 0)+IF(AND((S$3-$B$2)&gt;=0,(S$3-$B$2)&lt;30), 2,0)</f>
        <v>1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2:41" ht="13.2" x14ac:dyDescent="0.25">
      <c r="B73" t="s">
        <v>129</v>
      </c>
      <c r="C73" s="112" t="s">
        <v>280</v>
      </c>
      <c r="D73" s="111">
        <v>5</v>
      </c>
      <c r="E73" s="116">
        <f t="shared" si="1"/>
        <v>8</v>
      </c>
      <c r="F73" s="121">
        <f>WORKDAY(F54,E73,Holiday!A67:A96)</f>
        <v>46077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1</v>
      </c>
      <c r="I73" s="113">
        <f>IF(OR(AND($F72&lt;=I$3, $F73 &gt;= I$3), AND($F73&lt;I$3, WORKDAY($F73, 22,Holiday!$A$1:$A$30)&gt;I$3)), 1, 0)+IF(AND((I$3-$B$2)&gt;=0,(I$3-$B$2)&lt;30), 2,0)</f>
        <v>0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0</v>
      </c>
      <c r="Q73" s="113">
        <f>IF(OR(AND($F72&lt;=Q$3, $F73 &gt;= Q$3), AND($F73&lt;Q$3, WORKDAY($F73, 22,Holiday!$A$1:$A$30)&gt;Q$3)), 1, 0)+IF(AND((Q$3-$B$2)&gt;=0,(Q$3-$B$2)&lt;30), 2,0)</f>
        <v>2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2:41" ht="13.2" x14ac:dyDescent="0.25">
      <c r="B74" t="s">
        <v>139</v>
      </c>
      <c r="C74" s="112" t="s">
        <v>280</v>
      </c>
      <c r="D74" s="111">
        <v>5</v>
      </c>
      <c r="E74" s="116">
        <f t="shared" si="1"/>
        <v>8</v>
      </c>
      <c r="F74" s="121">
        <f>WORKDAY(F73,E74,Holiday!A68:A97)</f>
        <v>46087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1</v>
      </c>
      <c r="I74" s="113">
        <f>IF(OR(AND($F73&lt;=I$3, $F74 &gt;= I$3), AND($F74&lt;I$3, WORKDAY($F74, 22,Holiday!$A$1:$A$30)&gt;I$3)), 1, 0)+IF(AND((I$3-$B$2)&gt;=0,(I$3-$B$2)&lt;30), 2,0)</f>
        <v>1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2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2:41" ht="13.2" x14ac:dyDescent="0.25">
      <c r="B75" t="s">
        <v>127</v>
      </c>
      <c r="C75" s="112" t="s">
        <v>280</v>
      </c>
      <c r="D75" s="111">
        <v>5</v>
      </c>
      <c r="E75" s="116">
        <f t="shared" si="1"/>
        <v>8</v>
      </c>
      <c r="F75" s="121">
        <f>WORKDAY(F74,E75,Holiday!A69:A98)</f>
        <v>46099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1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0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2</v>
      </c>
      <c r="R75" s="113">
        <f>IF(OR(AND($F74&lt;=R$3, $F75 &gt;= R$3), AND($F75&lt;R$3, WORKDAY($F75, 22,Holiday!$A$1:$A$30)&gt;R$3)), 1, 0)+IF(AND((R$3-$B$2)&gt;=0,(R$3-$B$2)&lt;30), 2,0)</f>
        <v>0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2:41" ht="13.2" x14ac:dyDescent="0.25">
      <c r="B76" t="s">
        <v>123</v>
      </c>
      <c r="C76" s="112" t="s">
        <v>280</v>
      </c>
      <c r="D76" s="111">
        <v>5</v>
      </c>
      <c r="E76" s="116">
        <f t="shared" si="1"/>
        <v>8</v>
      </c>
      <c r="F76" s="121">
        <f>WORKDAY(F75,E76,Holiday!A70:A99)</f>
        <v>46111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1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2</v>
      </c>
      <c r="R76" s="113">
        <f>IF(OR(AND($F75&lt;=R$3, $F76 &gt;= R$3), AND($F76&lt;R$3, WORKDAY($F76, 22,Holiday!$A$1:$A$30)&gt;R$3)), 1, 0)+IF(AND((R$3-$B$2)&gt;=0,(R$3-$B$2)&lt;30), 2,0)</f>
        <v>0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2:41" ht="13.2" x14ac:dyDescent="0.25">
      <c r="B77" t="s">
        <v>134</v>
      </c>
      <c r="C77" s="112" t="s">
        <v>280</v>
      </c>
      <c r="D77" s="111">
        <v>5</v>
      </c>
      <c r="E77" s="116">
        <f t="shared" si="1"/>
        <v>8</v>
      </c>
      <c r="F77" s="121">
        <f>WORKDAY(F76,E77,Holiday!A71:A100)</f>
        <v>46121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1</v>
      </c>
      <c r="J77" s="113">
        <f>IF(OR(AND($F76&lt;=J$3, $F77 &gt;= J$3), AND($F77&lt;J$3, WORKDAY($F77, 22,Holiday!$A$1:$A$30)&gt;J$3)), 1, 0)+IF(AND((J$3-$B$2)&gt;=0,(J$3-$B$2)&lt;30), 2,0)</f>
        <v>1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2</v>
      </c>
      <c r="R77" s="113">
        <f>IF(OR(AND($F76&lt;=R$3, $F77 &gt;= R$3), AND($F77&lt;R$3, WORKDAY($F77, 22,Holiday!$A$1:$A$30)&gt;R$3)), 1, 0)+IF(AND((R$3-$B$2)&gt;=0,(R$3-$B$2)&lt;30), 2,0)</f>
        <v>0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2:41" ht="13.2" x14ac:dyDescent="0.25">
      <c r="B78" t="s">
        <v>136</v>
      </c>
      <c r="C78" s="112" t="s">
        <v>280</v>
      </c>
      <c r="D78" s="111">
        <v>5</v>
      </c>
      <c r="E78" s="116">
        <f t="shared" si="1"/>
        <v>8</v>
      </c>
      <c r="F78" s="121">
        <f>WORKDAY(F77,E78,Holiday!A72:A101)</f>
        <v>46133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1</v>
      </c>
      <c r="K78" s="113">
        <f>IF(OR(AND($F77&lt;=K$3, $F78 &gt;= K$3), AND($F78&lt;K$3, WORKDAY($F78, 22,Holiday!$A$1:$A$30)&gt;K$3)), 1, 0)+IF(AND((K$3-$B$2)&gt;=0,(K$3-$B$2)&lt;30), 2,0)</f>
        <v>0</v>
      </c>
      <c r="L78" s="113">
        <f>IF(OR(AND($F77&lt;=L$3, $F78 &gt;= L$3), AND($F78&lt;L$3, WORKDAY($F78, 22,Holiday!$A$1:$A$30)&gt;L$3)), 1, 0)+IF(AND((L$3-$B$2)&gt;=0,(L$3-$B$2)&lt;30), 2,0)</f>
        <v>0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2</v>
      </c>
      <c r="R78" s="113">
        <f>IF(OR(AND($F77&lt;=R$3, $F78 &gt;= R$3), AND($F78&lt;R$3, WORKDAY($F78, 22,Holiday!$A$1:$A$30)&gt;R$3)), 1, 0)+IF(AND((R$3-$B$2)&gt;=0,(R$3-$B$2)&lt;30), 2,0)</f>
        <v>0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2:41" ht="13.2" x14ac:dyDescent="0.25">
      <c r="B79" t="s">
        <v>140</v>
      </c>
      <c r="C79" s="112" t="s">
        <v>280</v>
      </c>
      <c r="D79" s="111">
        <v>5</v>
      </c>
      <c r="E79" s="116">
        <f t="shared" si="1"/>
        <v>8</v>
      </c>
      <c r="F79" s="121">
        <f>WORKDAY(F78,E79,Holiday!A73:A102)</f>
        <v>46143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1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0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2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2:41" ht="13.2" x14ac:dyDescent="0.25">
      <c r="B80" t="s">
        <v>133</v>
      </c>
      <c r="C80" s="112" t="s">
        <v>280</v>
      </c>
      <c r="D80" s="111">
        <v>5</v>
      </c>
      <c r="E80" s="116">
        <f t="shared" si="1"/>
        <v>8</v>
      </c>
      <c r="F80" s="121">
        <f>WORKDAY(F79,E80,Holiday!A74:A103)</f>
        <v>46155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1</v>
      </c>
      <c r="K80" s="113">
        <f>IF(OR(AND($F79&lt;=K$3, $F80 &gt;= K$3), AND($F80&lt;K$3, WORKDAY($F80, 22,Holiday!$A$1:$A$30)&gt;K$3)), 1, 0)+IF(AND((K$3-$B$2)&gt;=0,(K$3-$B$2)&lt;30), 2,0)</f>
        <v>1</v>
      </c>
      <c r="L80" s="113">
        <f>IF(OR(AND($F79&lt;=L$3, $F80 &gt;= L$3), AND($F80&lt;L$3, WORKDAY($F80, 22,Holiday!$A$1:$A$30)&gt;L$3)), 1, 0)+IF(AND((L$3-$B$2)&gt;=0,(L$3-$B$2)&lt;30), 2,0)</f>
        <v>0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2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2:41" ht="13.2" x14ac:dyDescent="0.25">
      <c r="B81" t="s">
        <v>132</v>
      </c>
      <c r="C81" s="112" t="s">
        <v>280</v>
      </c>
      <c r="D81" s="111">
        <v>5</v>
      </c>
      <c r="E81" s="116">
        <f t="shared" si="1"/>
        <v>8</v>
      </c>
      <c r="F81" s="121">
        <f>WORKDAY(F80,E81,Holiday!A75:A104)</f>
        <v>46167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0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1</v>
      </c>
      <c r="L81" s="113">
        <f>IF(OR(AND($F80&lt;=L$3, $F81 &gt;= L$3), AND($F81&lt;L$3, WORKDAY($F81, 22,Holiday!$A$1:$A$30)&gt;L$3)), 1, 0)+IF(AND((L$3-$B$2)&gt;=0,(L$3-$B$2)&lt;30), 2,0)</f>
        <v>0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2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2:41" ht="13.2" x14ac:dyDescent="0.25">
      <c r="B82" t="s">
        <v>130</v>
      </c>
      <c r="C82" s="112" t="s">
        <v>280</v>
      </c>
      <c r="D82" s="111">
        <v>5</v>
      </c>
      <c r="E82" s="116">
        <f t="shared" si="1"/>
        <v>8</v>
      </c>
      <c r="F82" s="121">
        <f>WORKDAY(F81,E82,Holiday!A76:A105)</f>
        <v>46177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1</v>
      </c>
      <c r="L82" s="113">
        <f>IF(OR(AND($F81&lt;=L$3, $F82 &gt;= L$3), AND($F82&lt;L$3, WORKDAY($F82, 22,Holiday!$A$1:$A$30)&gt;L$3)), 1, 0)+IF(AND((L$3-$B$2)&gt;=0,(L$3-$B$2)&lt;30), 2,0)</f>
        <v>0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2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2:41" ht="13.2" x14ac:dyDescent="0.25">
      <c r="B83" t="s">
        <v>189</v>
      </c>
      <c r="C83" s="112" t="s">
        <v>280</v>
      </c>
      <c r="D83" s="111">
        <v>5</v>
      </c>
      <c r="E83" s="116">
        <f t="shared" si="1"/>
        <v>8</v>
      </c>
      <c r="F83" s="121">
        <f>WORKDAY(F82,E83,Holiday!A77:A106)</f>
        <v>46189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1</v>
      </c>
      <c r="L83" s="113">
        <f>IF(OR(AND($F82&lt;=L$3, $F83 &gt;= L$3), AND($F83&lt;L$3, WORKDAY($F83, 22,Holiday!$A$1:$A$30)&gt;L$3)), 1, 0)+IF(AND((L$3-$B$2)&gt;=0,(L$3-$B$2)&lt;30), 2,0)</f>
        <v>1</v>
      </c>
      <c r="M83" s="113">
        <f>IF(OR(AND($F82&lt;=M$3, $F83 &gt;= M$3), AND($F83&lt;M$3, WORKDAY($F83, 22,Holiday!$A$1:$A$30)&gt;M$3)), 1, 0)+IF(AND((M$3-$B$2)&gt;=0,(M$3-$B$2)&lt;30), 2,0)</f>
        <v>0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2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2:41" ht="13.2" x14ac:dyDescent="0.25">
      <c r="B84" t="s">
        <v>124</v>
      </c>
      <c r="C84" s="112" t="s">
        <v>280</v>
      </c>
      <c r="D84" s="111">
        <v>5</v>
      </c>
      <c r="E84" s="116">
        <f t="shared" si="1"/>
        <v>8</v>
      </c>
      <c r="F84" s="121">
        <f>WORKDAY(F83,E84,Holiday!A78:A107)</f>
        <v>46199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1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2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2:41" ht="13.2" x14ac:dyDescent="0.25">
      <c r="B85" t="s">
        <v>135</v>
      </c>
      <c r="C85" s="112" t="s">
        <v>280</v>
      </c>
      <c r="D85" s="111">
        <v>5</v>
      </c>
      <c r="E85" s="116">
        <f t="shared" si="1"/>
        <v>8</v>
      </c>
      <c r="F85" s="121">
        <f>WORKDAY(F84,E85,Holiday!A79:A108)</f>
        <v>46211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1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0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2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0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2:41" ht="13.2" x14ac:dyDescent="0.25">
      <c r="B86" t="s">
        <v>126</v>
      </c>
      <c r="C86" s="112" t="s">
        <v>280</v>
      </c>
      <c r="D86" s="111">
        <v>5</v>
      </c>
      <c r="E86" s="116">
        <f t="shared" si="1"/>
        <v>8</v>
      </c>
      <c r="F86" s="121">
        <f>WORKDAY(F85,E86,Holiday!A80:A109)</f>
        <v>46223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0</v>
      </c>
      <c r="L86" s="113">
        <f>IF(OR(AND($F85&lt;=L$3, $F86 &gt;= L$3), AND($F86&lt;L$3, WORKDAY($F86, 22,Holiday!$A$1:$A$30)&gt;L$3)), 1, 0)+IF(AND((L$3-$B$2)&gt;=0,(L$3-$B$2)&lt;30), 2,0)</f>
        <v>1</v>
      </c>
      <c r="M86" s="113">
        <f>IF(OR(AND($F85&lt;=M$3, $F86 &gt;= M$3), AND($F86&lt;M$3, WORKDAY($F86, 22,Holiday!$A$1:$A$30)&gt;M$3)), 1, 0)+IF(AND((M$3-$B$2)&gt;=0,(M$3-$B$2)&lt;30), 2,0)</f>
        <v>1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0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2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0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2:41" ht="13.2" x14ac:dyDescent="0.25">
      <c r="B87" t="s">
        <v>131</v>
      </c>
      <c r="C87" s="112" t="s">
        <v>280</v>
      </c>
      <c r="D87" s="111">
        <v>5</v>
      </c>
      <c r="E87" s="116">
        <f t="shared" si="1"/>
        <v>8</v>
      </c>
      <c r="F87" s="121">
        <f>WORKDAY(F86,E87,Holiday!A81:A110)</f>
        <v>46233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1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0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2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0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2:41" ht="13.2" x14ac:dyDescent="0.25">
      <c r="B88" t="s">
        <v>128</v>
      </c>
      <c r="C88" s="112" t="s">
        <v>280</v>
      </c>
      <c r="D88" s="111">
        <v>5</v>
      </c>
      <c r="E88" s="116">
        <f t="shared" si="1"/>
        <v>8</v>
      </c>
      <c r="F88" s="121">
        <f>WORKDAY(F87,E88,Holiday!A82:A111)</f>
        <v>46245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1</v>
      </c>
      <c r="N88" s="113">
        <f>IF(OR(AND($F87&lt;=N$3, $F88 &gt;= N$3), AND($F88&lt;N$3, WORKDAY($F88, 22,Holiday!$A$1:$A$30)&gt;N$3)), 1, 0)+IF(AND((N$3-$B$2)&gt;=0,(N$3-$B$2)&lt;30), 2,0)</f>
        <v>1</v>
      </c>
      <c r="O88" s="113">
        <f>IF(OR(AND($F87&lt;=O$3, $F88 &gt;= O$3), AND($F88&lt;O$3, WORKDAY($F88, 22,Holiday!$A$1:$A$30)&gt;O$3)), 1, 0)+IF(AND((O$3-$B$2)&gt;=0,(O$3-$B$2)&lt;30), 2,0)</f>
        <v>0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2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2:41" ht="13.2" x14ac:dyDescent="0.25">
      <c r="B89" t="s">
        <v>142</v>
      </c>
      <c r="C89" s="112" t="s">
        <v>280</v>
      </c>
      <c r="D89" s="111">
        <v>5</v>
      </c>
      <c r="E89" s="116">
        <f t="shared" si="1"/>
        <v>8</v>
      </c>
      <c r="F89" s="121">
        <f>WORKDAY(F88,E89,Holiday!A83:A112)</f>
        <v>46255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0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0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1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2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2:41" ht="13.2" x14ac:dyDescent="0.25">
      <c r="B90" t="s">
        <v>125</v>
      </c>
      <c r="C90" s="112" t="s">
        <v>280</v>
      </c>
      <c r="D90" s="111">
        <v>5</v>
      </c>
      <c r="E90" s="116">
        <f t="shared" si="1"/>
        <v>8</v>
      </c>
      <c r="F90" s="121">
        <f>WORKDAY(F89,E90,Holiday!A84:A113)</f>
        <v>46267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0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1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2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2:41" ht="13.2" x14ac:dyDescent="0.25">
      <c r="B91" t="s">
        <v>141</v>
      </c>
      <c r="C91" s="112" t="s">
        <v>280</v>
      </c>
      <c r="D91" s="111">
        <v>5</v>
      </c>
      <c r="E91" s="116">
        <f t="shared" si="1"/>
        <v>8</v>
      </c>
      <c r="F91" s="121">
        <f>WORKDAY(F90,E91,Holiday!A85:A114)</f>
        <v>46279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0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0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1</v>
      </c>
      <c r="O91" s="113">
        <f>IF(OR(AND($F90&lt;=O$3, $F91 &gt;= O$3), AND($F91&lt;O$3, WORKDAY($F91, 22,Holiday!$A$1:$A$30)&gt;O$3)), 1, 0)+IF(AND((O$3-$B$2)&gt;=0,(O$3-$B$2)&lt;30), 2,0)</f>
        <v>1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2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2:41" ht="13.2" x14ac:dyDescent="0.25">
      <c r="B92" t="s">
        <v>199</v>
      </c>
      <c r="C92" s="112" t="s">
        <v>280</v>
      </c>
      <c r="D92" s="111">
        <v>6</v>
      </c>
      <c r="E92" s="116">
        <f t="shared" si="1"/>
        <v>9</v>
      </c>
      <c r="F92" s="121">
        <f>WORKDAY(F91,E92,Holiday!A86:A115)</f>
        <v>46290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0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1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2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2:41" ht="13.2" x14ac:dyDescent="0.25">
      <c r="B93" t="s">
        <v>201</v>
      </c>
      <c r="C93" s="112" t="s">
        <v>280</v>
      </c>
      <c r="D93" s="111">
        <v>6</v>
      </c>
      <c r="E93" s="116">
        <f t="shared" si="1"/>
        <v>9</v>
      </c>
      <c r="F93" s="121">
        <f>WORKDAY(F92,E93,Holiday!A87:A116)</f>
        <v>46303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1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2</v>
      </c>
      <c r="R93" s="113">
        <f>IF(OR(AND($F92&lt;=R$3, $F93 &gt;= R$3), AND($F93&lt;R$3, WORKDAY($F93, 22,Holiday!$A$1:$A$30)&gt;R$3)), 1, 0)+IF(AND((R$3-$B$2)&gt;=0,(R$3-$B$2)&lt;30), 2,0)</f>
        <v>0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2:41" ht="13.2" x14ac:dyDescent="0.25">
      <c r="B94" t="s">
        <v>204</v>
      </c>
      <c r="C94" s="112" t="s">
        <v>280</v>
      </c>
      <c r="D94" s="111">
        <v>6</v>
      </c>
      <c r="E94" s="116">
        <f t="shared" si="1"/>
        <v>9</v>
      </c>
      <c r="F94" s="121">
        <f>WORKDAY(F93,E94,Holiday!A88:A117)</f>
        <v>46316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0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1</v>
      </c>
      <c r="P94" s="113">
        <f>IF(OR(AND($F93&lt;=P$3, $F94 &gt;= P$3), AND($F94&lt;P$3, WORKDAY($F94, 22,Holiday!$A$1:$A$30)&gt;P$3)), 1, 0)+IF(AND((P$3-$B$2)&gt;=0,(P$3-$B$2)&lt;30), 2,0)</f>
        <v>1</v>
      </c>
      <c r="Q94" s="113">
        <f>IF(OR(AND($F93&lt;=Q$3, $F94 &gt;= Q$3), AND($F94&lt;Q$3, WORKDAY($F94, 22,Holiday!$A$1:$A$30)&gt;Q$3)), 1, 0)+IF(AND((Q$3-$B$2)&gt;=0,(Q$3-$B$2)&lt;30), 2,0)</f>
        <v>2</v>
      </c>
      <c r="R94" s="113">
        <f>IF(OR(AND($F93&lt;=R$3, $F94 &gt;= R$3), AND($F94&lt;R$3, WORKDAY($F94, 22,Holiday!$A$1:$A$30)&gt;R$3)), 1, 0)+IF(AND((R$3-$B$2)&gt;=0,(R$3-$B$2)&lt;30), 2,0)</f>
        <v>0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2:41" ht="13.2" x14ac:dyDescent="0.25">
      <c r="B95" t="s">
        <v>208</v>
      </c>
      <c r="C95" s="112" t="s">
        <v>280</v>
      </c>
      <c r="D95" s="111">
        <v>6</v>
      </c>
      <c r="E95" s="116">
        <f t="shared" si="1"/>
        <v>9</v>
      </c>
      <c r="F95" s="121">
        <f>WORKDAY(F94,E95,Holiday!A89:A118)</f>
        <v>46329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1</v>
      </c>
      <c r="Q95" s="113">
        <f>IF(OR(AND($F94&lt;=Q$3, $F95 &gt;= Q$3), AND($F95&lt;Q$3, WORKDAY($F95, 22,Holiday!$A$1:$A$30)&gt;Q$3)), 1, 0)+IF(AND((Q$3-$B$2)&gt;=0,(Q$3-$B$2)&lt;30), 2,0)</f>
        <v>2</v>
      </c>
      <c r="R95" s="113">
        <f>IF(OR(AND($F94&lt;=R$3, $F95 &gt;= R$3), AND($F95&lt;R$3, WORKDAY($F95, 22,Holiday!$A$1:$A$30)&gt;R$3)), 1, 0)+IF(AND((R$3-$B$2)&gt;=0,(R$3-$B$2)&lt;30), 2,0)</f>
        <v>0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2:41" ht="13.2" x14ac:dyDescent="0.25">
      <c r="B96" t="s">
        <v>206</v>
      </c>
      <c r="C96" s="112" t="s">
        <v>280</v>
      </c>
      <c r="D96" s="111">
        <v>6</v>
      </c>
      <c r="E96" s="116">
        <f t="shared" si="1"/>
        <v>9</v>
      </c>
      <c r="F96" s="121">
        <f>WORKDAY(F95,E96,Holiday!A90:A119)</f>
        <v>46342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0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0</v>
      </c>
      <c r="P96" s="113">
        <f>IF(OR(AND($F95&lt;=P$3, $F96 &gt;= P$3), AND($F96&lt;P$3, WORKDAY($F96, 22,Holiday!$A$1:$A$30)&gt;P$3)), 1, 0)+IF(AND((P$3-$B$2)&gt;=0,(P$3-$B$2)&lt;30), 2,0)</f>
        <v>1</v>
      </c>
      <c r="Q96" s="113">
        <f>IF(OR(AND($F95&lt;=Q$3, $F96 &gt;= Q$3), AND($F96&lt;Q$3, WORKDAY($F96, 22,Holiday!$A$1:$A$30)&gt;Q$3)), 1, 0)+IF(AND((Q$3-$B$2)&gt;=0,(Q$3-$B$2)&lt;30), 2,0)</f>
        <v>3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2:41" ht="13.2" x14ac:dyDescent="0.25">
      <c r="B97" t="s">
        <v>198</v>
      </c>
      <c r="C97" s="112" t="s">
        <v>280</v>
      </c>
      <c r="D97" s="111">
        <v>6</v>
      </c>
      <c r="E97" s="116">
        <f t="shared" si="1"/>
        <v>9</v>
      </c>
      <c r="F97" s="121">
        <f>WORKDAY(F96,E97,Holiday!A91:A120)</f>
        <v>46353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0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0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3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2:41" ht="13.2" x14ac:dyDescent="0.25">
      <c r="B98" t="s">
        <v>200</v>
      </c>
      <c r="C98" s="112" t="s">
        <v>280</v>
      </c>
      <c r="D98" s="111">
        <v>6</v>
      </c>
      <c r="E98" s="116">
        <f t="shared" si="1"/>
        <v>9</v>
      </c>
      <c r="F98" s="121">
        <f>WORKDAY(F97,E98,Holiday!A92:A121)</f>
        <v>46366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0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3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2:41" ht="13.2" x14ac:dyDescent="0.25">
      <c r="B99" t="s">
        <v>173</v>
      </c>
      <c r="C99" s="112" t="s">
        <v>280</v>
      </c>
      <c r="D99" s="111">
        <v>6</v>
      </c>
      <c r="E99" s="116">
        <f t="shared" si="1"/>
        <v>9</v>
      </c>
      <c r="F99" s="121">
        <f>WORKDAY(F98,E99,Holiday!A93:A122)</f>
        <v>46379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0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0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3</v>
      </c>
      <c r="R99" s="113">
        <f>IF(OR(AND($F98&lt;=R$3, $F99 &gt;= R$3), AND($F99&lt;R$3, WORKDAY($F99, 22,Holiday!$A$1:$A$30)&gt;R$3)), 1, 0)+IF(AND((R$3-$B$2)&gt;=0,(R$3-$B$2)&lt;30), 2,0)</f>
        <v>1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2:41" ht="13.2" x14ac:dyDescent="0.25">
      <c r="B100" t="s">
        <v>165</v>
      </c>
      <c r="C100" s="112" t="s">
        <v>280</v>
      </c>
      <c r="D100" s="111">
        <v>6</v>
      </c>
      <c r="E100" s="116">
        <f t="shared" si="1"/>
        <v>9</v>
      </c>
      <c r="F100" s="121">
        <f>WORKDAY(F99,E100,Holiday!A94:A123)</f>
        <v>46392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0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2</v>
      </c>
      <c r="R100" s="113">
        <f>IF(OR(AND($F99&lt;=R$3, $F100 &gt;= R$3), AND($F100&lt;R$3, WORKDAY($F100, 22,Holiday!$A$1:$A$30)&gt;R$3)), 1, 0)+IF(AND((R$3-$B$2)&gt;=0,(R$3-$B$2)&lt;30), 2,0)</f>
        <v>1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2:41" ht="13.2" x14ac:dyDescent="0.25">
      <c r="B101" t="s">
        <v>174</v>
      </c>
      <c r="C101" s="112" t="s">
        <v>280</v>
      </c>
      <c r="D101" s="111">
        <v>6</v>
      </c>
      <c r="E101" s="116">
        <f t="shared" si="1"/>
        <v>9</v>
      </c>
      <c r="F101" s="121">
        <f>WORKDAY(F100,E101,Holiday!A95:A124)</f>
        <v>46405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0</v>
      </c>
      <c r="J101" s="113">
        <f>IF(OR(AND($F100&lt;=J$3, $F101 &gt;= J$3), AND($F101&lt;J$3, WORKDAY($F101, 22,Holiday!$A$1:$A$30)&gt;J$3)), 1, 0)+IF(AND((J$3-$B$2)&gt;=0,(J$3-$B$2)&lt;30), 2,0)</f>
        <v>0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0</v>
      </c>
      <c r="M101" s="113">
        <f>IF(OR(AND($F100&lt;=M$3, $F101 &gt;= M$3), AND($F101&lt;M$3, WORKDAY($F101, 22,Holiday!$A$1:$A$30)&gt;M$3)), 1, 0)+IF(AND((M$3-$B$2)&gt;=0,(M$3-$B$2)&lt;30), 2,0)</f>
        <v>0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0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2</v>
      </c>
      <c r="R101" s="113">
        <f>IF(OR(AND($F100&lt;=R$3, $F101 &gt;= R$3), AND($F101&lt;R$3, WORKDAY($F101, 22,Holiday!$A$1:$A$30)&gt;R$3)), 1, 0)+IF(AND((R$3-$B$2)&gt;=0,(R$3-$B$2)&lt;30), 2,0)</f>
        <v>1</v>
      </c>
      <c r="S101" s="113">
        <f>IF(OR(AND($F100&lt;=S$3, $F101 &gt;= S$3), AND($F101&lt;S$3, WORKDAY($F101, 22,Holiday!$A$1:$A$30)&gt;S$3)), 1, 0)+IF(AND((S$3-$B$2)&gt;=0,(S$3-$B$2)&lt;30), 2,0)</f>
        <v>1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0</v>
      </c>
      <c r="V101" s="113">
        <f>IF(OR(AND($F100&lt;=V$3, $F101 &gt;= V$3), AND($F101&lt;V$3, WORKDAY($F101, 22,Holiday!$A$1:$A$30)&gt;V$3)), 1, 0)+IF(AND((V$3-$B$2)&gt;=0,(V$3-$B$2)&lt;30), 2,0)</f>
        <v>0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0</v>
      </c>
      <c r="AC101" s="113">
        <f>IF(OR(AND($F100&lt;=AC$3, $F101 &gt;= AC$3), AND($F101&lt;AC$3, WORKDAY($F101, 22,Holiday!$A$1:$A$30)&gt;AC$3)), 1, 0)+IF(AND((AC$3-$B$2)&gt;=0,(AC$3-$B$2)&lt;30), 2,0)</f>
        <v>0</v>
      </c>
      <c r="AD101" s="113">
        <f>IF(OR(AND($F100&lt;=AD$3, $F101 &gt;= AD$3), AND($F101&lt;AD$3, WORKDAY($F101, 22,Holiday!$A$1:$A$30)&gt;AD$3)), 1, 0)+IF(AND((AD$3-$B$2)&gt;=0,(AD$3-$B$2)&lt;30), 2,0)</f>
        <v>0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</row>
    <row r="102" spans="2:41" ht="13.2" x14ac:dyDescent="0.25">
      <c r="B102" t="s">
        <v>182</v>
      </c>
      <c r="C102" s="112" t="s">
        <v>281</v>
      </c>
      <c r="D102" s="111">
        <v>6</v>
      </c>
      <c r="E102" s="116">
        <f t="shared" si="1"/>
        <v>9</v>
      </c>
      <c r="F102" s="121">
        <f>WORKDAY(F54,E102,Holiday!A96:A125)</f>
        <v>46078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1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0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0</v>
      </c>
      <c r="M102" s="113">
        <f>IF(OR(AND($F101&lt;=M$3, $F102 &gt;= M$3), AND($F102&lt;M$3, WORKDAY($F102, 22,Holiday!$A$1:$A$30)&gt;M$3)), 1, 0)+IF(AND((M$3-$B$2)&gt;=0,(M$3-$B$2)&lt;30), 2,0)</f>
        <v>0</v>
      </c>
      <c r="N102" s="113">
        <f>IF(OR(AND($F101&lt;=N$3, $F102 &gt;= N$3), AND($F102&lt;N$3, WORKDAY($F102, 22,Holiday!$A$1:$A$30)&gt;N$3)), 1, 0)+IF(AND((N$3-$B$2)&gt;=0,(N$3-$B$2)&lt;30), 2,0)</f>
        <v>0</v>
      </c>
      <c r="O102" s="113">
        <f>IF(OR(AND($F101&lt;=O$3, $F102 &gt;= O$3), AND($F102&lt;O$3, WORKDAY($F102, 22,Holiday!$A$1:$A$30)&gt;O$3)), 1, 0)+IF(AND((O$3-$B$2)&gt;=0,(O$3-$B$2)&lt;30), 2,0)</f>
        <v>0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2</v>
      </c>
      <c r="R102" s="113">
        <f>IF(OR(AND($F101&lt;=R$3, $F102 &gt;= R$3), AND($F102&lt;R$3, WORKDAY($F102, 22,Holiday!$A$1:$A$30)&gt;R$3)), 1, 0)+IF(AND((R$3-$B$2)&gt;=0,(R$3-$B$2)&lt;30), 2,0)</f>
        <v>0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0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0</v>
      </c>
      <c r="AD102" s="113">
        <f>IF(OR(AND($F101&lt;=AD$3, $F102 &gt;= AD$3), AND($F102&lt;AD$3, WORKDAY($F102, 22,Holiday!$A$1:$A$30)&gt;AD$3)), 1, 0)+IF(AND((AD$3-$B$2)&gt;=0,(AD$3-$B$2)&lt;30), 2,0)</f>
        <v>0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</row>
    <row r="103" spans="2:41" ht="14.4" x14ac:dyDescent="0.25">
      <c r="B103" t="s">
        <v>207</v>
      </c>
      <c r="C103" s="112" t="s">
        <v>281</v>
      </c>
      <c r="D103" s="111">
        <v>6</v>
      </c>
      <c r="E103" s="86">
        <f t="shared" ref="E103:E119" si="2">ROUNDUP(D103*(1+$D$2),0)</f>
        <v>9</v>
      </c>
      <c r="F103" s="121">
        <f>WORKDAY(F102,E103,Holiday!A97:A126)</f>
        <v>46091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1</v>
      </c>
      <c r="I103" s="113">
        <f>IF(OR(AND($F102&lt;=I$3, $F103 &gt;= I$3), AND($F103&lt;I$3, WORKDAY($F103, 22,Holiday!$A$1:$A$30)&gt;I$3)), 1, 0)+IF(AND((I$3-$B$2)&gt;=0,(I$3-$B$2)&lt;30), 2,0)</f>
        <v>1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2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2:41" ht="14.4" x14ac:dyDescent="0.25">
      <c r="B104" t="s">
        <v>205</v>
      </c>
      <c r="C104" s="112" t="s">
        <v>281</v>
      </c>
      <c r="D104" s="111">
        <v>6</v>
      </c>
      <c r="E104" s="86">
        <f t="shared" si="2"/>
        <v>9</v>
      </c>
      <c r="F104" s="121">
        <f>WORKDAY(F103,E104,Holiday!A98:A127)</f>
        <v>46104</v>
      </c>
      <c r="G104" s="113">
        <f>IF(OR(AND($F103&lt;=G$3, $F104 &gt;= G$3), AND($F104&lt;G$3, WORKDAY($F104, 22,Holiday!$A$1:$A$30)&gt;G$3)), 1, 0)+IF(AND((G$3-$B$2)&gt;=0,(G$3-$B$2)&lt;30), 2,0)</f>
        <v>0</v>
      </c>
      <c r="H104" s="113">
        <f>IF(OR(AND($F103&lt;=H$3, $F104 &gt;= H$3), AND($F104&lt;H$3, WORKDAY($F104, 22,Holiday!$A$1:$A$30)&gt;H$3)), 1, 0)+IF(AND((H$3-$B$2)&gt;=0,(H$3-$B$2)&lt;30), 2,0)</f>
        <v>0</v>
      </c>
      <c r="I104" s="113">
        <f>IF(OR(AND($F103&lt;=I$3, $F104 &gt;= I$3), AND($F104&lt;I$3, WORKDAY($F104, 22,Holiday!$A$1:$A$30)&gt;I$3)), 1, 0)+IF(AND((I$3-$B$2)&gt;=0,(I$3-$B$2)&lt;30), 2,0)</f>
        <v>1</v>
      </c>
      <c r="J104" s="113">
        <f>IF(OR(AND($F103&lt;=J$3, $F104 &gt;= J$3), AND($F104&lt;J$3, WORKDAY($F104, 22,Holiday!$A$1:$A$30)&gt;J$3)), 1, 0)+IF(AND((J$3-$B$2)&gt;=0,(J$3-$B$2)&lt;30), 2,0)</f>
        <v>0</v>
      </c>
      <c r="K104" s="113">
        <f>IF(OR(AND($F103&lt;=K$3, $F104 &gt;= K$3), AND($F104&lt;K$3, WORKDAY($F104, 22,Holiday!$A$1:$A$30)&gt;K$3)), 1, 0)+IF(AND((K$3-$B$2)&gt;=0,(K$3-$B$2)&lt;30), 2,0)</f>
        <v>0</v>
      </c>
      <c r="L104" s="113">
        <f>IF(OR(AND($F103&lt;=L$3, $F104 &gt;= L$3), AND($F104&lt;L$3, WORKDAY($F104, 22,Holiday!$A$1:$A$30)&gt;L$3)), 1, 0)+IF(AND((L$3-$B$2)&gt;=0,(L$3-$B$2)&lt;30), 2,0)</f>
        <v>0</v>
      </c>
      <c r="M104" s="113">
        <f>IF(OR(AND($F103&lt;=M$3, $F104 &gt;= M$3), AND($F104&lt;M$3, WORKDAY($F104, 22,Holiday!$A$1:$A$30)&gt;M$3)), 1, 0)+IF(AND((M$3-$B$2)&gt;=0,(M$3-$B$2)&lt;30), 2,0)</f>
        <v>0</v>
      </c>
      <c r="N104" s="113">
        <f>IF(OR(AND($F103&lt;=N$3, $F104 &gt;= N$3), AND($F104&lt;N$3, WORKDAY($F104, 22,Holiday!$A$1:$A$30)&gt;N$3)), 1, 0)+IF(AND((N$3-$B$2)&gt;=0,(N$3-$B$2)&lt;30), 2,0)</f>
        <v>0</v>
      </c>
      <c r="O104" s="113">
        <f>IF(OR(AND($F103&lt;=O$3, $F104 &gt;= O$3), AND($F104&lt;O$3, WORKDAY($F104, 22,Holiday!$A$1:$A$30)&gt;O$3)), 1, 0)+IF(AND((O$3-$B$2)&gt;=0,(O$3-$B$2)&lt;30), 2,0)</f>
        <v>0</v>
      </c>
      <c r="P104" s="113">
        <f>IF(OR(AND($F103&lt;=P$3, $F104 &gt;= P$3), AND($F104&lt;P$3, WORKDAY($F104, 22,Holiday!$A$1:$A$30)&gt;P$3)), 1, 0)+IF(AND((P$3-$B$2)&gt;=0,(P$3-$B$2)&lt;30), 2,0)</f>
        <v>0</v>
      </c>
      <c r="Q104" s="113">
        <f>IF(OR(AND($F103&lt;=Q$3, $F104 &gt;= Q$3), AND($F104&lt;Q$3, WORKDAY($F104, 22,Holiday!$A$1:$A$30)&gt;Q$3)), 1, 0)+IF(AND((Q$3-$B$2)&gt;=0,(Q$3-$B$2)&lt;30), 2,0)</f>
        <v>2</v>
      </c>
      <c r="R104" s="113">
        <f>IF(OR(AND($F103&lt;=R$3, $F104 &gt;= R$3), AND($F104&lt;R$3, WORKDAY($F104, 22,Holiday!$A$1:$A$30)&gt;R$3)), 1, 0)+IF(AND((R$3-$B$2)&gt;=0,(R$3-$B$2)&lt;30), 2,0)</f>
        <v>0</v>
      </c>
      <c r="S104" s="113">
        <f>IF(OR(AND($F103&lt;=S$3, $F104 &gt;= S$3), AND($F104&lt;S$3, WORKDAY($F104, 22,Holiday!$A$1:$A$30)&gt;S$3)), 1, 0)+IF(AND((S$3-$B$2)&gt;=0,(S$3-$B$2)&lt;30), 2,0)</f>
        <v>0</v>
      </c>
      <c r="T104" s="113">
        <f>IF(OR(AND($F103&lt;=T$3, $F104 &gt;= T$3), AND($F104&lt;T$3, WORKDAY($F104, 22,Holiday!$A$1:$A$30)&gt;T$3)), 1, 0)+IF(AND((T$3-$B$2)&gt;=0,(T$3-$B$2)&lt;30), 2,0)</f>
        <v>0</v>
      </c>
      <c r="U104" s="113">
        <f>IF(OR(AND($F103&lt;=U$3, $F104 &gt;= U$3), AND($F104&lt;U$3, WORKDAY($F104, 22,Holiday!$A$1:$A$30)&gt;U$3)), 1, 0)+IF(AND((U$3-$B$2)&gt;=0,(U$3-$B$2)&lt;30), 2,0)</f>
        <v>0</v>
      </c>
      <c r="V104" s="113">
        <f>IF(OR(AND($F103&lt;=V$3, $F104 &gt;= V$3), AND($F104&lt;V$3, WORKDAY($F104, 22,Holiday!$A$1:$A$30)&gt;V$3)), 1, 0)+IF(AND((V$3-$B$2)&gt;=0,(V$3-$B$2)&lt;30), 2,0)</f>
        <v>0</v>
      </c>
      <c r="W104" s="113">
        <f>IF(OR(AND($F103&lt;=W$3, $F104 &gt;= W$3), AND($F104&lt;W$3, WORKDAY($F104, 22,Holiday!$A$1:$A$30)&gt;W$3)), 1, 0)+IF(AND((W$3-$B$2)&gt;=0,(W$3-$B$2)&lt;30), 2,0)</f>
        <v>0</v>
      </c>
      <c r="X104" s="113">
        <f>IF(OR(AND($F103&lt;=X$3, $F104 &gt;= X$3), AND($F104&lt;X$3, WORKDAY($F104, 22,Holiday!$A$1:$A$30)&gt;X$3)), 1, 0)+IF(AND((X$3-$B$2)&gt;=0,(X$3-$B$2)&lt;30), 2,0)</f>
        <v>0</v>
      </c>
      <c r="Y104" s="113">
        <f>IF(OR(AND($F103&lt;=Y$3, $F104 &gt;= Y$3), AND($F104&lt;Y$3, WORKDAY($F104, 22,Holiday!$A$1:$A$30)&gt;Y$3)), 1, 0)+IF(AND((Y$3-$B$2)&gt;=0,(Y$3-$B$2)&lt;30), 2,0)</f>
        <v>0</v>
      </c>
      <c r="Z104" s="113">
        <f>IF(OR(AND($F103&lt;=Z$3, $F104 &gt;= Z$3), AND($F104&lt;Z$3, WORKDAY($F104, 22,Holiday!$A$1:$A$30)&gt;Z$3)), 1, 0)+IF(AND((Z$3-$B$2)&gt;=0,(Z$3-$B$2)&lt;30), 2,0)</f>
        <v>0</v>
      </c>
      <c r="AA104" s="113">
        <f>IF(OR(AND($F103&lt;=AA$3, $F104 &gt;= AA$3), AND($F104&lt;AA$3, WORKDAY($F104, 22,Holiday!$A$1:$A$30)&gt;AA$3)), 1, 0)+IF(AND((AA$3-$B$2)&gt;=0,(AA$3-$B$2)&lt;30), 2,0)</f>
        <v>0</v>
      </c>
      <c r="AB104" s="113">
        <f>IF(OR(AND($F103&lt;=AB$3, $F104 &gt;= AB$3), AND($F104&lt;AB$3, WORKDAY($F104, 22,Holiday!$A$1:$A$30)&gt;AB$3)), 1, 0)+IF(AND((AB$3-$B$2)&gt;=0,(AB$3-$B$2)&lt;30), 2,0)</f>
        <v>0</v>
      </c>
      <c r="AC104" s="113">
        <f>IF(OR(AND($F103&lt;=AC$3, $F104 &gt;= AC$3), AND($F104&lt;AC$3, WORKDAY($F104, 22,Holiday!$A$1:$A$30)&gt;AC$3)), 1, 0)+IF(AND((AC$3-$B$2)&gt;=0,(AC$3-$B$2)&lt;30), 2,0)</f>
        <v>0</v>
      </c>
      <c r="AD104" s="113">
        <f>IF(OR(AND($F103&lt;=AD$3, $F104 &gt;= AD$3), AND($F104&lt;AD$3, WORKDAY($F104, 22,Holiday!$A$1:$A$30)&gt;AD$3)), 1, 0)+IF(AND((AD$3-$B$2)&gt;=0,(AD$3-$B$2)&lt;30), 2,0)</f>
        <v>0</v>
      </c>
      <c r="AE104" s="113">
        <f>IF(OR(AND($F103&lt;=AE$3, $F104 &gt;= AE$3), AND($F104&lt;AE$3, WORKDAY($F104, 22,Holiday!$A$1:$A$30)&gt;AE$3)), 1, 0)+IF(AND((AE$3-$B$2)&gt;=0,(AE$3-$B$2)&lt;30), 2,0)</f>
        <v>0</v>
      </c>
      <c r="AF104" s="113">
        <f>IF(OR(AND($F103&lt;=AF$3, $F104 &gt;= AF$3), AND($F104&lt;AF$3, WORKDAY($F104, 22,Holiday!$A$1:$A$30)&gt;AF$3)), 1, 0)+IF(AND((AF$3-$B$2)&gt;=0,(AF$3-$B$2)&lt;30), 2,0)</f>
        <v>0</v>
      </c>
      <c r="AG104" s="113">
        <f>IF(OR(AND($F103&lt;=AG$3, $F104 &gt;= AG$3), AND($F104&lt;AG$3, WORKDAY($F104, 22,Holiday!$A$1:$A$30)&gt;AG$3)), 1, 0)+IF(AND((AG$3-$B$2)&gt;=0,(AG$3-$B$2)&lt;30), 2,0)</f>
        <v>0</v>
      </c>
      <c r="AH104" s="113">
        <f>IF(OR(AND($F103&lt;=AH$3, $F104 &gt;= AH$3), AND($F104&lt;AH$3, WORKDAY($F104, 22,Holiday!$A$1:$A$30)&gt;AH$3)), 1, 0)+IF(AND((AH$3-$B$2)&gt;=0,(AH$3-$B$2)&lt;30), 2,0)</f>
        <v>0</v>
      </c>
      <c r="AI104" s="113">
        <f>IF(OR(AND($F103&lt;=AI$3, $F104 &gt;= AI$3), AND($F104&lt;AI$3, WORKDAY($F104, 22,Holiday!$A$1:$A$30)&gt;AI$3)), 1, 0)+IF(AND((AI$3-$B$2)&gt;=0,(AI$3-$B$2)&lt;30), 2,0)</f>
        <v>0</v>
      </c>
      <c r="AJ104" s="113">
        <f>IF(OR(AND($F103&lt;=AJ$3, $F104 &gt;= AJ$3), AND($F104&lt;AJ$3, WORKDAY($F104, 22,Holiday!$A$1:$A$30)&gt;AJ$3)), 1, 0)+IF(AND((AJ$3-$B$2)&gt;=0,(AJ$3-$B$2)&lt;30), 2,0)</f>
        <v>0</v>
      </c>
      <c r="AK104" s="113">
        <f>IF(OR(AND($F103&lt;=AK$3, $F104 &gt;= AK$3), AND($F104&lt;AK$3, WORKDAY($F104, 22,Holiday!$A$1:$A$30)&gt;AK$3)), 1, 0)+IF(AND((AK$3-$B$2)&gt;=0,(AK$3-$B$2)&lt;30), 2,0)</f>
        <v>0</v>
      </c>
      <c r="AL104" s="113">
        <f>IF(OR(AND($F103&lt;=AL$3, $F104 &gt;= AL$3), AND($F104&lt;AL$3, WORKDAY($F104, 22,Holiday!$A$1:$A$30)&gt;AL$3)), 1, 0)+IF(AND((AL$3-$B$2)&gt;=0,(AL$3-$B$2)&lt;30), 2,0)</f>
        <v>0</v>
      </c>
      <c r="AM104" s="113">
        <f>IF(OR(AND($F103&lt;=AM$3, $F104 &gt;= AM$3), AND($F104&lt;AM$3, WORKDAY($F104, 22,Holiday!$A$1:$A$30)&gt;AM$3)), 1, 0)+IF(AND((AM$3-$B$2)&gt;=0,(AM$3-$B$2)&lt;30), 2,0)</f>
        <v>0</v>
      </c>
      <c r="AN104" s="113">
        <f>IF(OR(AND($F103&lt;=AN$3, $F104 &gt;= AN$3), AND($F104&lt;AN$3, WORKDAY($F104, 22,Holiday!$A$1:$A$30)&gt;AN$3)), 1, 0)+IF(AND((AN$3-$B$2)&gt;=0,(AN$3-$B$2)&lt;30), 2,0)</f>
        <v>0</v>
      </c>
      <c r="AO104" s="113">
        <f>IF(OR(AND($F103&lt;=AO$3, $F104 &gt;= AO$3), AND($F104&lt;AO$3, WORKDAY($F104, 22,Holiday!$A$1:$A$30)&gt;AO$3)), 1, 0)+IF(AND((AO$3-$B$2)&gt;=0,(AO$3-$B$2)&lt;30), 2,0)</f>
        <v>0</v>
      </c>
    </row>
    <row r="105" spans="2:41" ht="14.4" x14ac:dyDescent="0.25">
      <c r="B105" t="s">
        <v>186</v>
      </c>
      <c r="C105" s="112" t="s">
        <v>281</v>
      </c>
      <c r="D105" s="111">
        <v>6</v>
      </c>
      <c r="E105" s="86">
        <f t="shared" si="2"/>
        <v>9</v>
      </c>
      <c r="F105" s="121">
        <f>WORKDAY(F104,E105,Holiday!A99:A128)</f>
        <v>46115</v>
      </c>
      <c r="G105" s="113">
        <f>IF(OR(AND($F104&lt;=G$3, $F105 &gt;= G$3), AND($F105&lt;G$3, WORKDAY($F105, 22,Holiday!$A$1:$A$30)&gt;G$3)), 1, 0)+IF(AND((G$3-$B$2)&gt;=0,(G$3-$B$2)&lt;30), 2,0)</f>
        <v>0</v>
      </c>
      <c r="H105" s="113">
        <f>IF(OR(AND($F104&lt;=H$3, $F105 &gt;= H$3), AND($F105&lt;H$3, WORKDAY($F105, 22,Holiday!$A$1:$A$30)&gt;H$3)), 1, 0)+IF(AND((H$3-$B$2)&gt;=0,(H$3-$B$2)&lt;30), 2,0)</f>
        <v>0</v>
      </c>
      <c r="I105" s="113">
        <f>IF(OR(AND($F104&lt;=I$3, $F105 &gt;= I$3), AND($F105&lt;I$3, WORKDAY($F105, 22,Holiday!$A$1:$A$30)&gt;I$3)), 1, 0)+IF(AND((I$3-$B$2)&gt;=0,(I$3-$B$2)&lt;30), 2,0)</f>
        <v>1</v>
      </c>
      <c r="J105" s="113">
        <f>IF(OR(AND($F104&lt;=J$3, $F105 &gt;= J$3), AND($F105&lt;J$3, WORKDAY($F105, 22,Holiday!$A$1:$A$30)&gt;J$3)), 1, 0)+IF(AND((J$3-$B$2)&gt;=0,(J$3-$B$2)&lt;30), 2,0)</f>
        <v>0</v>
      </c>
      <c r="K105" s="113">
        <f>IF(OR(AND($F104&lt;=K$3, $F105 &gt;= K$3), AND($F105&lt;K$3, WORKDAY($F105, 22,Holiday!$A$1:$A$30)&gt;K$3)), 1, 0)+IF(AND((K$3-$B$2)&gt;=0,(K$3-$B$2)&lt;30), 2,0)</f>
        <v>0</v>
      </c>
      <c r="L105" s="113">
        <f>IF(OR(AND($F104&lt;=L$3, $F105 &gt;= L$3), AND($F105&lt;L$3, WORKDAY($F105, 22,Holiday!$A$1:$A$30)&gt;L$3)), 1, 0)+IF(AND((L$3-$B$2)&gt;=0,(L$3-$B$2)&lt;30), 2,0)</f>
        <v>0</v>
      </c>
      <c r="M105" s="113">
        <f>IF(OR(AND($F104&lt;=M$3, $F105 &gt;= M$3), AND($F105&lt;M$3, WORKDAY($F105, 22,Holiday!$A$1:$A$30)&gt;M$3)), 1, 0)+IF(AND((M$3-$B$2)&gt;=0,(M$3-$B$2)&lt;30), 2,0)</f>
        <v>0</v>
      </c>
      <c r="N105" s="113">
        <f>IF(OR(AND($F104&lt;=N$3, $F105 &gt;= N$3), AND($F105&lt;N$3, WORKDAY($F105, 22,Holiday!$A$1:$A$30)&gt;N$3)), 1, 0)+IF(AND((N$3-$B$2)&gt;=0,(N$3-$B$2)&lt;30), 2,0)</f>
        <v>0</v>
      </c>
      <c r="O105" s="113">
        <f>IF(OR(AND($F104&lt;=O$3, $F105 &gt;= O$3), AND($F105&lt;O$3, WORKDAY($F105, 22,Holiday!$A$1:$A$30)&gt;O$3)), 1, 0)+IF(AND((O$3-$B$2)&gt;=0,(O$3-$B$2)&lt;30), 2,0)</f>
        <v>0</v>
      </c>
      <c r="P105" s="113">
        <f>IF(OR(AND($F104&lt;=P$3, $F105 &gt;= P$3), AND($F105&lt;P$3, WORKDAY($F105, 22,Holiday!$A$1:$A$30)&gt;P$3)), 1, 0)+IF(AND((P$3-$B$2)&gt;=0,(P$3-$B$2)&lt;30), 2,0)</f>
        <v>0</v>
      </c>
      <c r="Q105" s="113">
        <f>IF(OR(AND($F104&lt;=Q$3, $F105 &gt;= Q$3), AND($F105&lt;Q$3, WORKDAY($F105, 22,Holiday!$A$1:$A$30)&gt;Q$3)), 1, 0)+IF(AND((Q$3-$B$2)&gt;=0,(Q$3-$B$2)&lt;30), 2,0)</f>
        <v>2</v>
      </c>
      <c r="R105" s="113">
        <f>IF(OR(AND($F104&lt;=R$3, $F105 &gt;= R$3), AND($F105&lt;R$3, WORKDAY($F105, 22,Holiday!$A$1:$A$30)&gt;R$3)), 1, 0)+IF(AND((R$3-$B$2)&gt;=0,(R$3-$B$2)&lt;30), 2,0)</f>
        <v>0</v>
      </c>
      <c r="S105" s="113">
        <f>IF(OR(AND($F104&lt;=S$3, $F105 &gt;= S$3), AND($F105&lt;S$3, WORKDAY($F105, 22,Holiday!$A$1:$A$30)&gt;S$3)), 1, 0)+IF(AND((S$3-$B$2)&gt;=0,(S$3-$B$2)&lt;30), 2,0)</f>
        <v>0</v>
      </c>
      <c r="T105" s="113">
        <f>IF(OR(AND($F104&lt;=T$3, $F105 &gt;= T$3), AND($F105&lt;T$3, WORKDAY($F105, 22,Holiday!$A$1:$A$30)&gt;T$3)), 1, 0)+IF(AND((T$3-$B$2)&gt;=0,(T$3-$B$2)&lt;30), 2,0)</f>
        <v>0</v>
      </c>
      <c r="U105" s="113">
        <f>IF(OR(AND($F104&lt;=U$3, $F105 &gt;= U$3), AND($F105&lt;U$3, WORKDAY($F105, 22,Holiday!$A$1:$A$30)&gt;U$3)), 1, 0)+IF(AND((U$3-$B$2)&gt;=0,(U$3-$B$2)&lt;30), 2,0)</f>
        <v>0</v>
      </c>
      <c r="V105" s="113">
        <f>IF(OR(AND($F104&lt;=V$3, $F105 &gt;= V$3), AND($F105&lt;V$3, WORKDAY($F105, 22,Holiday!$A$1:$A$30)&gt;V$3)), 1, 0)+IF(AND((V$3-$B$2)&gt;=0,(V$3-$B$2)&lt;30), 2,0)</f>
        <v>0</v>
      </c>
      <c r="W105" s="113">
        <f>IF(OR(AND($F104&lt;=W$3, $F105 &gt;= W$3), AND($F105&lt;W$3, WORKDAY($F105, 22,Holiday!$A$1:$A$30)&gt;W$3)), 1, 0)+IF(AND((W$3-$B$2)&gt;=0,(W$3-$B$2)&lt;30), 2,0)</f>
        <v>0</v>
      </c>
      <c r="X105" s="113">
        <f>IF(OR(AND($F104&lt;=X$3, $F105 &gt;= X$3), AND($F105&lt;X$3, WORKDAY($F105, 22,Holiday!$A$1:$A$30)&gt;X$3)), 1, 0)+IF(AND((X$3-$B$2)&gt;=0,(X$3-$B$2)&lt;30), 2,0)</f>
        <v>0</v>
      </c>
      <c r="Y105" s="113">
        <f>IF(OR(AND($F104&lt;=Y$3, $F105 &gt;= Y$3), AND($F105&lt;Y$3, WORKDAY($F105, 22,Holiday!$A$1:$A$30)&gt;Y$3)), 1, 0)+IF(AND((Y$3-$B$2)&gt;=0,(Y$3-$B$2)&lt;30), 2,0)</f>
        <v>0</v>
      </c>
      <c r="Z105" s="113">
        <f>IF(OR(AND($F104&lt;=Z$3, $F105 &gt;= Z$3), AND($F105&lt;Z$3, WORKDAY($F105, 22,Holiday!$A$1:$A$30)&gt;Z$3)), 1, 0)+IF(AND((Z$3-$B$2)&gt;=0,(Z$3-$B$2)&lt;30), 2,0)</f>
        <v>0</v>
      </c>
      <c r="AA105" s="113">
        <f>IF(OR(AND($F104&lt;=AA$3, $F105 &gt;= AA$3), AND($F105&lt;AA$3, WORKDAY($F105, 22,Holiday!$A$1:$A$30)&gt;AA$3)), 1, 0)+IF(AND((AA$3-$B$2)&gt;=0,(AA$3-$B$2)&lt;30), 2,0)</f>
        <v>0</v>
      </c>
      <c r="AB105" s="113">
        <f>IF(OR(AND($F104&lt;=AB$3, $F105 &gt;= AB$3), AND($F105&lt;AB$3, WORKDAY($F105, 22,Holiday!$A$1:$A$30)&gt;AB$3)), 1, 0)+IF(AND((AB$3-$B$2)&gt;=0,(AB$3-$B$2)&lt;30), 2,0)</f>
        <v>0</v>
      </c>
      <c r="AC105" s="113">
        <f>IF(OR(AND($F104&lt;=AC$3, $F105 &gt;= AC$3), AND($F105&lt;AC$3, WORKDAY($F105, 22,Holiday!$A$1:$A$30)&gt;AC$3)), 1, 0)+IF(AND((AC$3-$B$2)&gt;=0,(AC$3-$B$2)&lt;30), 2,0)</f>
        <v>0</v>
      </c>
      <c r="AD105" s="113">
        <f>IF(OR(AND($F104&lt;=AD$3, $F105 &gt;= AD$3), AND($F105&lt;AD$3, WORKDAY($F105, 22,Holiday!$A$1:$A$30)&gt;AD$3)), 1, 0)+IF(AND((AD$3-$B$2)&gt;=0,(AD$3-$B$2)&lt;30), 2,0)</f>
        <v>0</v>
      </c>
      <c r="AE105" s="113">
        <f>IF(OR(AND($F104&lt;=AE$3, $F105 &gt;= AE$3), AND($F105&lt;AE$3, WORKDAY($F105, 22,Holiday!$A$1:$A$30)&gt;AE$3)), 1, 0)+IF(AND((AE$3-$B$2)&gt;=0,(AE$3-$B$2)&lt;30), 2,0)</f>
        <v>0</v>
      </c>
      <c r="AF105" s="113">
        <f>IF(OR(AND($F104&lt;=AF$3, $F105 &gt;= AF$3), AND($F105&lt;AF$3, WORKDAY($F105, 22,Holiday!$A$1:$A$30)&gt;AF$3)), 1, 0)+IF(AND((AF$3-$B$2)&gt;=0,(AF$3-$B$2)&lt;30), 2,0)</f>
        <v>0</v>
      </c>
      <c r="AG105" s="113">
        <f>IF(OR(AND($F104&lt;=AG$3, $F105 &gt;= AG$3), AND($F105&lt;AG$3, WORKDAY($F105, 22,Holiday!$A$1:$A$30)&gt;AG$3)), 1, 0)+IF(AND((AG$3-$B$2)&gt;=0,(AG$3-$B$2)&lt;30), 2,0)</f>
        <v>0</v>
      </c>
      <c r="AH105" s="113">
        <f>IF(OR(AND($F104&lt;=AH$3, $F105 &gt;= AH$3), AND($F105&lt;AH$3, WORKDAY($F105, 22,Holiday!$A$1:$A$30)&gt;AH$3)), 1, 0)+IF(AND((AH$3-$B$2)&gt;=0,(AH$3-$B$2)&lt;30), 2,0)</f>
        <v>0</v>
      </c>
      <c r="AI105" s="113">
        <f>IF(OR(AND($F104&lt;=AI$3, $F105 &gt;= AI$3), AND($F105&lt;AI$3, WORKDAY($F105, 22,Holiday!$A$1:$A$30)&gt;AI$3)), 1, 0)+IF(AND((AI$3-$B$2)&gt;=0,(AI$3-$B$2)&lt;30), 2,0)</f>
        <v>0</v>
      </c>
      <c r="AJ105" s="113">
        <f>IF(OR(AND($F104&lt;=AJ$3, $F105 &gt;= AJ$3), AND($F105&lt;AJ$3, WORKDAY($F105, 22,Holiday!$A$1:$A$30)&gt;AJ$3)), 1, 0)+IF(AND((AJ$3-$B$2)&gt;=0,(AJ$3-$B$2)&lt;30), 2,0)</f>
        <v>0</v>
      </c>
      <c r="AK105" s="113">
        <f>IF(OR(AND($F104&lt;=AK$3, $F105 &gt;= AK$3), AND($F105&lt;AK$3, WORKDAY($F105, 22,Holiday!$A$1:$A$30)&gt;AK$3)), 1, 0)+IF(AND((AK$3-$B$2)&gt;=0,(AK$3-$B$2)&lt;30), 2,0)</f>
        <v>0</v>
      </c>
      <c r="AL105" s="113">
        <f>IF(OR(AND($F104&lt;=AL$3, $F105 &gt;= AL$3), AND($F105&lt;AL$3, WORKDAY($F105, 22,Holiday!$A$1:$A$30)&gt;AL$3)), 1, 0)+IF(AND((AL$3-$B$2)&gt;=0,(AL$3-$B$2)&lt;30), 2,0)</f>
        <v>0</v>
      </c>
      <c r="AM105" s="113">
        <f>IF(OR(AND($F104&lt;=AM$3, $F105 &gt;= AM$3), AND($F105&lt;AM$3, WORKDAY($F105, 22,Holiday!$A$1:$A$30)&gt;AM$3)), 1, 0)+IF(AND((AM$3-$B$2)&gt;=0,(AM$3-$B$2)&lt;30), 2,0)</f>
        <v>0</v>
      </c>
      <c r="AN105" s="113">
        <f>IF(OR(AND($F104&lt;=AN$3, $F105 &gt;= AN$3), AND($F105&lt;AN$3, WORKDAY($F105, 22,Holiday!$A$1:$A$30)&gt;AN$3)), 1, 0)+IF(AND((AN$3-$B$2)&gt;=0,(AN$3-$B$2)&lt;30), 2,0)</f>
        <v>0</v>
      </c>
      <c r="AO105" s="113">
        <f>IF(OR(AND($F104&lt;=AO$3, $F105 &gt;= AO$3), AND($F105&lt;AO$3, WORKDAY($F105, 22,Holiday!$A$1:$A$30)&gt;AO$3)), 1, 0)+IF(AND((AO$3-$B$2)&gt;=0,(AO$3-$B$2)&lt;30), 2,0)</f>
        <v>0</v>
      </c>
    </row>
    <row r="106" spans="2:41" ht="14.4" x14ac:dyDescent="0.25">
      <c r="B106" t="s">
        <v>171</v>
      </c>
      <c r="C106" s="112" t="s">
        <v>281</v>
      </c>
      <c r="D106" s="111">
        <v>6</v>
      </c>
      <c r="E106" s="86">
        <f t="shared" si="2"/>
        <v>9</v>
      </c>
      <c r="F106" s="121">
        <f>WORKDAY(F105,E106,Holiday!A100:A129)</f>
        <v>46128</v>
      </c>
      <c r="G106" s="113">
        <f>IF(OR(AND($F105&lt;=G$3, $F106 &gt;= G$3), AND($F106&lt;G$3, WORKDAY($F106, 22,Holiday!$A$1:$A$30)&gt;G$3)), 1, 0)+IF(AND((G$3-$B$2)&gt;=0,(G$3-$B$2)&lt;30), 2,0)</f>
        <v>0</v>
      </c>
      <c r="H106" s="113">
        <f>IF(OR(AND($F105&lt;=H$3, $F106 &gt;= H$3), AND($F106&lt;H$3, WORKDAY($F106, 22,Holiday!$A$1:$A$30)&gt;H$3)), 1, 0)+IF(AND((H$3-$B$2)&gt;=0,(H$3-$B$2)&lt;30), 2,0)</f>
        <v>0</v>
      </c>
      <c r="I106" s="113">
        <f>IF(OR(AND($F105&lt;=I$3, $F106 &gt;= I$3), AND($F106&lt;I$3, WORKDAY($F106, 22,Holiday!$A$1:$A$30)&gt;I$3)), 1, 0)+IF(AND((I$3-$B$2)&gt;=0,(I$3-$B$2)&lt;30), 2,0)</f>
        <v>1</v>
      </c>
      <c r="J106" s="113">
        <f>IF(OR(AND($F105&lt;=J$3, $F106 &gt;= J$3), AND($F106&lt;J$3, WORKDAY($F106, 22,Holiday!$A$1:$A$30)&gt;J$3)), 1, 0)+IF(AND((J$3-$B$2)&gt;=0,(J$3-$B$2)&lt;30), 2,0)</f>
        <v>1</v>
      </c>
      <c r="K106" s="113">
        <f>IF(OR(AND($F105&lt;=K$3, $F106 &gt;= K$3), AND($F106&lt;K$3, WORKDAY($F106, 22,Holiday!$A$1:$A$30)&gt;K$3)), 1, 0)+IF(AND((K$3-$B$2)&gt;=0,(K$3-$B$2)&lt;30), 2,0)</f>
        <v>0</v>
      </c>
      <c r="L106" s="113">
        <f>IF(OR(AND($F105&lt;=L$3, $F106 &gt;= L$3), AND($F106&lt;L$3, WORKDAY($F106, 22,Holiday!$A$1:$A$30)&gt;L$3)), 1, 0)+IF(AND((L$3-$B$2)&gt;=0,(L$3-$B$2)&lt;30), 2,0)</f>
        <v>0</v>
      </c>
      <c r="M106" s="113">
        <f>IF(OR(AND($F105&lt;=M$3, $F106 &gt;= M$3), AND($F106&lt;M$3, WORKDAY($F106, 22,Holiday!$A$1:$A$30)&gt;M$3)), 1, 0)+IF(AND((M$3-$B$2)&gt;=0,(M$3-$B$2)&lt;30), 2,0)</f>
        <v>0</v>
      </c>
      <c r="N106" s="113">
        <f>IF(OR(AND($F105&lt;=N$3, $F106 &gt;= N$3), AND($F106&lt;N$3, WORKDAY($F106, 22,Holiday!$A$1:$A$30)&gt;N$3)), 1, 0)+IF(AND((N$3-$B$2)&gt;=0,(N$3-$B$2)&lt;30), 2,0)</f>
        <v>0</v>
      </c>
      <c r="O106" s="113">
        <f>IF(OR(AND($F105&lt;=O$3, $F106 &gt;= O$3), AND($F106&lt;O$3, WORKDAY($F106, 22,Holiday!$A$1:$A$30)&gt;O$3)), 1, 0)+IF(AND((O$3-$B$2)&gt;=0,(O$3-$B$2)&lt;30), 2,0)</f>
        <v>0</v>
      </c>
      <c r="P106" s="113">
        <f>IF(OR(AND($F105&lt;=P$3, $F106 &gt;= P$3), AND($F106&lt;P$3, WORKDAY($F106, 22,Holiday!$A$1:$A$30)&gt;P$3)), 1, 0)+IF(AND((P$3-$B$2)&gt;=0,(P$3-$B$2)&lt;30), 2,0)</f>
        <v>0</v>
      </c>
      <c r="Q106" s="113">
        <f>IF(OR(AND($F105&lt;=Q$3, $F106 &gt;= Q$3), AND($F106&lt;Q$3, WORKDAY($F106, 22,Holiday!$A$1:$A$30)&gt;Q$3)), 1, 0)+IF(AND((Q$3-$B$2)&gt;=0,(Q$3-$B$2)&lt;30), 2,0)</f>
        <v>2</v>
      </c>
      <c r="R106" s="113">
        <f>IF(OR(AND($F105&lt;=R$3, $F106 &gt;= R$3), AND($F106&lt;R$3, WORKDAY($F106, 22,Holiday!$A$1:$A$30)&gt;R$3)), 1, 0)+IF(AND((R$3-$B$2)&gt;=0,(R$3-$B$2)&lt;30), 2,0)</f>
        <v>0</v>
      </c>
      <c r="S106" s="113">
        <f>IF(OR(AND($F105&lt;=S$3, $F106 &gt;= S$3), AND($F106&lt;S$3, WORKDAY($F106, 22,Holiday!$A$1:$A$30)&gt;S$3)), 1, 0)+IF(AND((S$3-$B$2)&gt;=0,(S$3-$B$2)&lt;30), 2,0)</f>
        <v>0</v>
      </c>
      <c r="T106" s="113">
        <f>IF(OR(AND($F105&lt;=T$3, $F106 &gt;= T$3), AND($F106&lt;T$3, WORKDAY($F106, 22,Holiday!$A$1:$A$30)&gt;T$3)), 1, 0)+IF(AND((T$3-$B$2)&gt;=0,(T$3-$B$2)&lt;30), 2,0)</f>
        <v>0</v>
      </c>
      <c r="U106" s="113">
        <f>IF(OR(AND($F105&lt;=U$3, $F106 &gt;= U$3), AND($F106&lt;U$3, WORKDAY($F106, 22,Holiday!$A$1:$A$30)&gt;U$3)), 1, 0)+IF(AND((U$3-$B$2)&gt;=0,(U$3-$B$2)&lt;30), 2,0)</f>
        <v>0</v>
      </c>
      <c r="V106" s="113">
        <f>IF(OR(AND($F105&lt;=V$3, $F106 &gt;= V$3), AND($F106&lt;V$3, WORKDAY($F106, 22,Holiday!$A$1:$A$30)&gt;V$3)), 1, 0)+IF(AND((V$3-$B$2)&gt;=0,(V$3-$B$2)&lt;30), 2,0)</f>
        <v>0</v>
      </c>
      <c r="W106" s="113">
        <f>IF(OR(AND($F105&lt;=W$3, $F106 &gt;= W$3), AND($F106&lt;W$3, WORKDAY($F106, 22,Holiday!$A$1:$A$30)&gt;W$3)), 1, 0)+IF(AND((W$3-$B$2)&gt;=0,(W$3-$B$2)&lt;30), 2,0)</f>
        <v>0</v>
      </c>
      <c r="X106" s="113">
        <f>IF(OR(AND($F105&lt;=X$3, $F106 &gt;= X$3), AND($F106&lt;X$3, WORKDAY($F106, 22,Holiday!$A$1:$A$30)&gt;X$3)), 1, 0)+IF(AND((X$3-$B$2)&gt;=0,(X$3-$B$2)&lt;30), 2,0)</f>
        <v>0</v>
      </c>
      <c r="Y106" s="113">
        <f>IF(OR(AND($F105&lt;=Y$3, $F106 &gt;= Y$3), AND($F106&lt;Y$3, WORKDAY($F106, 22,Holiday!$A$1:$A$30)&gt;Y$3)), 1, 0)+IF(AND((Y$3-$B$2)&gt;=0,(Y$3-$B$2)&lt;30), 2,0)</f>
        <v>0</v>
      </c>
      <c r="Z106" s="113">
        <f>IF(OR(AND($F105&lt;=Z$3, $F106 &gt;= Z$3), AND($F106&lt;Z$3, WORKDAY($F106, 22,Holiday!$A$1:$A$30)&gt;Z$3)), 1, 0)+IF(AND((Z$3-$B$2)&gt;=0,(Z$3-$B$2)&lt;30), 2,0)</f>
        <v>0</v>
      </c>
      <c r="AA106" s="113">
        <f>IF(OR(AND($F105&lt;=AA$3, $F106 &gt;= AA$3), AND($F106&lt;AA$3, WORKDAY($F106, 22,Holiday!$A$1:$A$30)&gt;AA$3)), 1, 0)+IF(AND((AA$3-$B$2)&gt;=0,(AA$3-$B$2)&lt;30), 2,0)</f>
        <v>0</v>
      </c>
      <c r="AB106" s="113">
        <f>IF(OR(AND($F105&lt;=AB$3, $F106 &gt;= AB$3), AND($F106&lt;AB$3, WORKDAY($F106, 22,Holiday!$A$1:$A$30)&gt;AB$3)), 1, 0)+IF(AND((AB$3-$B$2)&gt;=0,(AB$3-$B$2)&lt;30), 2,0)</f>
        <v>0</v>
      </c>
      <c r="AC106" s="113">
        <f>IF(OR(AND($F105&lt;=AC$3, $F106 &gt;= AC$3), AND($F106&lt;AC$3, WORKDAY($F106, 22,Holiday!$A$1:$A$30)&gt;AC$3)), 1, 0)+IF(AND((AC$3-$B$2)&gt;=0,(AC$3-$B$2)&lt;30), 2,0)</f>
        <v>0</v>
      </c>
      <c r="AD106" s="113">
        <f>IF(OR(AND($F105&lt;=AD$3, $F106 &gt;= AD$3), AND($F106&lt;AD$3, WORKDAY($F106, 22,Holiday!$A$1:$A$30)&gt;AD$3)), 1, 0)+IF(AND((AD$3-$B$2)&gt;=0,(AD$3-$B$2)&lt;30), 2,0)</f>
        <v>0</v>
      </c>
      <c r="AE106" s="113">
        <f>IF(OR(AND($F105&lt;=AE$3, $F106 &gt;= AE$3), AND($F106&lt;AE$3, WORKDAY($F106, 22,Holiday!$A$1:$A$30)&gt;AE$3)), 1, 0)+IF(AND((AE$3-$B$2)&gt;=0,(AE$3-$B$2)&lt;30), 2,0)</f>
        <v>0</v>
      </c>
      <c r="AF106" s="113">
        <f>IF(OR(AND($F105&lt;=AF$3, $F106 &gt;= AF$3), AND($F106&lt;AF$3, WORKDAY($F106, 22,Holiday!$A$1:$A$30)&gt;AF$3)), 1, 0)+IF(AND((AF$3-$B$2)&gt;=0,(AF$3-$B$2)&lt;30), 2,0)</f>
        <v>0</v>
      </c>
      <c r="AG106" s="113">
        <f>IF(OR(AND($F105&lt;=AG$3, $F106 &gt;= AG$3), AND($F106&lt;AG$3, WORKDAY($F106, 22,Holiday!$A$1:$A$30)&gt;AG$3)), 1, 0)+IF(AND((AG$3-$B$2)&gt;=0,(AG$3-$B$2)&lt;30), 2,0)</f>
        <v>0</v>
      </c>
      <c r="AH106" s="113">
        <f>IF(OR(AND($F105&lt;=AH$3, $F106 &gt;= AH$3), AND($F106&lt;AH$3, WORKDAY($F106, 22,Holiday!$A$1:$A$30)&gt;AH$3)), 1, 0)+IF(AND((AH$3-$B$2)&gt;=0,(AH$3-$B$2)&lt;30), 2,0)</f>
        <v>0</v>
      </c>
      <c r="AI106" s="113">
        <f>IF(OR(AND($F105&lt;=AI$3, $F106 &gt;= AI$3), AND($F106&lt;AI$3, WORKDAY($F106, 22,Holiday!$A$1:$A$30)&gt;AI$3)), 1, 0)+IF(AND((AI$3-$B$2)&gt;=0,(AI$3-$B$2)&lt;30), 2,0)</f>
        <v>0</v>
      </c>
      <c r="AJ106" s="113">
        <f>IF(OR(AND($F105&lt;=AJ$3, $F106 &gt;= AJ$3), AND($F106&lt;AJ$3, WORKDAY($F106, 22,Holiday!$A$1:$A$30)&gt;AJ$3)), 1, 0)+IF(AND((AJ$3-$B$2)&gt;=0,(AJ$3-$B$2)&lt;30), 2,0)</f>
        <v>0</v>
      </c>
      <c r="AK106" s="113">
        <f>IF(OR(AND($F105&lt;=AK$3, $F106 &gt;= AK$3), AND($F106&lt;AK$3, WORKDAY($F106, 22,Holiday!$A$1:$A$30)&gt;AK$3)), 1, 0)+IF(AND((AK$3-$B$2)&gt;=0,(AK$3-$B$2)&lt;30), 2,0)</f>
        <v>0</v>
      </c>
      <c r="AL106" s="113">
        <f>IF(OR(AND($F105&lt;=AL$3, $F106 &gt;= AL$3), AND($F106&lt;AL$3, WORKDAY($F106, 22,Holiday!$A$1:$A$30)&gt;AL$3)), 1, 0)+IF(AND((AL$3-$B$2)&gt;=0,(AL$3-$B$2)&lt;30), 2,0)</f>
        <v>0</v>
      </c>
      <c r="AM106" s="113">
        <f>IF(OR(AND($F105&lt;=AM$3, $F106 &gt;= AM$3), AND($F106&lt;AM$3, WORKDAY($F106, 22,Holiday!$A$1:$A$30)&gt;AM$3)), 1, 0)+IF(AND((AM$3-$B$2)&gt;=0,(AM$3-$B$2)&lt;30), 2,0)</f>
        <v>0</v>
      </c>
      <c r="AN106" s="113">
        <f>IF(OR(AND($F105&lt;=AN$3, $F106 &gt;= AN$3), AND($F106&lt;AN$3, WORKDAY($F106, 22,Holiday!$A$1:$A$30)&gt;AN$3)), 1, 0)+IF(AND((AN$3-$B$2)&gt;=0,(AN$3-$B$2)&lt;30), 2,0)</f>
        <v>0</v>
      </c>
      <c r="AO106" s="113">
        <f>IF(OR(AND($F105&lt;=AO$3, $F106 &gt;= AO$3), AND($F106&lt;AO$3, WORKDAY($F106, 22,Holiday!$A$1:$A$30)&gt;AO$3)), 1, 0)+IF(AND((AO$3-$B$2)&gt;=0,(AO$3-$B$2)&lt;30), 2,0)</f>
        <v>0</v>
      </c>
    </row>
    <row r="107" spans="2:41" ht="14.4" x14ac:dyDescent="0.25">
      <c r="B107" t="s">
        <v>184</v>
      </c>
      <c r="C107" s="112" t="s">
        <v>281</v>
      </c>
      <c r="D107" s="111">
        <v>6</v>
      </c>
      <c r="E107" s="86">
        <f t="shared" si="2"/>
        <v>9</v>
      </c>
      <c r="F107" s="121">
        <f>WORKDAY(F106,E107,Holiday!A101:A130)</f>
        <v>46141</v>
      </c>
      <c r="G107" s="113">
        <f>IF(OR(AND($F106&lt;=G$3, $F107 &gt;= G$3), AND($F107&lt;G$3, WORKDAY($F107, 22,Holiday!$A$1:$A$30)&gt;G$3)), 1, 0)+IF(AND((G$3-$B$2)&gt;=0,(G$3-$B$2)&lt;30), 2,0)</f>
        <v>0</v>
      </c>
      <c r="H107" s="113">
        <f>IF(OR(AND($F106&lt;=H$3, $F107 &gt;= H$3), AND($F107&lt;H$3, WORKDAY($F107, 22,Holiday!$A$1:$A$30)&gt;H$3)), 1, 0)+IF(AND((H$3-$B$2)&gt;=0,(H$3-$B$2)&lt;30), 2,0)</f>
        <v>0</v>
      </c>
      <c r="I107" s="113">
        <f>IF(OR(AND($F106&lt;=I$3, $F107 &gt;= I$3), AND($F107&lt;I$3, WORKDAY($F107, 22,Holiday!$A$1:$A$30)&gt;I$3)), 1, 0)+IF(AND((I$3-$B$2)&gt;=0,(I$3-$B$2)&lt;30), 2,0)</f>
        <v>0</v>
      </c>
      <c r="J107" s="113">
        <f>IF(OR(AND($F106&lt;=J$3, $F107 &gt;= J$3), AND($F107&lt;J$3, WORKDAY($F107, 22,Holiday!$A$1:$A$30)&gt;J$3)), 1, 0)+IF(AND((J$3-$B$2)&gt;=0,(J$3-$B$2)&lt;30), 2,0)</f>
        <v>1</v>
      </c>
      <c r="K107" s="113">
        <f>IF(OR(AND($F106&lt;=K$3, $F107 &gt;= K$3), AND($F107&lt;K$3, WORKDAY($F107, 22,Holiday!$A$1:$A$30)&gt;K$3)), 1, 0)+IF(AND((K$3-$B$2)&gt;=0,(K$3-$B$2)&lt;30), 2,0)</f>
        <v>0</v>
      </c>
      <c r="L107" s="113">
        <f>IF(OR(AND($F106&lt;=L$3, $F107 &gt;= L$3), AND($F107&lt;L$3, WORKDAY($F107, 22,Holiday!$A$1:$A$30)&gt;L$3)), 1, 0)+IF(AND((L$3-$B$2)&gt;=0,(L$3-$B$2)&lt;30), 2,0)</f>
        <v>0</v>
      </c>
      <c r="M107" s="113">
        <f>IF(OR(AND($F106&lt;=M$3, $F107 &gt;= M$3), AND($F107&lt;M$3, WORKDAY($F107, 22,Holiday!$A$1:$A$30)&gt;M$3)), 1, 0)+IF(AND((M$3-$B$2)&gt;=0,(M$3-$B$2)&lt;30), 2,0)</f>
        <v>0</v>
      </c>
      <c r="N107" s="113">
        <f>IF(OR(AND($F106&lt;=N$3, $F107 &gt;= N$3), AND($F107&lt;N$3, WORKDAY($F107, 22,Holiday!$A$1:$A$30)&gt;N$3)), 1, 0)+IF(AND((N$3-$B$2)&gt;=0,(N$3-$B$2)&lt;30), 2,0)</f>
        <v>0</v>
      </c>
      <c r="O107" s="113">
        <f>IF(OR(AND($F106&lt;=O$3, $F107 &gt;= O$3), AND($F107&lt;O$3, WORKDAY($F107, 22,Holiday!$A$1:$A$30)&gt;O$3)), 1, 0)+IF(AND((O$3-$B$2)&gt;=0,(O$3-$B$2)&lt;30), 2,0)</f>
        <v>0</v>
      </c>
      <c r="P107" s="113">
        <f>IF(OR(AND($F106&lt;=P$3, $F107 &gt;= P$3), AND($F107&lt;P$3, WORKDAY($F107, 22,Holiday!$A$1:$A$30)&gt;P$3)), 1, 0)+IF(AND((P$3-$B$2)&gt;=0,(P$3-$B$2)&lt;30), 2,0)</f>
        <v>0</v>
      </c>
      <c r="Q107" s="113">
        <f>IF(OR(AND($F106&lt;=Q$3, $F107 &gt;= Q$3), AND($F107&lt;Q$3, WORKDAY($F107, 22,Holiday!$A$1:$A$30)&gt;Q$3)), 1, 0)+IF(AND((Q$3-$B$2)&gt;=0,(Q$3-$B$2)&lt;30), 2,0)</f>
        <v>2</v>
      </c>
      <c r="R107" s="113">
        <f>IF(OR(AND($F106&lt;=R$3, $F107 &gt;= R$3), AND($F107&lt;R$3, WORKDAY($F107, 22,Holiday!$A$1:$A$30)&gt;R$3)), 1, 0)+IF(AND((R$3-$B$2)&gt;=0,(R$3-$B$2)&lt;30), 2,0)</f>
        <v>0</v>
      </c>
      <c r="S107" s="113">
        <f>IF(OR(AND($F106&lt;=S$3, $F107 &gt;= S$3), AND($F107&lt;S$3, WORKDAY($F107, 22,Holiday!$A$1:$A$30)&gt;S$3)), 1, 0)+IF(AND((S$3-$B$2)&gt;=0,(S$3-$B$2)&lt;30), 2,0)</f>
        <v>0</v>
      </c>
      <c r="T107" s="113">
        <f>IF(OR(AND($F106&lt;=T$3, $F107 &gt;= T$3), AND($F107&lt;T$3, WORKDAY($F107, 22,Holiday!$A$1:$A$30)&gt;T$3)), 1, 0)+IF(AND((T$3-$B$2)&gt;=0,(T$3-$B$2)&lt;30), 2,0)</f>
        <v>0</v>
      </c>
      <c r="U107" s="113">
        <f>IF(OR(AND($F106&lt;=U$3, $F107 &gt;= U$3), AND($F107&lt;U$3, WORKDAY($F107, 22,Holiday!$A$1:$A$30)&gt;U$3)), 1, 0)+IF(AND((U$3-$B$2)&gt;=0,(U$3-$B$2)&lt;30), 2,0)</f>
        <v>0</v>
      </c>
      <c r="V107" s="113">
        <f>IF(OR(AND($F106&lt;=V$3, $F107 &gt;= V$3), AND($F107&lt;V$3, WORKDAY($F107, 22,Holiday!$A$1:$A$30)&gt;V$3)), 1, 0)+IF(AND((V$3-$B$2)&gt;=0,(V$3-$B$2)&lt;30), 2,0)</f>
        <v>0</v>
      </c>
      <c r="W107" s="113">
        <f>IF(OR(AND($F106&lt;=W$3, $F107 &gt;= W$3), AND($F107&lt;W$3, WORKDAY($F107, 22,Holiday!$A$1:$A$30)&gt;W$3)), 1, 0)+IF(AND((W$3-$B$2)&gt;=0,(W$3-$B$2)&lt;30), 2,0)</f>
        <v>0</v>
      </c>
      <c r="X107" s="113">
        <f>IF(OR(AND($F106&lt;=X$3, $F107 &gt;= X$3), AND($F107&lt;X$3, WORKDAY($F107, 22,Holiday!$A$1:$A$30)&gt;X$3)), 1, 0)+IF(AND((X$3-$B$2)&gt;=0,(X$3-$B$2)&lt;30), 2,0)</f>
        <v>0</v>
      </c>
      <c r="Y107" s="113">
        <f>IF(OR(AND($F106&lt;=Y$3, $F107 &gt;= Y$3), AND($F107&lt;Y$3, WORKDAY($F107, 22,Holiday!$A$1:$A$30)&gt;Y$3)), 1, 0)+IF(AND((Y$3-$B$2)&gt;=0,(Y$3-$B$2)&lt;30), 2,0)</f>
        <v>0</v>
      </c>
      <c r="Z107" s="113">
        <f>IF(OR(AND($F106&lt;=Z$3, $F107 &gt;= Z$3), AND($F107&lt;Z$3, WORKDAY($F107, 22,Holiday!$A$1:$A$30)&gt;Z$3)), 1, 0)+IF(AND((Z$3-$B$2)&gt;=0,(Z$3-$B$2)&lt;30), 2,0)</f>
        <v>0</v>
      </c>
      <c r="AA107" s="113">
        <f>IF(OR(AND($F106&lt;=AA$3, $F107 &gt;= AA$3), AND($F107&lt;AA$3, WORKDAY($F107, 22,Holiday!$A$1:$A$30)&gt;AA$3)), 1, 0)+IF(AND((AA$3-$B$2)&gt;=0,(AA$3-$B$2)&lt;30), 2,0)</f>
        <v>0</v>
      </c>
      <c r="AB107" s="113">
        <f>IF(OR(AND($F106&lt;=AB$3, $F107 &gt;= AB$3), AND($F107&lt;AB$3, WORKDAY($F107, 22,Holiday!$A$1:$A$30)&gt;AB$3)), 1, 0)+IF(AND((AB$3-$B$2)&gt;=0,(AB$3-$B$2)&lt;30), 2,0)</f>
        <v>0</v>
      </c>
      <c r="AC107" s="113">
        <f>IF(OR(AND($F106&lt;=AC$3, $F107 &gt;= AC$3), AND($F107&lt;AC$3, WORKDAY($F107, 22,Holiday!$A$1:$A$30)&gt;AC$3)), 1, 0)+IF(AND((AC$3-$B$2)&gt;=0,(AC$3-$B$2)&lt;30), 2,0)</f>
        <v>0</v>
      </c>
      <c r="AD107" s="113">
        <f>IF(OR(AND($F106&lt;=AD$3, $F107 &gt;= AD$3), AND($F107&lt;AD$3, WORKDAY($F107, 22,Holiday!$A$1:$A$30)&gt;AD$3)), 1, 0)+IF(AND((AD$3-$B$2)&gt;=0,(AD$3-$B$2)&lt;30), 2,0)</f>
        <v>0</v>
      </c>
      <c r="AE107" s="113">
        <f>IF(OR(AND($F106&lt;=AE$3, $F107 &gt;= AE$3), AND($F107&lt;AE$3, WORKDAY($F107, 22,Holiday!$A$1:$A$30)&gt;AE$3)), 1, 0)+IF(AND((AE$3-$B$2)&gt;=0,(AE$3-$B$2)&lt;30), 2,0)</f>
        <v>0</v>
      </c>
      <c r="AF107" s="113">
        <f>IF(OR(AND($F106&lt;=AF$3, $F107 &gt;= AF$3), AND($F107&lt;AF$3, WORKDAY($F107, 22,Holiday!$A$1:$A$30)&gt;AF$3)), 1, 0)+IF(AND((AF$3-$B$2)&gt;=0,(AF$3-$B$2)&lt;30), 2,0)</f>
        <v>0</v>
      </c>
      <c r="AG107" s="113">
        <f>IF(OR(AND($F106&lt;=AG$3, $F107 &gt;= AG$3), AND($F107&lt;AG$3, WORKDAY($F107, 22,Holiday!$A$1:$A$30)&gt;AG$3)), 1, 0)+IF(AND((AG$3-$B$2)&gt;=0,(AG$3-$B$2)&lt;30), 2,0)</f>
        <v>0</v>
      </c>
      <c r="AH107" s="113">
        <f>IF(OR(AND($F106&lt;=AH$3, $F107 &gt;= AH$3), AND($F107&lt;AH$3, WORKDAY($F107, 22,Holiday!$A$1:$A$30)&gt;AH$3)), 1, 0)+IF(AND((AH$3-$B$2)&gt;=0,(AH$3-$B$2)&lt;30), 2,0)</f>
        <v>0</v>
      </c>
      <c r="AI107" s="113">
        <f>IF(OR(AND($F106&lt;=AI$3, $F107 &gt;= AI$3), AND($F107&lt;AI$3, WORKDAY($F107, 22,Holiday!$A$1:$A$30)&gt;AI$3)), 1, 0)+IF(AND((AI$3-$B$2)&gt;=0,(AI$3-$B$2)&lt;30), 2,0)</f>
        <v>0</v>
      </c>
      <c r="AJ107" s="113">
        <f>IF(OR(AND($F106&lt;=AJ$3, $F107 &gt;= AJ$3), AND($F107&lt;AJ$3, WORKDAY($F107, 22,Holiday!$A$1:$A$30)&gt;AJ$3)), 1, 0)+IF(AND((AJ$3-$B$2)&gt;=0,(AJ$3-$B$2)&lt;30), 2,0)</f>
        <v>0</v>
      </c>
      <c r="AK107" s="113">
        <f>IF(OR(AND($F106&lt;=AK$3, $F107 &gt;= AK$3), AND($F107&lt;AK$3, WORKDAY($F107, 22,Holiday!$A$1:$A$30)&gt;AK$3)), 1, 0)+IF(AND((AK$3-$B$2)&gt;=0,(AK$3-$B$2)&lt;30), 2,0)</f>
        <v>0</v>
      </c>
      <c r="AL107" s="113">
        <f>IF(OR(AND($F106&lt;=AL$3, $F107 &gt;= AL$3), AND($F107&lt;AL$3, WORKDAY($F107, 22,Holiday!$A$1:$A$30)&gt;AL$3)), 1, 0)+IF(AND((AL$3-$B$2)&gt;=0,(AL$3-$B$2)&lt;30), 2,0)</f>
        <v>0</v>
      </c>
      <c r="AM107" s="113">
        <f>IF(OR(AND($F106&lt;=AM$3, $F107 &gt;= AM$3), AND($F107&lt;AM$3, WORKDAY($F107, 22,Holiday!$A$1:$A$30)&gt;AM$3)), 1, 0)+IF(AND((AM$3-$B$2)&gt;=0,(AM$3-$B$2)&lt;30), 2,0)</f>
        <v>0</v>
      </c>
      <c r="AN107" s="113">
        <f>IF(OR(AND($F106&lt;=AN$3, $F107 &gt;= AN$3), AND($F107&lt;AN$3, WORKDAY($F107, 22,Holiday!$A$1:$A$30)&gt;AN$3)), 1, 0)+IF(AND((AN$3-$B$2)&gt;=0,(AN$3-$B$2)&lt;30), 2,0)</f>
        <v>0</v>
      </c>
      <c r="AO107" s="113">
        <f>IF(OR(AND($F106&lt;=AO$3, $F107 &gt;= AO$3), AND($F107&lt;AO$3, WORKDAY($F107, 22,Holiday!$A$1:$A$30)&gt;AO$3)), 1, 0)+IF(AND((AO$3-$B$2)&gt;=0,(AO$3-$B$2)&lt;30), 2,0)</f>
        <v>0</v>
      </c>
    </row>
    <row r="108" spans="2:41" ht="14.4" x14ac:dyDescent="0.25">
      <c r="B108" t="s">
        <v>146</v>
      </c>
      <c r="C108" s="112" t="s">
        <v>281</v>
      </c>
      <c r="D108" s="111">
        <v>6</v>
      </c>
      <c r="E108" s="86">
        <f t="shared" si="2"/>
        <v>9</v>
      </c>
      <c r="F108" s="121">
        <f>WORKDAY(F107,E108,Holiday!A102:A131)</f>
        <v>46154</v>
      </c>
      <c r="G108" s="113">
        <f>IF(OR(AND($F107&lt;=G$3, $F108 &gt;= G$3), AND($F108&lt;G$3, WORKDAY($F108, 22,Holiday!$A$1:$A$30)&gt;G$3)), 1, 0)+IF(AND((G$3-$B$2)&gt;=0,(G$3-$B$2)&lt;30), 2,0)</f>
        <v>0</v>
      </c>
      <c r="H108" s="113">
        <f>IF(OR(AND($F107&lt;=H$3, $F108 &gt;= H$3), AND($F108&lt;H$3, WORKDAY($F108, 22,Holiday!$A$1:$A$30)&gt;H$3)), 1, 0)+IF(AND((H$3-$B$2)&gt;=0,(H$3-$B$2)&lt;30), 2,0)</f>
        <v>0</v>
      </c>
      <c r="I108" s="113">
        <f>IF(OR(AND($F107&lt;=I$3, $F108 &gt;= I$3), AND($F108&lt;I$3, WORKDAY($F108, 22,Holiday!$A$1:$A$30)&gt;I$3)), 1, 0)+IF(AND((I$3-$B$2)&gt;=0,(I$3-$B$2)&lt;30), 2,0)</f>
        <v>0</v>
      </c>
      <c r="J108" s="113">
        <f>IF(OR(AND($F107&lt;=J$3, $F108 &gt;= J$3), AND($F108&lt;J$3, WORKDAY($F108, 22,Holiday!$A$1:$A$30)&gt;J$3)), 1, 0)+IF(AND((J$3-$B$2)&gt;=0,(J$3-$B$2)&lt;30), 2,0)</f>
        <v>1</v>
      </c>
      <c r="K108" s="113">
        <f>IF(OR(AND($F107&lt;=K$3, $F108 &gt;= K$3), AND($F108&lt;K$3, WORKDAY($F108, 22,Holiday!$A$1:$A$30)&gt;K$3)), 1, 0)+IF(AND((K$3-$B$2)&gt;=0,(K$3-$B$2)&lt;30), 2,0)</f>
        <v>1</v>
      </c>
      <c r="L108" s="113">
        <f>IF(OR(AND($F107&lt;=L$3, $F108 &gt;= L$3), AND($F108&lt;L$3, WORKDAY($F108, 22,Holiday!$A$1:$A$30)&gt;L$3)), 1, 0)+IF(AND((L$3-$B$2)&gt;=0,(L$3-$B$2)&lt;30), 2,0)</f>
        <v>0</v>
      </c>
      <c r="M108" s="113">
        <f>IF(OR(AND($F107&lt;=M$3, $F108 &gt;= M$3), AND($F108&lt;M$3, WORKDAY($F108, 22,Holiday!$A$1:$A$30)&gt;M$3)), 1, 0)+IF(AND((M$3-$B$2)&gt;=0,(M$3-$B$2)&lt;30), 2,0)</f>
        <v>0</v>
      </c>
      <c r="N108" s="113">
        <f>IF(OR(AND($F107&lt;=N$3, $F108 &gt;= N$3), AND($F108&lt;N$3, WORKDAY($F108, 22,Holiday!$A$1:$A$30)&gt;N$3)), 1, 0)+IF(AND((N$3-$B$2)&gt;=0,(N$3-$B$2)&lt;30), 2,0)</f>
        <v>0</v>
      </c>
      <c r="O108" s="113">
        <f>IF(OR(AND($F107&lt;=O$3, $F108 &gt;= O$3), AND($F108&lt;O$3, WORKDAY($F108, 22,Holiday!$A$1:$A$30)&gt;O$3)), 1, 0)+IF(AND((O$3-$B$2)&gt;=0,(O$3-$B$2)&lt;30), 2,0)</f>
        <v>0</v>
      </c>
      <c r="P108" s="113">
        <f>IF(OR(AND($F107&lt;=P$3, $F108 &gt;= P$3), AND($F108&lt;P$3, WORKDAY($F108, 22,Holiday!$A$1:$A$30)&gt;P$3)), 1, 0)+IF(AND((P$3-$B$2)&gt;=0,(P$3-$B$2)&lt;30), 2,0)</f>
        <v>0</v>
      </c>
      <c r="Q108" s="113">
        <f>IF(OR(AND($F107&lt;=Q$3, $F108 &gt;= Q$3), AND($F108&lt;Q$3, WORKDAY($F108, 22,Holiday!$A$1:$A$30)&gt;Q$3)), 1, 0)+IF(AND((Q$3-$B$2)&gt;=0,(Q$3-$B$2)&lt;30), 2,0)</f>
        <v>2</v>
      </c>
      <c r="R108" s="113">
        <f>IF(OR(AND($F107&lt;=R$3, $F108 &gt;= R$3), AND($F108&lt;R$3, WORKDAY($F108, 22,Holiday!$A$1:$A$30)&gt;R$3)), 1, 0)+IF(AND((R$3-$B$2)&gt;=0,(R$3-$B$2)&lt;30), 2,0)</f>
        <v>0</v>
      </c>
      <c r="S108" s="113">
        <f>IF(OR(AND($F107&lt;=S$3, $F108 &gt;= S$3), AND($F108&lt;S$3, WORKDAY($F108, 22,Holiday!$A$1:$A$30)&gt;S$3)), 1, 0)+IF(AND((S$3-$B$2)&gt;=0,(S$3-$B$2)&lt;30), 2,0)</f>
        <v>0</v>
      </c>
      <c r="T108" s="113">
        <f>IF(OR(AND($F107&lt;=T$3, $F108 &gt;= T$3), AND($F108&lt;T$3, WORKDAY($F108, 22,Holiday!$A$1:$A$30)&gt;T$3)), 1, 0)+IF(AND((T$3-$B$2)&gt;=0,(T$3-$B$2)&lt;30), 2,0)</f>
        <v>0</v>
      </c>
      <c r="U108" s="113">
        <f>IF(OR(AND($F107&lt;=U$3, $F108 &gt;= U$3), AND($F108&lt;U$3, WORKDAY($F108, 22,Holiday!$A$1:$A$30)&gt;U$3)), 1, 0)+IF(AND((U$3-$B$2)&gt;=0,(U$3-$B$2)&lt;30), 2,0)</f>
        <v>0</v>
      </c>
      <c r="V108" s="113">
        <f>IF(OR(AND($F107&lt;=V$3, $F108 &gt;= V$3), AND($F108&lt;V$3, WORKDAY($F108, 22,Holiday!$A$1:$A$30)&gt;V$3)), 1, 0)+IF(AND((V$3-$B$2)&gt;=0,(V$3-$B$2)&lt;30), 2,0)</f>
        <v>0</v>
      </c>
      <c r="W108" s="113">
        <f>IF(OR(AND($F107&lt;=W$3, $F108 &gt;= W$3), AND($F108&lt;W$3, WORKDAY($F108, 22,Holiday!$A$1:$A$30)&gt;W$3)), 1, 0)+IF(AND((W$3-$B$2)&gt;=0,(W$3-$B$2)&lt;30), 2,0)</f>
        <v>0</v>
      </c>
      <c r="X108" s="113">
        <f>IF(OR(AND($F107&lt;=X$3, $F108 &gt;= X$3), AND($F108&lt;X$3, WORKDAY($F108, 22,Holiday!$A$1:$A$30)&gt;X$3)), 1, 0)+IF(AND((X$3-$B$2)&gt;=0,(X$3-$B$2)&lt;30), 2,0)</f>
        <v>0</v>
      </c>
      <c r="Y108" s="113">
        <f>IF(OR(AND($F107&lt;=Y$3, $F108 &gt;= Y$3), AND($F108&lt;Y$3, WORKDAY($F108, 22,Holiday!$A$1:$A$30)&gt;Y$3)), 1, 0)+IF(AND((Y$3-$B$2)&gt;=0,(Y$3-$B$2)&lt;30), 2,0)</f>
        <v>0</v>
      </c>
      <c r="Z108" s="113">
        <f>IF(OR(AND($F107&lt;=Z$3, $F108 &gt;= Z$3), AND($F108&lt;Z$3, WORKDAY($F108, 22,Holiday!$A$1:$A$30)&gt;Z$3)), 1, 0)+IF(AND((Z$3-$B$2)&gt;=0,(Z$3-$B$2)&lt;30), 2,0)</f>
        <v>0</v>
      </c>
      <c r="AA108" s="113">
        <f>IF(OR(AND($F107&lt;=AA$3, $F108 &gt;= AA$3), AND($F108&lt;AA$3, WORKDAY($F108, 22,Holiday!$A$1:$A$30)&gt;AA$3)), 1, 0)+IF(AND((AA$3-$B$2)&gt;=0,(AA$3-$B$2)&lt;30), 2,0)</f>
        <v>0</v>
      </c>
      <c r="AB108" s="113">
        <f>IF(OR(AND($F107&lt;=AB$3, $F108 &gt;= AB$3), AND($F108&lt;AB$3, WORKDAY($F108, 22,Holiday!$A$1:$A$30)&gt;AB$3)), 1, 0)+IF(AND((AB$3-$B$2)&gt;=0,(AB$3-$B$2)&lt;30), 2,0)</f>
        <v>0</v>
      </c>
      <c r="AC108" s="113">
        <f>IF(OR(AND($F107&lt;=AC$3, $F108 &gt;= AC$3), AND($F108&lt;AC$3, WORKDAY($F108, 22,Holiday!$A$1:$A$30)&gt;AC$3)), 1, 0)+IF(AND((AC$3-$B$2)&gt;=0,(AC$3-$B$2)&lt;30), 2,0)</f>
        <v>0</v>
      </c>
      <c r="AD108" s="113">
        <f>IF(OR(AND($F107&lt;=AD$3, $F108 &gt;= AD$3), AND($F108&lt;AD$3, WORKDAY($F108, 22,Holiday!$A$1:$A$30)&gt;AD$3)), 1, 0)+IF(AND((AD$3-$B$2)&gt;=0,(AD$3-$B$2)&lt;30), 2,0)</f>
        <v>0</v>
      </c>
      <c r="AE108" s="113">
        <f>IF(OR(AND($F107&lt;=AE$3, $F108 &gt;= AE$3), AND($F108&lt;AE$3, WORKDAY($F108, 22,Holiday!$A$1:$A$30)&gt;AE$3)), 1, 0)+IF(AND((AE$3-$B$2)&gt;=0,(AE$3-$B$2)&lt;30), 2,0)</f>
        <v>0</v>
      </c>
      <c r="AF108" s="113">
        <f>IF(OR(AND($F107&lt;=AF$3, $F108 &gt;= AF$3), AND($F108&lt;AF$3, WORKDAY($F108, 22,Holiday!$A$1:$A$30)&gt;AF$3)), 1, 0)+IF(AND((AF$3-$B$2)&gt;=0,(AF$3-$B$2)&lt;30), 2,0)</f>
        <v>0</v>
      </c>
      <c r="AG108" s="113">
        <f>IF(OR(AND($F107&lt;=AG$3, $F108 &gt;= AG$3), AND($F108&lt;AG$3, WORKDAY($F108, 22,Holiday!$A$1:$A$30)&gt;AG$3)), 1, 0)+IF(AND((AG$3-$B$2)&gt;=0,(AG$3-$B$2)&lt;30), 2,0)</f>
        <v>0</v>
      </c>
      <c r="AH108" s="113">
        <f>IF(OR(AND($F107&lt;=AH$3, $F108 &gt;= AH$3), AND($F108&lt;AH$3, WORKDAY($F108, 22,Holiday!$A$1:$A$30)&gt;AH$3)), 1, 0)+IF(AND((AH$3-$B$2)&gt;=0,(AH$3-$B$2)&lt;30), 2,0)</f>
        <v>0</v>
      </c>
      <c r="AI108" s="113">
        <f>IF(OR(AND($F107&lt;=AI$3, $F108 &gt;= AI$3), AND($F108&lt;AI$3, WORKDAY($F108, 22,Holiday!$A$1:$A$30)&gt;AI$3)), 1, 0)+IF(AND((AI$3-$B$2)&gt;=0,(AI$3-$B$2)&lt;30), 2,0)</f>
        <v>0</v>
      </c>
      <c r="AJ108" s="113">
        <f>IF(OR(AND($F107&lt;=AJ$3, $F108 &gt;= AJ$3), AND($F108&lt;AJ$3, WORKDAY($F108, 22,Holiday!$A$1:$A$30)&gt;AJ$3)), 1, 0)+IF(AND((AJ$3-$B$2)&gt;=0,(AJ$3-$B$2)&lt;30), 2,0)</f>
        <v>0</v>
      </c>
      <c r="AK108" s="113">
        <f>IF(OR(AND($F107&lt;=AK$3, $F108 &gt;= AK$3), AND($F108&lt;AK$3, WORKDAY($F108, 22,Holiday!$A$1:$A$30)&gt;AK$3)), 1, 0)+IF(AND((AK$3-$B$2)&gt;=0,(AK$3-$B$2)&lt;30), 2,0)</f>
        <v>0</v>
      </c>
      <c r="AL108" s="113">
        <f>IF(OR(AND($F107&lt;=AL$3, $F108 &gt;= AL$3), AND($F108&lt;AL$3, WORKDAY($F108, 22,Holiday!$A$1:$A$30)&gt;AL$3)), 1, 0)+IF(AND((AL$3-$B$2)&gt;=0,(AL$3-$B$2)&lt;30), 2,0)</f>
        <v>0</v>
      </c>
      <c r="AM108" s="113">
        <f>IF(OR(AND($F107&lt;=AM$3, $F108 &gt;= AM$3), AND($F108&lt;AM$3, WORKDAY($F108, 22,Holiday!$A$1:$A$30)&gt;AM$3)), 1, 0)+IF(AND((AM$3-$B$2)&gt;=0,(AM$3-$B$2)&lt;30), 2,0)</f>
        <v>0</v>
      </c>
      <c r="AN108" s="113">
        <f>IF(OR(AND($F107&lt;=AN$3, $F108 &gt;= AN$3), AND($F108&lt;AN$3, WORKDAY($F108, 22,Holiday!$A$1:$A$30)&gt;AN$3)), 1, 0)+IF(AND((AN$3-$B$2)&gt;=0,(AN$3-$B$2)&lt;30), 2,0)</f>
        <v>0</v>
      </c>
      <c r="AO108" s="113">
        <f>IF(OR(AND($F107&lt;=AO$3, $F108 &gt;= AO$3), AND($F108&lt;AO$3, WORKDAY($F108, 22,Holiday!$A$1:$A$30)&gt;AO$3)), 1, 0)+IF(AND((AO$3-$B$2)&gt;=0,(AO$3-$B$2)&lt;30), 2,0)</f>
        <v>0</v>
      </c>
    </row>
    <row r="109" spans="2:41" ht="14.4" x14ac:dyDescent="0.25">
      <c r="B109" t="s">
        <v>170</v>
      </c>
      <c r="C109" s="112" t="s">
        <v>281</v>
      </c>
      <c r="D109" s="111">
        <v>6</v>
      </c>
      <c r="E109" s="86">
        <f t="shared" si="2"/>
        <v>9</v>
      </c>
      <c r="F109" s="121">
        <f>WORKDAY(F108,E109,Holiday!A103:A132)</f>
        <v>46167</v>
      </c>
      <c r="G109" s="113">
        <f>IF(OR(AND($F108&lt;=G$3, $F109 &gt;= G$3), AND($F109&lt;G$3, WORKDAY($F109, 22,Holiday!$A$1:$A$30)&gt;G$3)), 1, 0)+IF(AND((G$3-$B$2)&gt;=0,(G$3-$B$2)&lt;30), 2,0)</f>
        <v>0</v>
      </c>
      <c r="H109" s="113">
        <f>IF(OR(AND($F108&lt;=H$3, $F109 &gt;= H$3), AND($F109&lt;H$3, WORKDAY($F109, 22,Holiday!$A$1:$A$30)&gt;H$3)), 1, 0)+IF(AND((H$3-$B$2)&gt;=0,(H$3-$B$2)&lt;30), 2,0)</f>
        <v>0</v>
      </c>
      <c r="I109" s="113">
        <f>IF(OR(AND($F108&lt;=I$3, $F109 &gt;= I$3), AND($F109&lt;I$3, WORKDAY($F109, 22,Holiday!$A$1:$A$30)&gt;I$3)), 1, 0)+IF(AND((I$3-$B$2)&gt;=0,(I$3-$B$2)&lt;30), 2,0)</f>
        <v>0</v>
      </c>
      <c r="J109" s="113">
        <f>IF(OR(AND($F108&lt;=J$3, $F109 &gt;= J$3), AND($F109&lt;J$3, WORKDAY($F109, 22,Holiday!$A$1:$A$30)&gt;J$3)), 1, 0)+IF(AND((J$3-$B$2)&gt;=0,(J$3-$B$2)&lt;30), 2,0)</f>
        <v>0</v>
      </c>
      <c r="K109" s="113">
        <f>IF(OR(AND($F108&lt;=K$3, $F109 &gt;= K$3), AND($F109&lt;K$3, WORKDAY($F109, 22,Holiday!$A$1:$A$30)&gt;K$3)), 1, 0)+IF(AND((K$3-$B$2)&gt;=0,(K$3-$B$2)&lt;30), 2,0)</f>
        <v>1</v>
      </c>
      <c r="L109" s="113">
        <f>IF(OR(AND($F108&lt;=L$3, $F109 &gt;= L$3), AND($F109&lt;L$3, WORKDAY($F109, 22,Holiday!$A$1:$A$30)&gt;L$3)), 1, 0)+IF(AND((L$3-$B$2)&gt;=0,(L$3-$B$2)&lt;30), 2,0)</f>
        <v>0</v>
      </c>
      <c r="M109" s="113">
        <f>IF(OR(AND($F108&lt;=M$3, $F109 &gt;= M$3), AND($F109&lt;M$3, WORKDAY($F109, 22,Holiday!$A$1:$A$30)&gt;M$3)), 1, 0)+IF(AND((M$3-$B$2)&gt;=0,(M$3-$B$2)&lt;30), 2,0)</f>
        <v>0</v>
      </c>
      <c r="N109" s="113">
        <f>IF(OR(AND($F108&lt;=N$3, $F109 &gt;= N$3), AND($F109&lt;N$3, WORKDAY($F109, 22,Holiday!$A$1:$A$30)&gt;N$3)), 1, 0)+IF(AND((N$3-$B$2)&gt;=0,(N$3-$B$2)&lt;30), 2,0)</f>
        <v>0</v>
      </c>
      <c r="O109" s="113">
        <f>IF(OR(AND($F108&lt;=O$3, $F109 &gt;= O$3), AND($F109&lt;O$3, WORKDAY($F109, 22,Holiday!$A$1:$A$30)&gt;O$3)), 1, 0)+IF(AND((O$3-$B$2)&gt;=0,(O$3-$B$2)&lt;30), 2,0)</f>
        <v>0</v>
      </c>
      <c r="P109" s="113">
        <f>IF(OR(AND($F108&lt;=P$3, $F109 &gt;= P$3), AND($F109&lt;P$3, WORKDAY($F109, 22,Holiday!$A$1:$A$30)&gt;P$3)), 1, 0)+IF(AND((P$3-$B$2)&gt;=0,(P$3-$B$2)&lt;30), 2,0)</f>
        <v>0</v>
      </c>
      <c r="Q109" s="113">
        <f>IF(OR(AND($F108&lt;=Q$3, $F109 &gt;= Q$3), AND($F109&lt;Q$3, WORKDAY($F109, 22,Holiday!$A$1:$A$30)&gt;Q$3)), 1, 0)+IF(AND((Q$3-$B$2)&gt;=0,(Q$3-$B$2)&lt;30), 2,0)</f>
        <v>2</v>
      </c>
      <c r="R109" s="113">
        <f>IF(OR(AND($F108&lt;=R$3, $F109 &gt;= R$3), AND($F109&lt;R$3, WORKDAY($F109, 22,Holiday!$A$1:$A$30)&gt;R$3)), 1, 0)+IF(AND((R$3-$B$2)&gt;=0,(R$3-$B$2)&lt;30), 2,0)</f>
        <v>0</v>
      </c>
      <c r="S109" s="113">
        <f>IF(OR(AND($F108&lt;=S$3, $F109 &gt;= S$3), AND($F109&lt;S$3, WORKDAY($F109, 22,Holiday!$A$1:$A$30)&gt;S$3)), 1, 0)+IF(AND((S$3-$B$2)&gt;=0,(S$3-$B$2)&lt;30), 2,0)</f>
        <v>0</v>
      </c>
      <c r="T109" s="113">
        <f>IF(OR(AND($F108&lt;=T$3, $F109 &gt;= T$3), AND($F109&lt;T$3, WORKDAY($F109, 22,Holiday!$A$1:$A$30)&gt;T$3)), 1, 0)+IF(AND((T$3-$B$2)&gt;=0,(T$3-$B$2)&lt;30), 2,0)</f>
        <v>0</v>
      </c>
      <c r="U109" s="113">
        <f>IF(OR(AND($F108&lt;=U$3, $F109 &gt;= U$3), AND($F109&lt;U$3, WORKDAY($F109, 22,Holiday!$A$1:$A$30)&gt;U$3)), 1, 0)+IF(AND((U$3-$B$2)&gt;=0,(U$3-$B$2)&lt;30), 2,0)</f>
        <v>0</v>
      </c>
      <c r="V109" s="113">
        <f>IF(OR(AND($F108&lt;=V$3, $F109 &gt;= V$3), AND($F109&lt;V$3, WORKDAY($F109, 22,Holiday!$A$1:$A$30)&gt;V$3)), 1, 0)+IF(AND((V$3-$B$2)&gt;=0,(V$3-$B$2)&lt;30), 2,0)</f>
        <v>0</v>
      </c>
      <c r="W109" s="113">
        <f>IF(OR(AND($F108&lt;=W$3, $F109 &gt;= W$3), AND($F109&lt;W$3, WORKDAY($F109, 22,Holiday!$A$1:$A$30)&gt;W$3)), 1, 0)+IF(AND((W$3-$B$2)&gt;=0,(W$3-$B$2)&lt;30), 2,0)</f>
        <v>0</v>
      </c>
      <c r="X109" s="113">
        <f>IF(OR(AND($F108&lt;=X$3, $F109 &gt;= X$3), AND($F109&lt;X$3, WORKDAY($F109, 22,Holiday!$A$1:$A$30)&gt;X$3)), 1, 0)+IF(AND((X$3-$B$2)&gt;=0,(X$3-$B$2)&lt;30), 2,0)</f>
        <v>0</v>
      </c>
      <c r="Y109" s="113">
        <f>IF(OR(AND($F108&lt;=Y$3, $F109 &gt;= Y$3), AND($F109&lt;Y$3, WORKDAY($F109, 22,Holiday!$A$1:$A$30)&gt;Y$3)), 1, 0)+IF(AND((Y$3-$B$2)&gt;=0,(Y$3-$B$2)&lt;30), 2,0)</f>
        <v>0</v>
      </c>
      <c r="Z109" s="113">
        <f>IF(OR(AND($F108&lt;=Z$3, $F109 &gt;= Z$3), AND($F109&lt;Z$3, WORKDAY($F109, 22,Holiday!$A$1:$A$30)&gt;Z$3)), 1, 0)+IF(AND((Z$3-$B$2)&gt;=0,(Z$3-$B$2)&lt;30), 2,0)</f>
        <v>0</v>
      </c>
      <c r="AA109" s="113">
        <f>IF(OR(AND($F108&lt;=AA$3, $F109 &gt;= AA$3), AND($F109&lt;AA$3, WORKDAY($F109, 22,Holiday!$A$1:$A$30)&gt;AA$3)), 1, 0)+IF(AND((AA$3-$B$2)&gt;=0,(AA$3-$B$2)&lt;30), 2,0)</f>
        <v>0</v>
      </c>
      <c r="AB109" s="113">
        <f>IF(OR(AND($F108&lt;=AB$3, $F109 &gt;= AB$3), AND($F109&lt;AB$3, WORKDAY($F109, 22,Holiday!$A$1:$A$30)&gt;AB$3)), 1, 0)+IF(AND((AB$3-$B$2)&gt;=0,(AB$3-$B$2)&lt;30), 2,0)</f>
        <v>0</v>
      </c>
      <c r="AC109" s="113">
        <f>IF(OR(AND($F108&lt;=AC$3, $F109 &gt;= AC$3), AND($F109&lt;AC$3, WORKDAY($F109, 22,Holiday!$A$1:$A$30)&gt;AC$3)), 1, 0)+IF(AND((AC$3-$B$2)&gt;=0,(AC$3-$B$2)&lt;30), 2,0)</f>
        <v>0</v>
      </c>
      <c r="AD109" s="113">
        <f>IF(OR(AND($F108&lt;=AD$3, $F109 &gt;= AD$3), AND($F109&lt;AD$3, WORKDAY($F109, 22,Holiday!$A$1:$A$30)&gt;AD$3)), 1, 0)+IF(AND((AD$3-$B$2)&gt;=0,(AD$3-$B$2)&lt;30), 2,0)</f>
        <v>0</v>
      </c>
      <c r="AE109" s="113">
        <f>IF(OR(AND($F108&lt;=AE$3, $F109 &gt;= AE$3), AND($F109&lt;AE$3, WORKDAY($F109, 22,Holiday!$A$1:$A$30)&gt;AE$3)), 1, 0)+IF(AND((AE$3-$B$2)&gt;=0,(AE$3-$B$2)&lt;30), 2,0)</f>
        <v>0</v>
      </c>
      <c r="AF109" s="113">
        <f>IF(OR(AND($F108&lt;=AF$3, $F109 &gt;= AF$3), AND($F109&lt;AF$3, WORKDAY($F109, 22,Holiday!$A$1:$A$30)&gt;AF$3)), 1, 0)+IF(AND((AF$3-$B$2)&gt;=0,(AF$3-$B$2)&lt;30), 2,0)</f>
        <v>0</v>
      </c>
      <c r="AG109" s="113">
        <f>IF(OR(AND($F108&lt;=AG$3, $F109 &gt;= AG$3), AND($F109&lt;AG$3, WORKDAY($F109, 22,Holiday!$A$1:$A$30)&gt;AG$3)), 1, 0)+IF(AND((AG$3-$B$2)&gt;=0,(AG$3-$B$2)&lt;30), 2,0)</f>
        <v>0</v>
      </c>
      <c r="AH109" s="113">
        <f>IF(OR(AND($F108&lt;=AH$3, $F109 &gt;= AH$3), AND($F109&lt;AH$3, WORKDAY($F109, 22,Holiday!$A$1:$A$30)&gt;AH$3)), 1, 0)+IF(AND((AH$3-$B$2)&gt;=0,(AH$3-$B$2)&lt;30), 2,0)</f>
        <v>0</v>
      </c>
      <c r="AI109" s="113">
        <f>IF(OR(AND($F108&lt;=AI$3, $F109 &gt;= AI$3), AND($F109&lt;AI$3, WORKDAY($F109, 22,Holiday!$A$1:$A$30)&gt;AI$3)), 1, 0)+IF(AND((AI$3-$B$2)&gt;=0,(AI$3-$B$2)&lt;30), 2,0)</f>
        <v>0</v>
      </c>
      <c r="AJ109" s="113">
        <f>IF(OR(AND($F108&lt;=AJ$3, $F109 &gt;= AJ$3), AND($F109&lt;AJ$3, WORKDAY($F109, 22,Holiday!$A$1:$A$30)&gt;AJ$3)), 1, 0)+IF(AND((AJ$3-$B$2)&gt;=0,(AJ$3-$B$2)&lt;30), 2,0)</f>
        <v>0</v>
      </c>
      <c r="AK109" s="113">
        <f>IF(OR(AND($F108&lt;=AK$3, $F109 &gt;= AK$3), AND($F109&lt;AK$3, WORKDAY($F109, 22,Holiday!$A$1:$A$30)&gt;AK$3)), 1, 0)+IF(AND((AK$3-$B$2)&gt;=0,(AK$3-$B$2)&lt;30), 2,0)</f>
        <v>0</v>
      </c>
      <c r="AL109" s="113">
        <f>IF(OR(AND($F108&lt;=AL$3, $F109 &gt;= AL$3), AND($F109&lt;AL$3, WORKDAY($F109, 22,Holiday!$A$1:$A$30)&gt;AL$3)), 1, 0)+IF(AND((AL$3-$B$2)&gt;=0,(AL$3-$B$2)&lt;30), 2,0)</f>
        <v>0</v>
      </c>
      <c r="AM109" s="113">
        <f>IF(OR(AND($F108&lt;=AM$3, $F109 &gt;= AM$3), AND($F109&lt;AM$3, WORKDAY($F109, 22,Holiday!$A$1:$A$30)&gt;AM$3)), 1, 0)+IF(AND((AM$3-$B$2)&gt;=0,(AM$3-$B$2)&lt;30), 2,0)</f>
        <v>0</v>
      </c>
      <c r="AN109" s="113">
        <f>IF(OR(AND($F108&lt;=AN$3, $F109 &gt;= AN$3), AND($F109&lt;AN$3, WORKDAY($F109, 22,Holiday!$A$1:$A$30)&gt;AN$3)), 1, 0)+IF(AND((AN$3-$B$2)&gt;=0,(AN$3-$B$2)&lt;30), 2,0)</f>
        <v>0</v>
      </c>
      <c r="AO109" s="113">
        <f>IF(OR(AND($F108&lt;=AO$3, $F109 &gt;= AO$3), AND($F109&lt;AO$3, WORKDAY($F109, 22,Holiday!$A$1:$A$30)&gt;AO$3)), 1, 0)+IF(AND((AO$3-$B$2)&gt;=0,(AO$3-$B$2)&lt;30), 2,0)</f>
        <v>0</v>
      </c>
    </row>
    <row r="110" spans="2:41" ht="14.4" x14ac:dyDescent="0.25">
      <c r="B110" t="s">
        <v>169</v>
      </c>
      <c r="C110" s="112" t="s">
        <v>281</v>
      </c>
      <c r="D110" s="111">
        <v>6</v>
      </c>
      <c r="E110" s="86">
        <f t="shared" si="2"/>
        <v>9</v>
      </c>
      <c r="F110" s="121">
        <f>WORKDAY(F109,E110,Holiday!A104:A133)</f>
        <v>46178</v>
      </c>
      <c r="G110" s="113">
        <f>IF(OR(AND($F109&lt;=G$3, $F110 &gt;= G$3), AND($F110&lt;G$3, WORKDAY($F110, 22,Holiday!$A$1:$A$30)&gt;G$3)), 1, 0)+IF(AND((G$3-$B$2)&gt;=0,(G$3-$B$2)&lt;30), 2,0)</f>
        <v>0</v>
      </c>
      <c r="H110" s="113">
        <f>IF(OR(AND($F109&lt;=H$3, $F110 &gt;= H$3), AND($F110&lt;H$3, WORKDAY($F110, 22,Holiday!$A$1:$A$30)&gt;H$3)), 1, 0)+IF(AND((H$3-$B$2)&gt;=0,(H$3-$B$2)&lt;30), 2,0)</f>
        <v>0</v>
      </c>
      <c r="I110" s="113">
        <f>IF(OR(AND($F109&lt;=I$3, $F110 &gt;= I$3), AND($F110&lt;I$3, WORKDAY($F110, 22,Holiday!$A$1:$A$30)&gt;I$3)), 1, 0)+IF(AND((I$3-$B$2)&gt;=0,(I$3-$B$2)&lt;30), 2,0)</f>
        <v>0</v>
      </c>
      <c r="J110" s="113">
        <f>IF(OR(AND($F109&lt;=J$3, $F110 &gt;= J$3), AND($F110&lt;J$3, WORKDAY($F110, 22,Holiday!$A$1:$A$30)&gt;J$3)), 1, 0)+IF(AND((J$3-$B$2)&gt;=0,(J$3-$B$2)&lt;30), 2,0)</f>
        <v>0</v>
      </c>
      <c r="K110" s="113">
        <f>IF(OR(AND($F109&lt;=K$3, $F110 &gt;= K$3), AND($F110&lt;K$3, WORKDAY($F110, 22,Holiday!$A$1:$A$30)&gt;K$3)), 1, 0)+IF(AND((K$3-$B$2)&gt;=0,(K$3-$B$2)&lt;30), 2,0)</f>
        <v>1</v>
      </c>
      <c r="L110" s="113">
        <f>IF(OR(AND($F109&lt;=L$3, $F110 &gt;= L$3), AND($F110&lt;L$3, WORKDAY($F110, 22,Holiday!$A$1:$A$30)&gt;L$3)), 1, 0)+IF(AND((L$3-$B$2)&gt;=0,(L$3-$B$2)&lt;30), 2,0)</f>
        <v>0</v>
      </c>
      <c r="M110" s="113">
        <f>IF(OR(AND($F109&lt;=M$3, $F110 &gt;= M$3), AND($F110&lt;M$3, WORKDAY($F110, 22,Holiday!$A$1:$A$30)&gt;M$3)), 1, 0)+IF(AND((M$3-$B$2)&gt;=0,(M$3-$B$2)&lt;30), 2,0)</f>
        <v>0</v>
      </c>
      <c r="N110" s="113">
        <f>IF(OR(AND($F109&lt;=N$3, $F110 &gt;= N$3), AND($F110&lt;N$3, WORKDAY($F110, 22,Holiday!$A$1:$A$30)&gt;N$3)), 1, 0)+IF(AND((N$3-$B$2)&gt;=0,(N$3-$B$2)&lt;30), 2,0)</f>
        <v>0</v>
      </c>
      <c r="O110" s="113">
        <f>IF(OR(AND($F109&lt;=O$3, $F110 &gt;= O$3), AND($F110&lt;O$3, WORKDAY($F110, 22,Holiday!$A$1:$A$30)&gt;O$3)), 1, 0)+IF(AND((O$3-$B$2)&gt;=0,(O$3-$B$2)&lt;30), 2,0)</f>
        <v>0</v>
      </c>
      <c r="P110" s="113">
        <f>IF(OR(AND($F109&lt;=P$3, $F110 &gt;= P$3), AND($F110&lt;P$3, WORKDAY($F110, 22,Holiday!$A$1:$A$30)&gt;P$3)), 1, 0)+IF(AND((P$3-$B$2)&gt;=0,(P$3-$B$2)&lt;30), 2,0)</f>
        <v>0</v>
      </c>
      <c r="Q110" s="113">
        <f>IF(OR(AND($F109&lt;=Q$3, $F110 &gt;= Q$3), AND($F110&lt;Q$3, WORKDAY($F110, 22,Holiday!$A$1:$A$30)&gt;Q$3)), 1, 0)+IF(AND((Q$3-$B$2)&gt;=0,(Q$3-$B$2)&lt;30), 2,0)</f>
        <v>2</v>
      </c>
      <c r="R110" s="113">
        <f>IF(OR(AND($F109&lt;=R$3, $F110 &gt;= R$3), AND($F110&lt;R$3, WORKDAY($F110, 22,Holiday!$A$1:$A$30)&gt;R$3)), 1, 0)+IF(AND((R$3-$B$2)&gt;=0,(R$3-$B$2)&lt;30), 2,0)</f>
        <v>0</v>
      </c>
      <c r="S110" s="113">
        <f>IF(OR(AND($F109&lt;=S$3, $F110 &gt;= S$3), AND($F110&lt;S$3, WORKDAY($F110, 22,Holiday!$A$1:$A$30)&gt;S$3)), 1, 0)+IF(AND((S$3-$B$2)&gt;=0,(S$3-$B$2)&lt;30), 2,0)</f>
        <v>0</v>
      </c>
      <c r="T110" s="113">
        <f>IF(OR(AND($F109&lt;=T$3, $F110 &gt;= T$3), AND($F110&lt;T$3, WORKDAY($F110, 22,Holiday!$A$1:$A$30)&gt;T$3)), 1, 0)+IF(AND((T$3-$B$2)&gt;=0,(T$3-$B$2)&lt;30), 2,0)</f>
        <v>0</v>
      </c>
      <c r="U110" s="113">
        <f>IF(OR(AND($F109&lt;=U$3, $F110 &gt;= U$3), AND($F110&lt;U$3, WORKDAY($F110, 22,Holiday!$A$1:$A$30)&gt;U$3)), 1, 0)+IF(AND((U$3-$B$2)&gt;=0,(U$3-$B$2)&lt;30), 2,0)</f>
        <v>0</v>
      </c>
      <c r="V110" s="113">
        <f>IF(OR(AND($F109&lt;=V$3, $F110 &gt;= V$3), AND($F110&lt;V$3, WORKDAY($F110, 22,Holiday!$A$1:$A$30)&gt;V$3)), 1, 0)+IF(AND((V$3-$B$2)&gt;=0,(V$3-$B$2)&lt;30), 2,0)</f>
        <v>0</v>
      </c>
      <c r="W110" s="113">
        <f>IF(OR(AND($F109&lt;=W$3, $F110 &gt;= W$3), AND($F110&lt;W$3, WORKDAY($F110, 22,Holiday!$A$1:$A$30)&gt;W$3)), 1, 0)+IF(AND((W$3-$B$2)&gt;=0,(W$3-$B$2)&lt;30), 2,0)</f>
        <v>0</v>
      </c>
      <c r="X110" s="113">
        <f>IF(OR(AND($F109&lt;=X$3, $F110 &gt;= X$3), AND($F110&lt;X$3, WORKDAY($F110, 22,Holiday!$A$1:$A$30)&gt;X$3)), 1, 0)+IF(AND((X$3-$B$2)&gt;=0,(X$3-$B$2)&lt;30), 2,0)</f>
        <v>0</v>
      </c>
      <c r="Y110" s="113">
        <f>IF(OR(AND($F109&lt;=Y$3, $F110 &gt;= Y$3), AND($F110&lt;Y$3, WORKDAY($F110, 22,Holiday!$A$1:$A$30)&gt;Y$3)), 1, 0)+IF(AND((Y$3-$B$2)&gt;=0,(Y$3-$B$2)&lt;30), 2,0)</f>
        <v>0</v>
      </c>
      <c r="Z110" s="113">
        <f>IF(OR(AND($F109&lt;=Z$3, $F110 &gt;= Z$3), AND($F110&lt;Z$3, WORKDAY($F110, 22,Holiday!$A$1:$A$30)&gt;Z$3)), 1, 0)+IF(AND((Z$3-$B$2)&gt;=0,(Z$3-$B$2)&lt;30), 2,0)</f>
        <v>0</v>
      </c>
      <c r="AA110" s="113">
        <f>IF(OR(AND($F109&lt;=AA$3, $F110 &gt;= AA$3), AND($F110&lt;AA$3, WORKDAY($F110, 22,Holiday!$A$1:$A$30)&gt;AA$3)), 1, 0)+IF(AND((AA$3-$B$2)&gt;=0,(AA$3-$B$2)&lt;30), 2,0)</f>
        <v>0</v>
      </c>
      <c r="AB110" s="113">
        <f>IF(OR(AND($F109&lt;=AB$3, $F110 &gt;= AB$3), AND($F110&lt;AB$3, WORKDAY($F110, 22,Holiday!$A$1:$A$30)&gt;AB$3)), 1, 0)+IF(AND((AB$3-$B$2)&gt;=0,(AB$3-$B$2)&lt;30), 2,0)</f>
        <v>0</v>
      </c>
      <c r="AC110" s="113">
        <f>IF(OR(AND($F109&lt;=AC$3, $F110 &gt;= AC$3), AND($F110&lt;AC$3, WORKDAY($F110, 22,Holiday!$A$1:$A$30)&gt;AC$3)), 1, 0)+IF(AND((AC$3-$B$2)&gt;=0,(AC$3-$B$2)&lt;30), 2,0)</f>
        <v>0</v>
      </c>
      <c r="AD110" s="113">
        <f>IF(OR(AND($F109&lt;=AD$3, $F110 &gt;= AD$3), AND($F110&lt;AD$3, WORKDAY($F110, 22,Holiday!$A$1:$A$30)&gt;AD$3)), 1, 0)+IF(AND((AD$3-$B$2)&gt;=0,(AD$3-$B$2)&lt;30), 2,0)</f>
        <v>0</v>
      </c>
      <c r="AE110" s="113">
        <f>IF(OR(AND($F109&lt;=AE$3, $F110 &gt;= AE$3), AND($F110&lt;AE$3, WORKDAY($F110, 22,Holiday!$A$1:$A$30)&gt;AE$3)), 1, 0)+IF(AND((AE$3-$B$2)&gt;=0,(AE$3-$B$2)&lt;30), 2,0)</f>
        <v>0</v>
      </c>
      <c r="AF110" s="113">
        <f>IF(OR(AND($F109&lt;=AF$3, $F110 &gt;= AF$3), AND($F110&lt;AF$3, WORKDAY($F110, 22,Holiday!$A$1:$A$30)&gt;AF$3)), 1, 0)+IF(AND((AF$3-$B$2)&gt;=0,(AF$3-$B$2)&lt;30), 2,0)</f>
        <v>0</v>
      </c>
      <c r="AG110" s="113">
        <f>IF(OR(AND($F109&lt;=AG$3, $F110 &gt;= AG$3), AND($F110&lt;AG$3, WORKDAY($F110, 22,Holiday!$A$1:$A$30)&gt;AG$3)), 1, 0)+IF(AND((AG$3-$B$2)&gt;=0,(AG$3-$B$2)&lt;30), 2,0)</f>
        <v>0</v>
      </c>
      <c r="AH110" s="113">
        <f>IF(OR(AND($F109&lt;=AH$3, $F110 &gt;= AH$3), AND($F110&lt;AH$3, WORKDAY($F110, 22,Holiday!$A$1:$A$30)&gt;AH$3)), 1, 0)+IF(AND((AH$3-$B$2)&gt;=0,(AH$3-$B$2)&lt;30), 2,0)</f>
        <v>0</v>
      </c>
      <c r="AI110" s="113">
        <f>IF(OR(AND($F109&lt;=AI$3, $F110 &gt;= AI$3), AND($F110&lt;AI$3, WORKDAY($F110, 22,Holiday!$A$1:$A$30)&gt;AI$3)), 1, 0)+IF(AND((AI$3-$B$2)&gt;=0,(AI$3-$B$2)&lt;30), 2,0)</f>
        <v>0</v>
      </c>
      <c r="AJ110" s="113">
        <f>IF(OR(AND($F109&lt;=AJ$3, $F110 &gt;= AJ$3), AND($F110&lt;AJ$3, WORKDAY($F110, 22,Holiday!$A$1:$A$30)&gt;AJ$3)), 1, 0)+IF(AND((AJ$3-$B$2)&gt;=0,(AJ$3-$B$2)&lt;30), 2,0)</f>
        <v>0</v>
      </c>
      <c r="AK110" s="113">
        <f>IF(OR(AND($F109&lt;=AK$3, $F110 &gt;= AK$3), AND($F110&lt;AK$3, WORKDAY($F110, 22,Holiday!$A$1:$A$30)&gt;AK$3)), 1, 0)+IF(AND((AK$3-$B$2)&gt;=0,(AK$3-$B$2)&lt;30), 2,0)</f>
        <v>0</v>
      </c>
      <c r="AL110" s="113">
        <f>IF(OR(AND($F109&lt;=AL$3, $F110 &gt;= AL$3), AND($F110&lt;AL$3, WORKDAY($F110, 22,Holiday!$A$1:$A$30)&gt;AL$3)), 1, 0)+IF(AND((AL$3-$B$2)&gt;=0,(AL$3-$B$2)&lt;30), 2,0)</f>
        <v>0</v>
      </c>
      <c r="AM110" s="113">
        <f>IF(OR(AND($F109&lt;=AM$3, $F110 &gt;= AM$3), AND($F110&lt;AM$3, WORKDAY($F110, 22,Holiday!$A$1:$A$30)&gt;AM$3)), 1, 0)+IF(AND((AM$3-$B$2)&gt;=0,(AM$3-$B$2)&lt;30), 2,0)</f>
        <v>0</v>
      </c>
      <c r="AN110" s="113">
        <f>IF(OR(AND($F109&lt;=AN$3, $F110 &gt;= AN$3), AND($F110&lt;AN$3, WORKDAY($F110, 22,Holiday!$A$1:$A$30)&gt;AN$3)), 1, 0)+IF(AND((AN$3-$B$2)&gt;=0,(AN$3-$B$2)&lt;30), 2,0)</f>
        <v>0</v>
      </c>
      <c r="AO110" s="113">
        <f>IF(OR(AND($F109&lt;=AO$3, $F110 &gt;= AO$3), AND($F110&lt;AO$3, WORKDAY($F110, 22,Holiday!$A$1:$A$30)&gt;AO$3)), 1, 0)+IF(AND((AO$3-$B$2)&gt;=0,(AO$3-$B$2)&lt;30), 2,0)</f>
        <v>0</v>
      </c>
    </row>
    <row r="111" spans="2:41" ht="14.4" x14ac:dyDescent="0.25">
      <c r="B111" t="s">
        <v>178</v>
      </c>
      <c r="C111" s="112" t="s">
        <v>281</v>
      </c>
      <c r="D111" s="111">
        <v>6</v>
      </c>
      <c r="E111" s="86">
        <f t="shared" si="2"/>
        <v>9</v>
      </c>
      <c r="F111" s="121">
        <f>WORKDAY(F110,E111,Holiday!A105:A134)</f>
        <v>46191</v>
      </c>
      <c r="G111" s="113">
        <f>IF(OR(AND($F110&lt;=G$3, $F111 &gt;= G$3), AND($F111&lt;G$3, WORKDAY($F111, 22,Holiday!$A$1:$A$30)&gt;G$3)), 1, 0)+IF(AND((G$3-$B$2)&gt;=0,(G$3-$B$2)&lt;30), 2,0)</f>
        <v>0</v>
      </c>
      <c r="H111" s="113">
        <f>IF(OR(AND($F110&lt;=H$3, $F111 &gt;= H$3), AND($F111&lt;H$3, WORKDAY($F111, 22,Holiday!$A$1:$A$30)&gt;H$3)), 1, 0)+IF(AND((H$3-$B$2)&gt;=0,(H$3-$B$2)&lt;30), 2,0)</f>
        <v>0</v>
      </c>
      <c r="I111" s="113">
        <f>IF(OR(AND($F110&lt;=I$3, $F111 &gt;= I$3), AND($F111&lt;I$3, WORKDAY($F111, 22,Holiday!$A$1:$A$30)&gt;I$3)), 1, 0)+IF(AND((I$3-$B$2)&gt;=0,(I$3-$B$2)&lt;30), 2,0)</f>
        <v>0</v>
      </c>
      <c r="J111" s="113">
        <f>IF(OR(AND($F110&lt;=J$3, $F111 &gt;= J$3), AND($F111&lt;J$3, WORKDAY($F111, 22,Holiday!$A$1:$A$30)&gt;J$3)), 1, 0)+IF(AND((J$3-$B$2)&gt;=0,(J$3-$B$2)&lt;30), 2,0)</f>
        <v>0</v>
      </c>
      <c r="K111" s="113">
        <f>IF(OR(AND($F110&lt;=K$3, $F111 &gt;= K$3), AND($F111&lt;K$3, WORKDAY($F111, 22,Holiday!$A$1:$A$30)&gt;K$3)), 1, 0)+IF(AND((K$3-$B$2)&gt;=0,(K$3-$B$2)&lt;30), 2,0)</f>
        <v>1</v>
      </c>
      <c r="L111" s="113">
        <f>IF(OR(AND($F110&lt;=L$3, $F111 &gt;= L$3), AND($F111&lt;L$3, WORKDAY($F111, 22,Holiday!$A$1:$A$30)&gt;L$3)), 1, 0)+IF(AND((L$3-$B$2)&gt;=0,(L$3-$B$2)&lt;30), 2,0)</f>
        <v>1</v>
      </c>
      <c r="M111" s="113">
        <f>IF(OR(AND($F110&lt;=M$3, $F111 &gt;= M$3), AND($F111&lt;M$3, WORKDAY($F111, 22,Holiday!$A$1:$A$30)&gt;M$3)), 1, 0)+IF(AND((M$3-$B$2)&gt;=0,(M$3-$B$2)&lt;30), 2,0)</f>
        <v>0</v>
      </c>
      <c r="N111" s="113">
        <f>IF(OR(AND($F110&lt;=N$3, $F111 &gt;= N$3), AND($F111&lt;N$3, WORKDAY($F111, 22,Holiday!$A$1:$A$30)&gt;N$3)), 1, 0)+IF(AND((N$3-$B$2)&gt;=0,(N$3-$B$2)&lt;30), 2,0)</f>
        <v>0</v>
      </c>
      <c r="O111" s="113">
        <f>IF(OR(AND($F110&lt;=O$3, $F111 &gt;= O$3), AND($F111&lt;O$3, WORKDAY($F111, 22,Holiday!$A$1:$A$30)&gt;O$3)), 1, 0)+IF(AND((O$3-$B$2)&gt;=0,(O$3-$B$2)&lt;30), 2,0)</f>
        <v>0</v>
      </c>
      <c r="P111" s="113">
        <f>IF(OR(AND($F110&lt;=P$3, $F111 &gt;= P$3), AND($F111&lt;P$3, WORKDAY($F111, 22,Holiday!$A$1:$A$30)&gt;P$3)), 1, 0)+IF(AND((P$3-$B$2)&gt;=0,(P$3-$B$2)&lt;30), 2,0)</f>
        <v>0</v>
      </c>
      <c r="Q111" s="113">
        <f>IF(OR(AND($F110&lt;=Q$3, $F111 &gt;= Q$3), AND($F111&lt;Q$3, WORKDAY($F111, 22,Holiday!$A$1:$A$30)&gt;Q$3)), 1, 0)+IF(AND((Q$3-$B$2)&gt;=0,(Q$3-$B$2)&lt;30), 2,0)</f>
        <v>2</v>
      </c>
      <c r="R111" s="113">
        <f>IF(OR(AND($F110&lt;=R$3, $F111 &gt;= R$3), AND($F111&lt;R$3, WORKDAY($F111, 22,Holiday!$A$1:$A$30)&gt;R$3)), 1, 0)+IF(AND((R$3-$B$2)&gt;=0,(R$3-$B$2)&lt;30), 2,0)</f>
        <v>0</v>
      </c>
      <c r="S111" s="113">
        <f>IF(OR(AND($F110&lt;=S$3, $F111 &gt;= S$3), AND($F111&lt;S$3, WORKDAY($F111, 22,Holiday!$A$1:$A$30)&gt;S$3)), 1, 0)+IF(AND((S$3-$B$2)&gt;=0,(S$3-$B$2)&lt;30), 2,0)</f>
        <v>0</v>
      </c>
      <c r="T111" s="113">
        <f>IF(OR(AND($F110&lt;=T$3, $F111 &gt;= T$3), AND($F111&lt;T$3, WORKDAY($F111, 22,Holiday!$A$1:$A$30)&gt;T$3)), 1, 0)+IF(AND((T$3-$B$2)&gt;=0,(T$3-$B$2)&lt;30), 2,0)</f>
        <v>0</v>
      </c>
      <c r="U111" s="113">
        <f>IF(OR(AND($F110&lt;=U$3, $F111 &gt;= U$3), AND($F111&lt;U$3, WORKDAY($F111, 22,Holiday!$A$1:$A$30)&gt;U$3)), 1, 0)+IF(AND((U$3-$B$2)&gt;=0,(U$3-$B$2)&lt;30), 2,0)</f>
        <v>0</v>
      </c>
      <c r="V111" s="113">
        <f>IF(OR(AND($F110&lt;=V$3, $F111 &gt;= V$3), AND($F111&lt;V$3, WORKDAY($F111, 22,Holiday!$A$1:$A$30)&gt;V$3)), 1, 0)+IF(AND((V$3-$B$2)&gt;=0,(V$3-$B$2)&lt;30), 2,0)</f>
        <v>0</v>
      </c>
      <c r="W111" s="113">
        <f>IF(OR(AND($F110&lt;=W$3, $F111 &gt;= W$3), AND($F111&lt;W$3, WORKDAY($F111, 22,Holiday!$A$1:$A$30)&gt;W$3)), 1, 0)+IF(AND((W$3-$B$2)&gt;=0,(W$3-$B$2)&lt;30), 2,0)</f>
        <v>0</v>
      </c>
      <c r="X111" s="113">
        <f>IF(OR(AND($F110&lt;=X$3, $F111 &gt;= X$3), AND($F111&lt;X$3, WORKDAY($F111, 22,Holiday!$A$1:$A$30)&gt;X$3)), 1, 0)+IF(AND((X$3-$B$2)&gt;=0,(X$3-$B$2)&lt;30), 2,0)</f>
        <v>0</v>
      </c>
      <c r="Y111" s="113">
        <f>IF(OR(AND($F110&lt;=Y$3, $F111 &gt;= Y$3), AND($F111&lt;Y$3, WORKDAY($F111, 22,Holiday!$A$1:$A$30)&gt;Y$3)), 1, 0)+IF(AND((Y$3-$B$2)&gt;=0,(Y$3-$B$2)&lt;30), 2,0)</f>
        <v>0</v>
      </c>
      <c r="Z111" s="113">
        <f>IF(OR(AND($F110&lt;=Z$3, $F111 &gt;= Z$3), AND($F111&lt;Z$3, WORKDAY($F111, 22,Holiday!$A$1:$A$30)&gt;Z$3)), 1, 0)+IF(AND((Z$3-$B$2)&gt;=0,(Z$3-$B$2)&lt;30), 2,0)</f>
        <v>0</v>
      </c>
      <c r="AA111" s="113">
        <f>IF(OR(AND($F110&lt;=AA$3, $F111 &gt;= AA$3), AND($F111&lt;AA$3, WORKDAY($F111, 22,Holiday!$A$1:$A$30)&gt;AA$3)), 1, 0)+IF(AND((AA$3-$B$2)&gt;=0,(AA$3-$B$2)&lt;30), 2,0)</f>
        <v>0</v>
      </c>
      <c r="AB111" s="113">
        <f>IF(OR(AND($F110&lt;=AB$3, $F111 &gt;= AB$3), AND($F111&lt;AB$3, WORKDAY($F111, 22,Holiday!$A$1:$A$30)&gt;AB$3)), 1, 0)+IF(AND((AB$3-$B$2)&gt;=0,(AB$3-$B$2)&lt;30), 2,0)</f>
        <v>0</v>
      </c>
      <c r="AC111" s="113">
        <f>IF(OR(AND($F110&lt;=AC$3, $F111 &gt;= AC$3), AND($F111&lt;AC$3, WORKDAY($F111, 22,Holiday!$A$1:$A$30)&gt;AC$3)), 1, 0)+IF(AND((AC$3-$B$2)&gt;=0,(AC$3-$B$2)&lt;30), 2,0)</f>
        <v>0</v>
      </c>
      <c r="AD111" s="113">
        <f>IF(OR(AND($F110&lt;=AD$3, $F111 &gt;= AD$3), AND($F111&lt;AD$3, WORKDAY($F111, 22,Holiday!$A$1:$A$30)&gt;AD$3)), 1, 0)+IF(AND((AD$3-$B$2)&gt;=0,(AD$3-$B$2)&lt;30), 2,0)</f>
        <v>0</v>
      </c>
      <c r="AE111" s="113">
        <f>IF(OR(AND($F110&lt;=AE$3, $F111 &gt;= AE$3), AND($F111&lt;AE$3, WORKDAY($F111, 22,Holiday!$A$1:$A$30)&gt;AE$3)), 1, 0)+IF(AND((AE$3-$B$2)&gt;=0,(AE$3-$B$2)&lt;30), 2,0)</f>
        <v>0</v>
      </c>
      <c r="AF111" s="113">
        <f>IF(OR(AND($F110&lt;=AF$3, $F111 &gt;= AF$3), AND($F111&lt;AF$3, WORKDAY($F111, 22,Holiday!$A$1:$A$30)&gt;AF$3)), 1, 0)+IF(AND((AF$3-$B$2)&gt;=0,(AF$3-$B$2)&lt;30), 2,0)</f>
        <v>0</v>
      </c>
      <c r="AG111" s="113">
        <f>IF(OR(AND($F110&lt;=AG$3, $F111 &gt;= AG$3), AND($F111&lt;AG$3, WORKDAY($F111, 22,Holiday!$A$1:$A$30)&gt;AG$3)), 1, 0)+IF(AND((AG$3-$B$2)&gt;=0,(AG$3-$B$2)&lt;30), 2,0)</f>
        <v>0</v>
      </c>
      <c r="AH111" s="113">
        <f>IF(OR(AND($F110&lt;=AH$3, $F111 &gt;= AH$3), AND($F111&lt;AH$3, WORKDAY($F111, 22,Holiday!$A$1:$A$30)&gt;AH$3)), 1, 0)+IF(AND((AH$3-$B$2)&gt;=0,(AH$3-$B$2)&lt;30), 2,0)</f>
        <v>0</v>
      </c>
      <c r="AI111" s="113">
        <f>IF(OR(AND($F110&lt;=AI$3, $F111 &gt;= AI$3), AND($F111&lt;AI$3, WORKDAY($F111, 22,Holiday!$A$1:$A$30)&gt;AI$3)), 1, 0)+IF(AND((AI$3-$B$2)&gt;=0,(AI$3-$B$2)&lt;30), 2,0)</f>
        <v>0</v>
      </c>
      <c r="AJ111" s="113">
        <f>IF(OR(AND($F110&lt;=AJ$3, $F111 &gt;= AJ$3), AND($F111&lt;AJ$3, WORKDAY($F111, 22,Holiday!$A$1:$A$30)&gt;AJ$3)), 1, 0)+IF(AND((AJ$3-$B$2)&gt;=0,(AJ$3-$B$2)&lt;30), 2,0)</f>
        <v>0</v>
      </c>
      <c r="AK111" s="113">
        <f>IF(OR(AND($F110&lt;=AK$3, $F111 &gt;= AK$3), AND($F111&lt;AK$3, WORKDAY($F111, 22,Holiday!$A$1:$A$30)&gt;AK$3)), 1, 0)+IF(AND((AK$3-$B$2)&gt;=0,(AK$3-$B$2)&lt;30), 2,0)</f>
        <v>0</v>
      </c>
      <c r="AL111" s="113">
        <f>IF(OR(AND($F110&lt;=AL$3, $F111 &gt;= AL$3), AND($F111&lt;AL$3, WORKDAY($F111, 22,Holiday!$A$1:$A$30)&gt;AL$3)), 1, 0)+IF(AND((AL$3-$B$2)&gt;=0,(AL$3-$B$2)&lt;30), 2,0)</f>
        <v>0</v>
      </c>
      <c r="AM111" s="113">
        <f>IF(OR(AND($F110&lt;=AM$3, $F111 &gt;= AM$3), AND($F111&lt;AM$3, WORKDAY($F111, 22,Holiday!$A$1:$A$30)&gt;AM$3)), 1, 0)+IF(AND((AM$3-$B$2)&gt;=0,(AM$3-$B$2)&lt;30), 2,0)</f>
        <v>0</v>
      </c>
      <c r="AN111" s="113">
        <f>IF(OR(AND($F110&lt;=AN$3, $F111 &gt;= AN$3), AND($F111&lt;AN$3, WORKDAY($F111, 22,Holiday!$A$1:$A$30)&gt;AN$3)), 1, 0)+IF(AND((AN$3-$B$2)&gt;=0,(AN$3-$B$2)&lt;30), 2,0)</f>
        <v>0</v>
      </c>
      <c r="AO111" s="113">
        <f>IF(OR(AND($F110&lt;=AO$3, $F111 &gt;= AO$3), AND($F111&lt;AO$3, WORKDAY($F111, 22,Holiday!$A$1:$A$30)&gt;AO$3)), 1, 0)+IF(AND((AO$3-$B$2)&gt;=0,(AO$3-$B$2)&lt;30), 2,0)</f>
        <v>0</v>
      </c>
    </row>
    <row r="112" spans="2:41" ht="14.4" x14ac:dyDescent="0.25">
      <c r="B112" t="s">
        <v>145</v>
      </c>
      <c r="C112" s="112" t="s">
        <v>281</v>
      </c>
      <c r="D112" s="111">
        <v>6</v>
      </c>
      <c r="E112" s="86">
        <f t="shared" si="2"/>
        <v>9</v>
      </c>
      <c r="F112" s="121">
        <f>WORKDAY(F111,E112,Holiday!A106:A135)</f>
        <v>46204</v>
      </c>
      <c r="G112" s="113">
        <f>IF(OR(AND($F111&lt;=G$3, $F112 &gt;= G$3), AND($F112&lt;G$3, WORKDAY($F112, 22,Holiday!$A$1:$A$30)&gt;G$3)), 1, 0)+IF(AND((G$3-$B$2)&gt;=0,(G$3-$B$2)&lt;30), 2,0)</f>
        <v>0</v>
      </c>
      <c r="H112" s="113">
        <f>IF(OR(AND($F111&lt;=H$3, $F112 &gt;= H$3), AND($F112&lt;H$3, WORKDAY($F112, 22,Holiday!$A$1:$A$30)&gt;H$3)), 1, 0)+IF(AND((H$3-$B$2)&gt;=0,(H$3-$B$2)&lt;30), 2,0)</f>
        <v>0</v>
      </c>
      <c r="I112" s="113">
        <f>IF(OR(AND($F111&lt;=I$3, $F112 &gt;= I$3), AND($F112&lt;I$3, WORKDAY($F112, 22,Holiday!$A$1:$A$30)&gt;I$3)), 1, 0)+IF(AND((I$3-$B$2)&gt;=0,(I$3-$B$2)&lt;30), 2,0)</f>
        <v>0</v>
      </c>
      <c r="J112" s="113">
        <f>IF(OR(AND($F111&lt;=J$3, $F112 &gt;= J$3), AND($F112&lt;J$3, WORKDAY($F112, 22,Holiday!$A$1:$A$30)&gt;J$3)), 1, 0)+IF(AND((J$3-$B$2)&gt;=0,(J$3-$B$2)&lt;30), 2,0)</f>
        <v>0</v>
      </c>
      <c r="K112" s="113">
        <f>IF(OR(AND($F111&lt;=K$3, $F112 &gt;= K$3), AND($F112&lt;K$3, WORKDAY($F112, 22,Holiday!$A$1:$A$30)&gt;K$3)), 1, 0)+IF(AND((K$3-$B$2)&gt;=0,(K$3-$B$2)&lt;30), 2,0)</f>
        <v>0</v>
      </c>
      <c r="L112" s="113">
        <f>IF(OR(AND($F111&lt;=L$3, $F112 &gt;= L$3), AND($F112&lt;L$3, WORKDAY($F112, 22,Holiday!$A$1:$A$30)&gt;L$3)), 1, 0)+IF(AND((L$3-$B$2)&gt;=0,(L$3-$B$2)&lt;30), 2,0)</f>
        <v>1</v>
      </c>
      <c r="M112" s="113">
        <f>IF(OR(AND($F111&lt;=M$3, $F112 &gt;= M$3), AND($F112&lt;M$3, WORKDAY($F112, 22,Holiday!$A$1:$A$30)&gt;M$3)), 1, 0)+IF(AND((M$3-$B$2)&gt;=0,(M$3-$B$2)&lt;30), 2,0)</f>
        <v>0</v>
      </c>
      <c r="N112" s="113">
        <f>IF(OR(AND($F111&lt;=N$3, $F112 &gt;= N$3), AND($F112&lt;N$3, WORKDAY($F112, 22,Holiday!$A$1:$A$30)&gt;N$3)), 1, 0)+IF(AND((N$3-$B$2)&gt;=0,(N$3-$B$2)&lt;30), 2,0)</f>
        <v>0</v>
      </c>
      <c r="O112" s="113">
        <f>IF(OR(AND($F111&lt;=O$3, $F112 &gt;= O$3), AND($F112&lt;O$3, WORKDAY($F112, 22,Holiday!$A$1:$A$30)&gt;O$3)), 1, 0)+IF(AND((O$3-$B$2)&gt;=0,(O$3-$B$2)&lt;30), 2,0)</f>
        <v>0</v>
      </c>
      <c r="P112" s="113">
        <f>IF(OR(AND($F111&lt;=P$3, $F112 &gt;= P$3), AND($F112&lt;P$3, WORKDAY($F112, 22,Holiday!$A$1:$A$30)&gt;P$3)), 1, 0)+IF(AND((P$3-$B$2)&gt;=0,(P$3-$B$2)&lt;30), 2,0)</f>
        <v>0</v>
      </c>
      <c r="Q112" s="113">
        <f>IF(OR(AND($F111&lt;=Q$3, $F112 &gt;= Q$3), AND($F112&lt;Q$3, WORKDAY($F112, 22,Holiday!$A$1:$A$30)&gt;Q$3)), 1, 0)+IF(AND((Q$3-$B$2)&gt;=0,(Q$3-$B$2)&lt;30), 2,0)</f>
        <v>2</v>
      </c>
      <c r="R112" s="113">
        <f>IF(OR(AND($F111&lt;=R$3, $F112 &gt;= R$3), AND($F112&lt;R$3, WORKDAY($F112, 22,Holiday!$A$1:$A$30)&gt;R$3)), 1, 0)+IF(AND((R$3-$B$2)&gt;=0,(R$3-$B$2)&lt;30), 2,0)</f>
        <v>0</v>
      </c>
      <c r="S112" s="113">
        <f>IF(OR(AND($F111&lt;=S$3, $F112 &gt;= S$3), AND($F112&lt;S$3, WORKDAY($F112, 22,Holiday!$A$1:$A$30)&gt;S$3)), 1, 0)+IF(AND((S$3-$B$2)&gt;=0,(S$3-$B$2)&lt;30), 2,0)</f>
        <v>0</v>
      </c>
      <c r="T112" s="113">
        <f>IF(OR(AND($F111&lt;=T$3, $F112 &gt;= T$3), AND($F112&lt;T$3, WORKDAY($F112, 22,Holiday!$A$1:$A$30)&gt;T$3)), 1, 0)+IF(AND((T$3-$B$2)&gt;=0,(T$3-$B$2)&lt;30), 2,0)</f>
        <v>0</v>
      </c>
      <c r="U112" s="113">
        <f>IF(OR(AND($F111&lt;=U$3, $F112 &gt;= U$3), AND($F112&lt;U$3, WORKDAY($F112, 22,Holiday!$A$1:$A$30)&gt;U$3)), 1, 0)+IF(AND((U$3-$B$2)&gt;=0,(U$3-$B$2)&lt;30), 2,0)</f>
        <v>0</v>
      </c>
      <c r="V112" s="113">
        <f>IF(OR(AND($F111&lt;=V$3, $F112 &gt;= V$3), AND($F112&lt;V$3, WORKDAY($F112, 22,Holiday!$A$1:$A$30)&gt;V$3)), 1, 0)+IF(AND((V$3-$B$2)&gt;=0,(V$3-$B$2)&lt;30), 2,0)</f>
        <v>0</v>
      </c>
      <c r="W112" s="113">
        <f>IF(OR(AND($F111&lt;=W$3, $F112 &gt;= W$3), AND($F112&lt;W$3, WORKDAY($F112, 22,Holiday!$A$1:$A$30)&gt;W$3)), 1, 0)+IF(AND((W$3-$B$2)&gt;=0,(W$3-$B$2)&lt;30), 2,0)</f>
        <v>0</v>
      </c>
      <c r="X112" s="113">
        <f>IF(OR(AND($F111&lt;=X$3, $F112 &gt;= X$3), AND($F112&lt;X$3, WORKDAY($F112, 22,Holiday!$A$1:$A$30)&gt;X$3)), 1, 0)+IF(AND((X$3-$B$2)&gt;=0,(X$3-$B$2)&lt;30), 2,0)</f>
        <v>0</v>
      </c>
      <c r="Y112" s="113">
        <f>IF(OR(AND($F111&lt;=Y$3, $F112 &gt;= Y$3), AND($F112&lt;Y$3, WORKDAY($F112, 22,Holiday!$A$1:$A$30)&gt;Y$3)), 1, 0)+IF(AND((Y$3-$B$2)&gt;=0,(Y$3-$B$2)&lt;30), 2,0)</f>
        <v>0</v>
      </c>
      <c r="Z112" s="113">
        <f>IF(OR(AND($F111&lt;=Z$3, $F112 &gt;= Z$3), AND($F112&lt;Z$3, WORKDAY($F112, 22,Holiday!$A$1:$A$30)&gt;Z$3)), 1, 0)+IF(AND((Z$3-$B$2)&gt;=0,(Z$3-$B$2)&lt;30), 2,0)</f>
        <v>0</v>
      </c>
      <c r="AA112" s="113">
        <f>IF(OR(AND($F111&lt;=AA$3, $F112 &gt;= AA$3), AND($F112&lt;AA$3, WORKDAY($F112, 22,Holiday!$A$1:$A$30)&gt;AA$3)), 1, 0)+IF(AND((AA$3-$B$2)&gt;=0,(AA$3-$B$2)&lt;30), 2,0)</f>
        <v>0</v>
      </c>
      <c r="AB112" s="113">
        <f>IF(OR(AND($F111&lt;=AB$3, $F112 &gt;= AB$3), AND($F112&lt;AB$3, WORKDAY($F112, 22,Holiday!$A$1:$A$30)&gt;AB$3)), 1, 0)+IF(AND((AB$3-$B$2)&gt;=0,(AB$3-$B$2)&lt;30), 2,0)</f>
        <v>0</v>
      </c>
      <c r="AC112" s="113">
        <f>IF(OR(AND($F111&lt;=AC$3, $F112 &gt;= AC$3), AND($F112&lt;AC$3, WORKDAY($F112, 22,Holiday!$A$1:$A$30)&gt;AC$3)), 1, 0)+IF(AND((AC$3-$B$2)&gt;=0,(AC$3-$B$2)&lt;30), 2,0)</f>
        <v>0</v>
      </c>
      <c r="AD112" s="113">
        <f>IF(OR(AND($F111&lt;=AD$3, $F112 &gt;= AD$3), AND($F112&lt;AD$3, WORKDAY($F112, 22,Holiday!$A$1:$A$30)&gt;AD$3)), 1, 0)+IF(AND((AD$3-$B$2)&gt;=0,(AD$3-$B$2)&lt;30), 2,0)</f>
        <v>0</v>
      </c>
      <c r="AE112" s="113">
        <f>IF(OR(AND($F111&lt;=AE$3, $F112 &gt;= AE$3), AND($F112&lt;AE$3, WORKDAY($F112, 22,Holiday!$A$1:$A$30)&gt;AE$3)), 1, 0)+IF(AND((AE$3-$B$2)&gt;=0,(AE$3-$B$2)&lt;30), 2,0)</f>
        <v>0</v>
      </c>
      <c r="AF112" s="113">
        <f>IF(OR(AND($F111&lt;=AF$3, $F112 &gt;= AF$3), AND($F112&lt;AF$3, WORKDAY($F112, 22,Holiday!$A$1:$A$30)&gt;AF$3)), 1, 0)+IF(AND((AF$3-$B$2)&gt;=0,(AF$3-$B$2)&lt;30), 2,0)</f>
        <v>0</v>
      </c>
      <c r="AG112" s="113">
        <f>IF(OR(AND($F111&lt;=AG$3, $F112 &gt;= AG$3), AND($F112&lt;AG$3, WORKDAY($F112, 22,Holiday!$A$1:$A$30)&gt;AG$3)), 1, 0)+IF(AND((AG$3-$B$2)&gt;=0,(AG$3-$B$2)&lt;30), 2,0)</f>
        <v>0</v>
      </c>
      <c r="AH112" s="113">
        <f>IF(OR(AND($F111&lt;=AH$3, $F112 &gt;= AH$3), AND($F112&lt;AH$3, WORKDAY($F112, 22,Holiday!$A$1:$A$30)&gt;AH$3)), 1, 0)+IF(AND((AH$3-$B$2)&gt;=0,(AH$3-$B$2)&lt;30), 2,0)</f>
        <v>0</v>
      </c>
      <c r="AI112" s="113">
        <f>IF(OR(AND($F111&lt;=AI$3, $F112 &gt;= AI$3), AND($F112&lt;AI$3, WORKDAY($F112, 22,Holiday!$A$1:$A$30)&gt;AI$3)), 1, 0)+IF(AND((AI$3-$B$2)&gt;=0,(AI$3-$B$2)&lt;30), 2,0)</f>
        <v>0</v>
      </c>
      <c r="AJ112" s="113">
        <f>IF(OR(AND($F111&lt;=AJ$3, $F112 &gt;= AJ$3), AND($F112&lt;AJ$3, WORKDAY($F112, 22,Holiday!$A$1:$A$30)&gt;AJ$3)), 1, 0)+IF(AND((AJ$3-$B$2)&gt;=0,(AJ$3-$B$2)&lt;30), 2,0)</f>
        <v>0</v>
      </c>
      <c r="AK112" s="113">
        <f>IF(OR(AND($F111&lt;=AK$3, $F112 &gt;= AK$3), AND($F112&lt;AK$3, WORKDAY($F112, 22,Holiday!$A$1:$A$30)&gt;AK$3)), 1, 0)+IF(AND((AK$3-$B$2)&gt;=0,(AK$3-$B$2)&lt;30), 2,0)</f>
        <v>0</v>
      </c>
      <c r="AL112" s="113">
        <f>IF(OR(AND($F111&lt;=AL$3, $F112 &gt;= AL$3), AND($F112&lt;AL$3, WORKDAY($F112, 22,Holiday!$A$1:$A$30)&gt;AL$3)), 1, 0)+IF(AND((AL$3-$B$2)&gt;=0,(AL$3-$B$2)&lt;30), 2,0)</f>
        <v>0</v>
      </c>
      <c r="AM112" s="113">
        <f>IF(OR(AND($F111&lt;=AM$3, $F112 &gt;= AM$3), AND($F112&lt;AM$3, WORKDAY($F112, 22,Holiday!$A$1:$A$30)&gt;AM$3)), 1, 0)+IF(AND((AM$3-$B$2)&gt;=0,(AM$3-$B$2)&lt;30), 2,0)</f>
        <v>0</v>
      </c>
      <c r="AN112" s="113">
        <f>IF(OR(AND($F111&lt;=AN$3, $F112 &gt;= AN$3), AND($F112&lt;AN$3, WORKDAY($F112, 22,Holiday!$A$1:$A$30)&gt;AN$3)), 1, 0)+IF(AND((AN$3-$B$2)&gt;=0,(AN$3-$B$2)&lt;30), 2,0)</f>
        <v>0</v>
      </c>
      <c r="AO112" s="113">
        <f>IF(OR(AND($F111&lt;=AO$3, $F112 &gt;= AO$3), AND($F112&lt;AO$3, WORKDAY($F112, 22,Holiday!$A$1:$A$30)&gt;AO$3)), 1, 0)+IF(AND((AO$3-$B$2)&gt;=0,(AO$3-$B$2)&lt;30), 2,0)</f>
        <v>0</v>
      </c>
    </row>
    <row r="113" spans="2:41" ht="14.4" x14ac:dyDescent="0.25">
      <c r="B113" t="s">
        <v>143</v>
      </c>
      <c r="C113" s="112" t="s">
        <v>281</v>
      </c>
      <c r="D113" s="111">
        <v>6</v>
      </c>
      <c r="E113" s="86">
        <f t="shared" si="2"/>
        <v>9</v>
      </c>
      <c r="F113" s="121">
        <f>WORKDAY(F112,E113,Holiday!A107:A136)</f>
        <v>46217</v>
      </c>
      <c r="G113" s="113">
        <f>IF(OR(AND($F112&lt;=G$3, $F113 &gt;= G$3), AND($F113&lt;G$3, WORKDAY($F113, 22,Holiday!$A$1:$A$30)&gt;G$3)), 1, 0)+IF(AND((G$3-$B$2)&gt;=0,(G$3-$B$2)&lt;30), 2,0)</f>
        <v>0</v>
      </c>
      <c r="H113" s="113">
        <f>IF(OR(AND($F112&lt;=H$3, $F113 &gt;= H$3), AND($F113&lt;H$3, WORKDAY($F113, 22,Holiday!$A$1:$A$30)&gt;H$3)), 1, 0)+IF(AND((H$3-$B$2)&gt;=0,(H$3-$B$2)&lt;30), 2,0)</f>
        <v>0</v>
      </c>
      <c r="I113" s="113">
        <f>IF(OR(AND($F112&lt;=I$3, $F113 &gt;= I$3), AND($F113&lt;I$3, WORKDAY($F113, 22,Holiday!$A$1:$A$30)&gt;I$3)), 1, 0)+IF(AND((I$3-$B$2)&gt;=0,(I$3-$B$2)&lt;30), 2,0)</f>
        <v>0</v>
      </c>
      <c r="J113" s="113">
        <f>IF(OR(AND($F112&lt;=J$3, $F113 &gt;= J$3), AND($F113&lt;J$3, WORKDAY($F113, 22,Holiday!$A$1:$A$30)&gt;J$3)), 1, 0)+IF(AND((J$3-$B$2)&gt;=0,(J$3-$B$2)&lt;30), 2,0)</f>
        <v>0</v>
      </c>
      <c r="K113" s="113">
        <f>IF(OR(AND($F112&lt;=K$3, $F113 &gt;= K$3), AND($F113&lt;K$3, WORKDAY($F113, 22,Holiday!$A$1:$A$30)&gt;K$3)), 1, 0)+IF(AND((K$3-$B$2)&gt;=0,(K$3-$B$2)&lt;30), 2,0)</f>
        <v>0</v>
      </c>
      <c r="L113" s="113">
        <f>IF(OR(AND($F112&lt;=L$3, $F113 &gt;= L$3), AND($F113&lt;L$3, WORKDAY($F113, 22,Holiday!$A$1:$A$30)&gt;L$3)), 1, 0)+IF(AND((L$3-$B$2)&gt;=0,(L$3-$B$2)&lt;30), 2,0)</f>
        <v>1</v>
      </c>
      <c r="M113" s="113">
        <f>IF(OR(AND($F112&lt;=M$3, $F113 &gt;= M$3), AND($F113&lt;M$3, WORKDAY($F113, 22,Holiday!$A$1:$A$30)&gt;M$3)), 1, 0)+IF(AND((M$3-$B$2)&gt;=0,(M$3-$B$2)&lt;30), 2,0)</f>
        <v>1</v>
      </c>
      <c r="N113" s="113">
        <f>IF(OR(AND($F112&lt;=N$3, $F113 &gt;= N$3), AND($F113&lt;N$3, WORKDAY($F113, 22,Holiday!$A$1:$A$30)&gt;N$3)), 1, 0)+IF(AND((N$3-$B$2)&gt;=0,(N$3-$B$2)&lt;30), 2,0)</f>
        <v>0</v>
      </c>
      <c r="O113" s="113">
        <f>IF(OR(AND($F112&lt;=O$3, $F113 &gt;= O$3), AND($F113&lt;O$3, WORKDAY($F113, 22,Holiday!$A$1:$A$30)&gt;O$3)), 1, 0)+IF(AND((O$3-$B$2)&gt;=0,(O$3-$B$2)&lt;30), 2,0)</f>
        <v>0</v>
      </c>
      <c r="P113" s="113">
        <f>IF(OR(AND($F112&lt;=P$3, $F113 &gt;= P$3), AND($F113&lt;P$3, WORKDAY($F113, 22,Holiday!$A$1:$A$30)&gt;P$3)), 1, 0)+IF(AND((P$3-$B$2)&gt;=0,(P$3-$B$2)&lt;30), 2,0)</f>
        <v>0</v>
      </c>
      <c r="Q113" s="113">
        <f>IF(OR(AND($F112&lt;=Q$3, $F113 &gt;= Q$3), AND($F113&lt;Q$3, WORKDAY($F113, 22,Holiday!$A$1:$A$30)&gt;Q$3)), 1, 0)+IF(AND((Q$3-$B$2)&gt;=0,(Q$3-$B$2)&lt;30), 2,0)</f>
        <v>2</v>
      </c>
      <c r="R113" s="113">
        <f>IF(OR(AND($F112&lt;=R$3, $F113 &gt;= R$3), AND($F113&lt;R$3, WORKDAY($F113, 22,Holiday!$A$1:$A$30)&gt;R$3)), 1, 0)+IF(AND((R$3-$B$2)&gt;=0,(R$3-$B$2)&lt;30), 2,0)</f>
        <v>0</v>
      </c>
      <c r="S113" s="113">
        <f>IF(OR(AND($F112&lt;=S$3, $F113 &gt;= S$3), AND($F113&lt;S$3, WORKDAY($F113, 22,Holiday!$A$1:$A$30)&gt;S$3)), 1, 0)+IF(AND((S$3-$B$2)&gt;=0,(S$3-$B$2)&lt;30), 2,0)</f>
        <v>0</v>
      </c>
      <c r="T113" s="113">
        <f>IF(OR(AND($F112&lt;=T$3, $F113 &gt;= T$3), AND($F113&lt;T$3, WORKDAY($F113, 22,Holiday!$A$1:$A$30)&gt;T$3)), 1, 0)+IF(AND((T$3-$B$2)&gt;=0,(T$3-$B$2)&lt;30), 2,0)</f>
        <v>0</v>
      </c>
      <c r="U113" s="113">
        <f>IF(OR(AND($F112&lt;=U$3, $F113 &gt;= U$3), AND($F113&lt;U$3, WORKDAY($F113, 22,Holiday!$A$1:$A$30)&gt;U$3)), 1, 0)+IF(AND((U$3-$B$2)&gt;=0,(U$3-$B$2)&lt;30), 2,0)</f>
        <v>0</v>
      </c>
      <c r="V113" s="113">
        <f>IF(OR(AND($F112&lt;=V$3, $F113 &gt;= V$3), AND($F113&lt;V$3, WORKDAY($F113, 22,Holiday!$A$1:$A$30)&gt;V$3)), 1, 0)+IF(AND((V$3-$B$2)&gt;=0,(V$3-$B$2)&lt;30), 2,0)</f>
        <v>0</v>
      </c>
      <c r="W113" s="113">
        <f>IF(OR(AND($F112&lt;=W$3, $F113 &gt;= W$3), AND($F113&lt;W$3, WORKDAY($F113, 22,Holiday!$A$1:$A$30)&gt;W$3)), 1, 0)+IF(AND((W$3-$B$2)&gt;=0,(W$3-$B$2)&lt;30), 2,0)</f>
        <v>0</v>
      </c>
      <c r="X113" s="113">
        <f>IF(OR(AND($F112&lt;=X$3, $F113 &gt;= X$3), AND($F113&lt;X$3, WORKDAY($F113, 22,Holiday!$A$1:$A$30)&gt;X$3)), 1, 0)+IF(AND((X$3-$B$2)&gt;=0,(X$3-$B$2)&lt;30), 2,0)</f>
        <v>0</v>
      </c>
      <c r="Y113" s="113">
        <f>IF(OR(AND($F112&lt;=Y$3, $F113 &gt;= Y$3), AND($F113&lt;Y$3, WORKDAY($F113, 22,Holiday!$A$1:$A$30)&gt;Y$3)), 1, 0)+IF(AND((Y$3-$B$2)&gt;=0,(Y$3-$B$2)&lt;30), 2,0)</f>
        <v>0</v>
      </c>
      <c r="Z113" s="113">
        <f>IF(OR(AND($F112&lt;=Z$3, $F113 &gt;= Z$3), AND($F113&lt;Z$3, WORKDAY($F113, 22,Holiday!$A$1:$A$30)&gt;Z$3)), 1, 0)+IF(AND((Z$3-$B$2)&gt;=0,(Z$3-$B$2)&lt;30), 2,0)</f>
        <v>0</v>
      </c>
      <c r="AA113" s="113">
        <f>IF(OR(AND($F112&lt;=AA$3, $F113 &gt;= AA$3), AND($F113&lt;AA$3, WORKDAY($F113, 22,Holiday!$A$1:$A$30)&gt;AA$3)), 1, 0)+IF(AND((AA$3-$B$2)&gt;=0,(AA$3-$B$2)&lt;30), 2,0)</f>
        <v>0</v>
      </c>
      <c r="AB113" s="113">
        <f>IF(OR(AND($F112&lt;=AB$3, $F113 &gt;= AB$3), AND($F113&lt;AB$3, WORKDAY($F113, 22,Holiday!$A$1:$A$30)&gt;AB$3)), 1, 0)+IF(AND((AB$3-$B$2)&gt;=0,(AB$3-$B$2)&lt;30), 2,0)</f>
        <v>0</v>
      </c>
      <c r="AC113" s="113">
        <f>IF(OR(AND($F112&lt;=AC$3, $F113 &gt;= AC$3), AND($F113&lt;AC$3, WORKDAY($F113, 22,Holiday!$A$1:$A$30)&gt;AC$3)), 1, 0)+IF(AND((AC$3-$B$2)&gt;=0,(AC$3-$B$2)&lt;30), 2,0)</f>
        <v>0</v>
      </c>
      <c r="AD113" s="113">
        <f>IF(OR(AND($F112&lt;=AD$3, $F113 &gt;= AD$3), AND($F113&lt;AD$3, WORKDAY($F113, 22,Holiday!$A$1:$A$30)&gt;AD$3)), 1, 0)+IF(AND((AD$3-$B$2)&gt;=0,(AD$3-$B$2)&lt;30), 2,0)</f>
        <v>0</v>
      </c>
      <c r="AE113" s="113">
        <f>IF(OR(AND($F112&lt;=AE$3, $F113 &gt;= AE$3), AND($F113&lt;AE$3, WORKDAY($F113, 22,Holiday!$A$1:$A$30)&gt;AE$3)), 1, 0)+IF(AND((AE$3-$B$2)&gt;=0,(AE$3-$B$2)&lt;30), 2,0)</f>
        <v>0</v>
      </c>
      <c r="AF113" s="113">
        <f>IF(OR(AND($F112&lt;=AF$3, $F113 &gt;= AF$3), AND($F113&lt;AF$3, WORKDAY($F113, 22,Holiday!$A$1:$A$30)&gt;AF$3)), 1, 0)+IF(AND((AF$3-$B$2)&gt;=0,(AF$3-$B$2)&lt;30), 2,0)</f>
        <v>0</v>
      </c>
      <c r="AG113" s="113">
        <f>IF(OR(AND($F112&lt;=AG$3, $F113 &gt;= AG$3), AND($F113&lt;AG$3, WORKDAY($F113, 22,Holiday!$A$1:$A$30)&gt;AG$3)), 1, 0)+IF(AND((AG$3-$B$2)&gt;=0,(AG$3-$B$2)&lt;30), 2,0)</f>
        <v>0</v>
      </c>
      <c r="AH113" s="113">
        <f>IF(OR(AND($F112&lt;=AH$3, $F113 &gt;= AH$3), AND($F113&lt;AH$3, WORKDAY($F113, 22,Holiday!$A$1:$A$30)&gt;AH$3)), 1, 0)+IF(AND((AH$3-$B$2)&gt;=0,(AH$3-$B$2)&lt;30), 2,0)</f>
        <v>0</v>
      </c>
      <c r="AI113" s="113">
        <f>IF(OR(AND($F112&lt;=AI$3, $F113 &gt;= AI$3), AND($F113&lt;AI$3, WORKDAY($F113, 22,Holiday!$A$1:$A$30)&gt;AI$3)), 1, 0)+IF(AND((AI$3-$B$2)&gt;=0,(AI$3-$B$2)&lt;30), 2,0)</f>
        <v>0</v>
      </c>
      <c r="AJ113" s="113">
        <f>IF(OR(AND($F112&lt;=AJ$3, $F113 &gt;= AJ$3), AND($F113&lt;AJ$3, WORKDAY($F113, 22,Holiday!$A$1:$A$30)&gt;AJ$3)), 1, 0)+IF(AND((AJ$3-$B$2)&gt;=0,(AJ$3-$B$2)&lt;30), 2,0)</f>
        <v>0</v>
      </c>
      <c r="AK113" s="113">
        <f>IF(OR(AND($F112&lt;=AK$3, $F113 &gt;= AK$3), AND($F113&lt;AK$3, WORKDAY($F113, 22,Holiday!$A$1:$A$30)&gt;AK$3)), 1, 0)+IF(AND((AK$3-$B$2)&gt;=0,(AK$3-$B$2)&lt;30), 2,0)</f>
        <v>0</v>
      </c>
      <c r="AL113" s="113">
        <f>IF(OR(AND($F112&lt;=AL$3, $F113 &gt;= AL$3), AND($F113&lt;AL$3, WORKDAY($F113, 22,Holiday!$A$1:$A$30)&gt;AL$3)), 1, 0)+IF(AND((AL$3-$B$2)&gt;=0,(AL$3-$B$2)&lt;30), 2,0)</f>
        <v>0</v>
      </c>
      <c r="AM113" s="113">
        <f>IF(OR(AND($F112&lt;=AM$3, $F113 &gt;= AM$3), AND($F113&lt;AM$3, WORKDAY($F113, 22,Holiday!$A$1:$A$30)&gt;AM$3)), 1, 0)+IF(AND((AM$3-$B$2)&gt;=0,(AM$3-$B$2)&lt;30), 2,0)</f>
        <v>0</v>
      </c>
      <c r="AN113" s="113">
        <f>IF(OR(AND($F112&lt;=AN$3, $F113 &gt;= AN$3), AND($F113&lt;AN$3, WORKDAY($F113, 22,Holiday!$A$1:$A$30)&gt;AN$3)), 1, 0)+IF(AND((AN$3-$B$2)&gt;=0,(AN$3-$B$2)&lt;30), 2,0)</f>
        <v>0</v>
      </c>
      <c r="AO113" s="113">
        <f>IF(OR(AND($F112&lt;=AO$3, $F113 &gt;= AO$3), AND($F113&lt;AO$3, WORKDAY($F113, 22,Holiday!$A$1:$A$30)&gt;AO$3)), 1, 0)+IF(AND((AO$3-$B$2)&gt;=0,(AO$3-$B$2)&lt;30), 2,0)</f>
        <v>0</v>
      </c>
    </row>
    <row r="114" spans="2:41" ht="14.4" x14ac:dyDescent="0.25">
      <c r="B114" t="s">
        <v>144</v>
      </c>
      <c r="C114" s="112" t="s">
        <v>281</v>
      </c>
      <c r="D114" s="111">
        <v>6</v>
      </c>
      <c r="E114" s="86">
        <f t="shared" si="2"/>
        <v>9</v>
      </c>
      <c r="F114" s="121">
        <f>WORKDAY(F113,E114,Holiday!A108:A137)</f>
        <v>46230</v>
      </c>
      <c r="G114" s="113">
        <f>IF(OR(AND($F113&lt;=G$3, $F114 &gt;= G$3), AND($F114&lt;G$3, WORKDAY($F114, 22,Holiday!$A$1:$A$30)&gt;G$3)), 1, 0)+IF(AND((G$3-$B$2)&gt;=0,(G$3-$B$2)&lt;30), 2,0)</f>
        <v>0</v>
      </c>
      <c r="H114" s="113">
        <f>IF(OR(AND($F113&lt;=H$3, $F114 &gt;= H$3), AND($F114&lt;H$3, WORKDAY($F114, 22,Holiday!$A$1:$A$30)&gt;H$3)), 1, 0)+IF(AND((H$3-$B$2)&gt;=0,(H$3-$B$2)&lt;30), 2,0)</f>
        <v>0</v>
      </c>
      <c r="I114" s="113">
        <f>IF(OR(AND($F113&lt;=I$3, $F114 &gt;= I$3), AND($F114&lt;I$3, WORKDAY($F114, 22,Holiday!$A$1:$A$30)&gt;I$3)), 1, 0)+IF(AND((I$3-$B$2)&gt;=0,(I$3-$B$2)&lt;30), 2,0)</f>
        <v>0</v>
      </c>
      <c r="J114" s="113">
        <f>IF(OR(AND($F113&lt;=J$3, $F114 &gt;= J$3), AND($F114&lt;J$3, WORKDAY($F114, 22,Holiday!$A$1:$A$30)&gt;J$3)), 1, 0)+IF(AND((J$3-$B$2)&gt;=0,(J$3-$B$2)&lt;30), 2,0)</f>
        <v>0</v>
      </c>
      <c r="K114" s="113">
        <f>IF(OR(AND($F113&lt;=K$3, $F114 &gt;= K$3), AND($F114&lt;K$3, WORKDAY($F114, 22,Holiday!$A$1:$A$30)&gt;K$3)), 1, 0)+IF(AND((K$3-$B$2)&gt;=0,(K$3-$B$2)&lt;30), 2,0)</f>
        <v>0</v>
      </c>
      <c r="L114" s="113">
        <f>IF(OR(AND($F113&lt;=L$3, $F114 &gt;= L$3), AND($F114&lt;L$3, WORKDAY($F114, 22,Holiday!$A$1:$A$30)&gt;L$3)), 1, 0)+IF(AND((L$3-$B$2)&gt;=0,(L$3-$B$2)&lt;30), 2,0)</f>
        <v>0</v>
      </c>
      <c r="M114" s="113">
        <f>IF(OR(AND($F113&lt;=M$3, $F114 &gt;= M$3), AND($F114&lt;M$3, WORKDAY($F114, 22,Holiday!$A$1:$A$30)&gt;M$3)), 1, 0)+IF(AND((M$3-$B$2)&gt;=0,(M$3-$B$2)&lt;30), 2,0)</f>
        <v>1</v>
      </c>
      <c r="N114" s="113">
        <f>IF(OR(AND($F113&lt;=N$3, $F114 &gt;= N$3), AND($F114&lt;N$3, WORKDAY($F114, 22,Holiday!$A$1:$A$30)&gt;N$3)), 1, 0)+IF(AND((N$3-$B$2)&gt;=0,(N$3-$B$2)&lt;30), 2,0)</f>
        <v>0</v>
      </c>
      <c r="O114" s="113">
        <f>IF(OR(AND($F113&lt;=O$3, $F114 &gt;= O$3), AND($F114&lt;O$3, WORKDAY($F114, 22,Holiday!$A$1:$A$30)&gt;O$3)), 1, 0)+IF(AND((O$3-$B$2)&gt;=0,(O$3-$B$2)&lt;30), 2,0)</f>
        <v>0</v>
      </c>
      <c r="P114" s="113">
        <f>IF(OR(AND($F113&lt;=P$3, $F114 &gt;= P$3), AND($F114&lt;P$3, WORKDAY($F114, 22,Holiday!$A$1:$A$30)&gt;P$3)), 1, 0)+IF(AND((P$3-$B$2)&gt;=0,(P$3-$B$2)&lt;30), 2,0)</f>
        <v>0</v>
      </c>
      <c r="Q114" s="113">
        <f>IF(OR(AND($F113&lt;=Q$3, $F114 &gt;= Q$3), AND($F114&lt;Q$3, WORKDAY($F114, 22,Holiday!$A$1:$A$30)&gt;Q$3)), 1, 0)+IF(AND((Q$3-$B$2)&gt;=0,(Q$3-$B$2)&lt;30), 2,0)</f>
        <v>2</v>
      </c>
      <c r="R114" s="113">
        <f>IF(OR(AND($F113&lt;=R$3, $F114 &gt;= R$3), AND($F114&lt;R$3, WORKDAY($F114, 22,Holiday!$A$1:$A$30)&gt;R$3)), 1, 0)+IF(AND((R$3-$B$2)&gt;=0,(R$3-$B$2)&lt;30), 2,0)</f>
        <v>0</v>
      </c>
      <c r="S114" s="113">
        <f>IF(OR(AND($F113&lt;=S$3, $F114 &gt;= S$3), AND($F114&lt;S$3, WORKDAY($F114, 22,Holiday!$A$1:$A$30)&gt;S$3)), 1, 0)+IF(AND((S$3-$B$2)&gt;=0,(S$3-$B$2)&lt;30), 2,0)</f>
        <v>0</v>
      </c>
      <c r="T114" s="113">
        <f>IF(OR(AND($F113&lt;=T$3, $F114 &gt;= T$3), AND($F114&lt;T$3, WORKDAY($F114, 22,Holiday!$A$1:$A$30)&gt;T$3)), 1, 0)+IF(AND((T$3-$B$2)&gt;=0,(T$3-$B$2)&lt;30), 2,0)</f>
        <v>0</v>
      </c>
      <c r="U114" s="113">
        <f>IF(OR(AND($F113&lt;=U$3, $F114 &gt;= U$3), AND($F114&lt;U$3, WORKDAY($F114, 22,Holiday!$A$1:$A$30)&gt;U$3)), 1, 0)+IF(AND((U$3-$B$2)&gt;=0,(U$3-$B$2)&lt;30), 2,0)</f>
        <v>0</v>
      </c>
      <c r="V114" s="113">
        <f>IF(OR(AND($F113&lt;=V$3, $F114 &gt;= V$3), AND($F114&lt;V$3, WORKDAY($F114, 22,Holiday!$A$1:$A$30)&gt;V$3)), 1, 0)+IF(AND((V$3-$B$2)&gt;=0,(V$3-$B$2)&lt;30), 2,0)</f>
        <v>0</v>
      </c>
      <c r="W114" s="113">
        <f>IF(OR(AND($F113&lt;=W$3, $F114 &gt;= W$3), AND($F114&lt;W$3, WORKDAY($F114, 22,Holiday!$A$1:$A$30)&gt;W$3)), 1, 0)+IF(AND((W$3-$B$2)&gt;=0,(W$3-$B$2)&lt;30), 2,0)</f>
        <v>0</v>
      </c>
      <c r="X114" s="113">
        <f>IF(OR(AND($F113&lt;=X$3, $F114 &gt;= X$3), AND($F114&lt;X$3, WORKDAY($F114, 22,Holiday!$A$1:$A$30)&gt;X$3)), 1, 0)+IF(AND((X$3-$B$2)&gt;=0,(X$3-$B$2)&lt;30), 2,0)</f>
        <v>0</v>
      </c>
      <c r="Y114" s="113">
        <f>IF(OR(AND($F113&lt;=Y$3, $F114 &gt;= Y$3), AND($F114&lt;Y$3, WORKDAY($F114, 22,Holiday!$A$1:$A$30)&gt;Y$3)), 1, 0)+IF(AND((Y$3-$B$2)&gt;=0,(Y$3-$B$2)&lt;30), 2,0)</f>
        <v>0</v>
      </c>
      <c r="Z114" s="113">
        <f>IF(OR(AND($F113&lt;=Z$3, $F114 &gt;= Z$3), AND($F114&lt;Z$3, WORKDAY($F114, 22,Holiday!$A$1:$A$30)&gt;Z$3)), 1, 0)+IF(AND((Z$3-$B$2)&gt;=0,(Z$3-$B$2)&lt;30), 2,0)</f>
        <v>0</v>
      </c>
      <c r="AA114" s="113">
        <f>IF(OR(AND($F113&lt;=AA$3, $F114 &gt;= AA$3), AND($F114&lt;AA$3, WORKDAY($F114, 22,Holiday!$A$1:$A$30)&gt;AA$3)), 1, 0)+IF(AND((AA$3-$B$2)&gt;=0,(AA$3-$B$2)&lt;30), 2,0)</f>
        <v>0</v>
      </c>
      <c r="AB114" s="113">
        <f>IF(OR(AND($F113&lt;=AB$3, $F114 &gt;= AB$3), AND($F114&lt;AB$3, WORKDAY($F114, 22,Holiday!$A$1:$A$30)&gt;AB$3)), 1, 0)+IF(AND((AB$3-$B$2)&gt;=0,(AB$3-$B$2)&lt;30), 2,0)</f>
        <v>0</v>
      </c>
      <c r="AC114" s="113">
        <f>IF(OR(AND($F113&lt;=AC$3, $F114 &gt;= AC$3), AND($F114&lt;AC$3, WORKDAY($F114, 22,Holiday!$A$1:$A$30)&gt;AC$3)), 1, 0)+IF(AND((AC$3-$B$2)&gt;=0,(AC$3-$B$2)&lt;30), 2,0)</f>
        <v>0</v>
      </c>
      <c r="AD114" s="113">
        <f>IF(OR(AND($F113&lt;=AD$3, $F114 &gt;= AD$3), AND($F114&lt;AD$3, WORKDAY($F114, 22,Holiday!$A$1:$A$30)&gt;AD$3)), 1, 0)+IF(AND((AD$3-$B$2)&gt;=0,(AD$3-$B$2)&lt;30), 2,0)</f>
        <v>0</v>
      </c>
      <c r="AE114" s="113">
        <f>IF(OR(AND($F113&lt;=AE$3, $F114 &gt;= AE$3), AND($F114&lt;AE$3, WORKDAY($F114, 22,Holiday!$A$1:$A$30)&gt;AE$3)), 1, 0)+IF(AND((AE$3-$B$2)&gt;=0,(AE$3-$B$2)&lt;30), 2,0)</f>
        <v>0</v>
      </c>
      <c r="AF114" s="113">
        <f>IF(OR(AND($F113&lt;=AF$3, $F114 &gt;= AF$3), AND($F114&lt;AF$3, WORKDAY($F114, 22,Holiday!$A$1:$A$30)&gt;AF$3)), 1, 0)+IF(AND((AF$3-$B$2)&gt;=0,(AF$3-$B$2)&lt;30), 2,0)</f>
        <v>0</v>
      </c>
      <c r="AG114" s="113">
        <f>IF(OR(AND($F113&lt;=AG$3, $F114 &gt;= AG$3), AND($F114&lt;AG$3, WORKDAY($F114, 22,Holiday!$A$1:$A$30)&gt;AG$3)), 1, 0)+IF(AND((AG$3-$B$2)&gt;=0,(AG$3-$B$2)&lt;30), 2,0)</f>
        <v>0</v>
      </c>
      <c r="AH114" s="113">
        <f>IF(OR(AND($F113&lt;=AH$3, $F114 &gt;= AH$3), AND($F114&lt;AH$3, WORKDAY($F114, 22,Holiday!$A$1:$A$30)&gt;AH$3)), 1, 0)+IF(AND((AH$3-$B$2)&gt;=0,(AH$3-$B$2)&lt;30), 2,0)</f>
        <v>0</v>
      </c>
      <c r="AI114" s="113">
        <f>IF(OR(AND($F113&lt;=AI$3, $F114 &gt;= AI$3), AND($F114&lt;AI$3, WORKDAY($F114, 22,Holiday!$A$1:$A$30)&gt;AI$3)), 1, 0)+IF(AND((AI$3-$B$2)&gt;=0,(AI$3-$B$2)&lt;30), 2,0)</f>
        <v>0</v>
      </c>
      <c r="AJ114" s="113">
        <f>IF(OR(AND($F113&lt;=AJ$3, $F114 &gt;= AJ$3), AND($F114&lt;AJ$3, WORKDAY($F114, 22,Holiday!$A$1:$A$30)&gt;AJ$3)), 1, 0)+IF(AND((AJ$3-$B$2)&gt;=0,(AJ$3-$B$2)&lt;30), 2,0)</f>
        <v>0</v>
      </c>
      <c r="AK114" s="113">
        <f>IF(OR(AND($F113&lt;=AK$3, $F114 &gt;= AK$3), AND($F114&lt;AK$3, WORKDAY($F114, 22,Holiday!$A$1:$A$30)&gt;AK$3)), 1, 0)+IF(AND((AK$3-$B$2)&gt;=0,(AK$3-$B$2)&lt;30), 2,0)</f>
        <v>0</v>
      </c>
      <c r="AL114" s="113">
        <f>IF(OR(AND($F113&lt;=AL$3, $F114 &gt;= AL$3), AND($F114&lt;AL$3, WORKDAY($F114, 22,Holiday!$A$1:$A$30)&gt;AL$3)), 1, 0)+IF(AND((AL$3-$B$2)&gt;=0,(AL$3-$B$2)&lt;30), 2,0)</f>
        <v>0</v>
      </c>
      <c r="AM114" s="113">
        <f>IF(OR(AND($F113&lt;=AM$3, $F114 &gt;= AM$3), AND($F114&lt;AM$3, WORKDAY($F114, 22,Holiday!$A$1:$A$30)&gt;AM$3)), 1, 0)+IF(AND((AM$3-$B$2)&gt;=0,(AM$3-$B$2)&lt;30), 2,0)</f>
        <v>0</v>
      </c>
      <c r="AN114" s="113">
        <f>IF(OR(AND($F113&lt;=AN$3, $F114 &gt;= AN$3), AND($F114&lt;AN$3, WORKDAY($F114, 22,Holiday!$A$1:$A$30)&gt;AN$3)), 1, 0)+IF(AND((AN$3-$B$2)&gt;=0,(AN$3-$B$2)&lt;30), 2,0)</f>
        <v>0</v>
      </c>
      <c r="AO114" s="113">
        <f>IF(OR(AND($F113&lt;=AO$3, $F114 &gt;= AO$3), AND($F114&lt;AO$3, WORKDAY($F114, 22,Holiday!$A$1:$A$30)&gt;AO$3)), 1, 0)+IF(AND((AO$3-$B$2)&gt;=0,(AO$3-$B$2)&lt;30), 2,0)</f>
        <v>0</v>
      </c>
    </row>
    <row r="115" spans="2:41" ht="14.4" x14ac:dyDescent="0.25">
      <c r="B115" t="s">
        <v>159</v>
      </c>
      <c r="C115" s="112" t="s">
        <v>281</v>
      </c>
      <c r="D115" s="111">
        <v>6</v>
      </c>
      <c r="E115" s="86">
        <f t="shared" si="2"/>
        <v>9</v>
      </c>
      <c r="F115" s="121">
        <f>WORKDAY(F114,E115,Holiday!A109:A138)</f>
        <v>46241</v>
      </c>
      <c r="G115" s="113">
        <f>IF(OR(AND($F114&lt;=G$3, $F115 &gt;= G$3), AND($F115&lt;G$3, WORKDAY($F115, 22,Holiday!$A$1:$A$30)&gt;G$3)), 1, 0)+IF(AND((G$3-$B$2)&gt;=0,(G$3-$B$2)&lt;30), 2,0)</f>
        <v>0</v>
      </c>
      <c r="H115" s="113">
        <f>IF(OR(AND($F114&lt;=H$3, $F115 &gt;= H$3), AND($F115&lt;H$3, WORKDAY($F115, 22,Holiday!$A$1:$A$30)&gt;H$3)), 1, 0)+IF(AND((H$3-$B$2)&gt;=0,(H$3-$B$2)&lt;30), 2,0)</f>
        <v>0</v>
      </c>
      <c r="I115" s="113">
        <f>IF(OR(AND($F114&lt;=I$3, $F115 &gt;= I$3), AND($F115&lt;I$3, WORKDAY($F115, 22,Holiday!$A$1:$A$30)&gt;I$3)), 1, 0)+IF(AND((I$3-$B$2)&gt;=0,(I$3-$B$2)&lt;30), 2,0)</f>
        <v>0</v>
      </c>
      <c r="J115" s="113">
        <f>IF(OR(AND($F114&lt;=J$3, $F115 &gt;= J$3), AND($F115&lt;J$3, WORKDAY($F115, 22,Holiday!$A$1:$A$30)&gt;J$3)), 1, 0)+IF(AND((J$3-$B$2)&gt;=0,(J$3-$B$2)&lt;30), 2,0)</f>
        <v>0</v>
      </c>
      <c r="K115" s="113">
        <f>IF(OR(AND($F114&lt;=K$3, $F115 &gt;= K$3), AND($F115&lt;K$3, WORKDAY($F115, 22,Holiday!$A$1:$A$30)&gt;K$3)), 1, 0)+IF(AND((K$3-$B$2)&gt;=0,(K$3-$B$2)&lt;30), 2,0)</f>
        <v>0</v>
      </c>
      <c r="L115" s="113">
        <f>IF(OR(AND($F114&lt;=L$3, $F115 &gt;= L$3), AND($F115&lt;L$3, WORKDAY($F115, 22,Holiday!$A$1:$A$30)&gt;L$3)), 1, 0)+IF(AND((L$3-$B$2)&gt;=0,(L$3-$B$2)&lt;30), 2,0)</f>
        <v>0</v>
      </c>
      <c r="M115" s="113">
        <f>IF(OR(AND($F114&lt;=M$3, $F115 &gt;= M$3), AND($F115&lt;M$3, WORKDAY($F115, 22,Holiday!$A$1:$A$30)&gt;M$3)), 1, 0)+IF(AND((M$3-$B$2)&gt;=0,(M$3-$B$2)&lt;30), 2,0)</f>
        <v>1</v>
      </c>
      <c r="N115" s="113">
        <f>IF(OR(AND($F114&lt;=N$3, $F115 &gt;= N$3), AND($F115&lt;N$3, WORKDAY($F115, 22,Holiday!$A$1:$A$30)&gt;N$3)), 1, 0)+IF(AND((N$3-$B$2)&gt;=0,(N$3-$B$2)&lt;30), 2,0)</f>
        <v>0</v>
      </c>
      <c r="O115" s="113">
        <f>IF(OR(AND($F114&lt;=O$3, $F115 &gt;= O$3), AND($F115&lt;O$3, WORKDAY($F115, 22,Holiday!$A$1:$A$30)&gt;O$3)), 1, 0)+IF(AND((O$3-$B$2)&gt;=0,(O$3-$B$2)&lt;30), 2,0)</f>
        <v>0</v>
      </c>
      <c r="P115" s="113">
        <f>IF(OR(AND($F114&lt;=P$3, $F115 &gt;= P$3), AND($F115&lt;P$3, WORKDAY($F115, 22,Holiday!$A$1:$A$30)&gt;P$3)), 1, 0)+IF(AND((P$3-$B$2)&gt;=0,(P$3-$B$2)&lt;30), 2,0)</f>
        <v>0</v>
      </c>
      <c r="Q115" s="113">
        <f>IF(OR(AND($F114&lt;=Q$3, $F115 &gt;= Q$3), AND($F115&lt;Q$3, WORKDAY($F115, 22,Holiday!$A$1:$A$30)&gt;Q$3)), 1, 0)+IF(AND((Q$3-$B$2)&gt;=0,(Q$3-$B$2)&lt;30), 2,0)</f>
        <v>2</v>
      </c>
      <c r="R115" s="113">
        <f>IF(OR(AND($F114&lt;=R$3, $F115 &gt;= R$3), AND($F115&lt;R$3, WORKDAY($F115, 22,Holiday!$A$1:$A$30)&gt;R$3)), 1, 0)+IF(AND((R$3-$B$2)&gt;=0,(R$3-$B$2)&lt;30), 2,0)</f>
        <v>0</v>
      </c>
      <c r="S115" s="113">
        <f>IF(OR(AND($F114&lt;=S$3, $F115 &gt;= S$3), AND($F115&lt;S$3, WORKDAY($F115, 22,Holiday!$A$1:$A$30)&gt;S$3)), 1, 0)+IF(AND((S$3-$B$2)&gt;=0,(S$3-$B$2)&lt;30), 2,0)</f>
        <v>0</v>
      </c>
      <c r="T115" s="113">
        <f>IF(OR(AND($F114&lt;=T$3, $F115 &gt;= T$3), AND($F115&lt;T$3, WORKDAY($F115, 22,Holiday!$A$1:$A$30)&gt;T$3)), 1, 0)+IF(AND((T$3-$B$2)&gt;=0,(T$3-$B$2)&lt;30), 2,0)</f>
        <v>0</v>
      </c>
      <c r="U115" s="113">
        <f>IF(OR(AND($F114&lt;=U$3, $F115 &gt;= U$3), AND($F115&lt;U$3, WORKDAY($F115, 22,Holiday!$A$1:$A$30)&gt;U$3)), 1, 0)+IF(AND((U$3-$B$2)&gt;=0,(U$3-$B$2)&lt;30), 2,0)</f>
        <v>0</v>
      </c>
      <c r="V115" s="113">
        <f>IF(OR(AND($F114&lt;=V$3, $F115 &gt;= V$3), AND($F115&lt;V$3, WORKDAY($F115, 22,Holiday!$A$1:$A$30)&gt;V$3)), 1, 0)+IF(AND((V$3-$B$2)&gt;=0,(V$3-$B$2)&lt;30), 2,0)</f>
        <v>0</v>
      </c>
      <c r="W115" s="113">
        <f>IF(OR(AND($F114&lt;=W$3, $F115 &gt;= W$3), AND($F115&lt;W$3, WORKDAY($F115, 22,Holiday!$A$1:$A$30)&gt;W$3)), 1, 0)+IF(AND((W$3-$B$2)&gt;=0,(W$3-$B$2)&lt;30), 2,0)</f>
        <v>0</v>
      </c>
      <c r="X115" s="113">
        <f>IF(OR(AND($F114&lt;=X$3, $F115 &gt;= X$3), AND($F115&lt;X$3, WORKDAY($F115, 22,Holiday!$A$1:$A$30)&gt;X$3)), 1, 0)+IF(AND((X$3-$B$2)&gt;=0,(X$3-$B$2)&lt;30), 2,0)</f>
        <v>0</v>
      </c>
      <c r="Y115" s="113">
        <f>IF(OR(AND($F114&lt;=Y$3, $F115 &gt;= Y$3), AND($F115&lt;Y$3, WORKDAY($F115, 22,Holiday!$A$1:$A$30)&gt;Y$3)), 1, 0)+IF(AND((Y$3-$B$2)&gt;=0,(Y$3-$B$2)&lt;30), 2,0)</f>
        <v>0</v>
      </c>
      <c r="Z115" s="113">
        <f>IF(OR(AND($F114&lt;=Z$3, $F115 &gt;= Z$3), AND($F115&lt;Z$3, WORKDAY($F115, 22,Holiday!$A$1:$A$30)&gt;Z$3)), 1, 0)+IF(AND((Z$3-$B$2)&gt;=0,(Z$3-$B$2)&lt;30), 2,0)</f>
        <v>0</v>
      </c>
      <c r="AA115" s="113">
        <f>IF(OR(AND($F114&lt;=AA$3, $F115 &gt;= AA$3), AND($F115&lt;AA$3, WORKDAY($F115, 22,Holiday!$A$1:$A$30)&gt;AA$3)), 1, 0)+IF(AND((AA$3-$B$2)&gt;=0,(AA$3-$B$2)&lt;30), 2,0)</f>
        <v>0</v>
      </c>
      <c r="AB115" s="113">
        <f>IF(OR(AND($F114&lt;=AB$3, $F115 &gt;= AB$3), AND($F115&lt;AB$3, WORKDAY($F115, 22,Holiday!$A$1:$A$30)&gt;AB$3)), 1, 0)+IF(AND((AB$3-$B$2)&gt;=0,(AB$3-$B$2)&lt;30), 2,0)</f>
        <v>0</v>
      </c>
      <c r="AC115" s="113">
        <f>IF(OR(AND($F114&lt;=AC$3, $F115 &gt;= AC$3), AND($F115&lt;AC$3, WORKDAY($F115, 22,Holiday!$A$1:$A$30)&gt;AC$3)), 1, 0)+IF(AND((AC$3-$B$2)&gt;=0,(AC$3-$B$2)&lt;30), 2,0)</f>
        <v>0</v>
      </c>
      <c r="AD115" s="113">
        <f>IF(OR(AND($F114&lt;=AD$3, $F115 &gt;= AD$3), AND($F115&lt;AD$3, WORKDAY($F115, 22,Holiday!$A$1:$A$30)&gt;AD$3)), 1, 0)+IF(AND((AD$3-$B$2)&gt;=0,(AD$3-$B$2)&lt;30), 2,0)</f>
        <v>0</v>
      </c>
      <c r="AE115" s="113">
        <f>IF(OR(AND($F114&lt;=AE$3, $F115 &gt;= AE$3), AND($F115&lt;AE$3, WORKDAY($F115, 22,Holiday!$A$1:$A$30)&gt;AE$3)), 1, 0)+IF(AND((AE$3-$B$2)&gt;=0,(AE$3-$B$2)&lt;30), 2,0)</f>
        <v>0</v>
      </c>
      <c r="AF115" s="113">
        <f>IF(OR(AND($F114&lt;=AF$3, $F115 &gt;= AF$3), AND($F115&lt;AF$3, WORKDAY($F115, 22,Holiday!$A$1:$A$30)&gt;AF$3)), 1, 0)+IF(AND((AF$3-$B$2)&gt;=0,(AF$3-$B$2)&lt;30), 2,0)</f>
        <v>0</v>
      </c>
      <c r="AG115" s="113">
        <f>IF(OR(AND($F114&lt;=AG$3, $F115 &gt;= AG$3), AND($F115&lt;AG$3, WORKDAY($F115, 22,Holiday!$A$1:$A$30)&gt;AG$3)), 1, 0)+IF(AND((AG$3-$B$2)&gt;=0,(AG$3-$B$2)&lt;30), 2,0)</f>
        <v>0</v>
      </c>
      <c r="AH115" s="113">
        <f>IF(OR(AND($F114&lt;=AH$3, $F115 &gt;= AH$3), AND($F115&lt;AH$3, WORKDAY($F115, 22,Holiday!$A$1:$A$30)&gt;AH$3)), 1, 0)+IF(AND((AH$3-$B$2)&gt;=0,(AH$3-$B$2)&lt;30), 2,0)</f>
        <v>0</v>
      </c>
      <c r="AI115" s="113">
        <f>IF(OR(AND($F114&lt;=AI$3, $F115 &gt;= AI$3), AND($F115&lt;AI$3, WORKDAY($F115, 22,Holiday!$A$1:$A$30)&gt;AI$3)), 1, 0)+IF(AND((AI$3-$B$2)&gt;=0,(AI$3-$B$2)&lt;30), 2,0)</f>
        <v>0</v>
      </c>
      <c r="AJ115" s="113">
        <f>IF(OR(AND($F114&lt;=AJ$3, $F115 &gt;= AJ$3), AND($F115&lt;AJ$3, WORKDAY($F115, 22,Holiday!$A$1:$A$30)&gt;AJ$3)), 1, 0)+IF(AND((AJ$3-$B$2)&gt;=0,(AJ$3-$B$2)&lt;30), 2,0)</f>
        <v>0</v>
      </c>
      <c r="AK115" s="113">
        <f>IF(OR(AND($F114&lt;=AK$3, $F115 &gt;= AK$3), AND($F115&lt;AK$3, WORKDAY($F115, 22,Holiday!$A$1:$A$30)&gt;AK$3)), 1, 0)+IF(AND((AK$3-$B$2)&gt;=0,(AK$3-$B$2)&lt;30), 2,0)</f>
        <v>0</v>
      </c>
      <c r="AL115" s="113">
        <f>IF(OR(AND($F114&lt;=AL$3, $F115 &gt;= AL$3), AND($F115&lt;AL$3, WORKDAY($F115, 22,Holiday!$A$1:$A$30)&gt;AL$3)), 1, 0)+IF(AND((AL$3-$B$2)&gt;=0,(AL$3-$B$2)&lt;30), 2,0)</f>
        <v>0</v>
      </c>
      <c r="AM115" s="113">
        <f>IF(OR(AND($F114&lt;=AM$3, $F115 &gt;= AM$3), AND($F115&lt;AM$3, WORKDAY($F115, 22,Holiday!$A$1:$A$30)&gt;AM$3)), 1, 0)+IF(AND((AM$3-$B$2)&gt;=0,(AM$3-$B$2)&lt;30), 2,0)</f>
        <v>0</v>
      </c>
      <c r="AN115" s="113">
        <f>IF(OR(AND($F114&lt;=AN$3, $F115 &gt;= AN$3), AND($F115&lt;AN$3, WORKDAY($F115, 22,Holiday!$A$1:$A$30)&gt;AN$3)), 1, 0)+IF(AND((AN$3-$B$2)&gt;=0,(AN$3-$B$2)&lt;30), 2,0)</f>
        <v>0</v>
      </c>
      <c r="AO115" s="113">
        <f>IF(OR(AND($F114&lt;=AO$3, $F115 &gt;= AO$3), AND($F115&lt;AO$3, WORKDAY($F115, 22,Holiday!$A$1:$A$30)&gt;AO$3)), 1, 0)+IF(AND((AO$3-$B$2)&gt;=0,(AO$3-$B$2)&lt;30), 2,0)</f>
        <v>0</v>
      </c>
    </row>
    <row r="116" spans="2:41" ht="14.4" x14ac:dyDescent="0.25">
      <c r="B116" t="s">
        <v>156</v>
      </c>
      <c r="C116" s="112" t="s">
        <v>281</v>
      </c>
      <c r="D116" s="111">
        <v>6</v>
      </c>
      <c r="E116" s="86">
        <f t="shared" si="2"/>
        <v>9</v>
      </c>
      <c r="F116" s="121">
        <f>WORKDAY(F115,E116,Holiday!A110:A139)</f>
        <v>46254</v>
      </c>
      <c r="G116" s="113">
        <f>IF(OR(AND($F115&lt;=G$3, $F116 &gt;= G$3), AND($F116&lt;G$3, WORKDAY($F116, 22,Holiday!$A$1:$A$30)&gt;G$3)), 1, 0)+IF(AND((G$3-$B$2)&gt;=0,(G$3-$B$2)&lt;30), 2,0)</f>
        <v>0</v>
      </c>
      <c r="H116" s="113">
        <f>IF(OR(AND($F115&lt;=H$3, $F116 &gt;= H$3), AND($F116&lt;H$3, WORKDAY($F116, 22,Holiday!$A$1:$A$30)&gt;H$3)), 1, 0)+IF(AND((H$3-$B$2)&gt;=0,(H$3-$B$2)&lt;30), 2,0)</f>
        <v>0</v>
      </c>
      <c r="I116" s="113">
        <f>IF(OR(AND($F115&lt;=I$3, $F116 &gt;= I$3), AND($F116&lt;I$3, WORKDAY($F116, 22,Holiday!$A$1:$A$30)&gt;I$3)), 1, 0)+IF(AND((I$3-$B$2)&gt;=0,(I$3-$B$2)&lt;30), 2,0)</f>
        <v>0</v>
      </c>
      <c r="J116" s="113">
        <f>IF(OR(AND($F115&lt;=J$3, $F116 &gt;= J$3), AND($F116&lt;J$3, WORKDAY($F116, 22,Holiday!$A$1:$A$30)&gt;J$3)), 1, 0)+IF(AND((J$3-$B$2)&gt;=0,(J$3-$B$2)&lt;30), 2,0)</f>
        <v>0</v>
      </c>
      <c r="K116" s="113">
        <f>IF(OR(AND($F115&lt;=K$3, $F116 &gt;= K$3), AND($F116&lt;K$3, WORKDAY($F116, 22,Holiday!$A$1:$A$30)&gt;K$3)), 1, 0)+IF(AND((K$3-$B$2)&gt;=0,(K$3-$B$2)&lt;30), 2,0)</f>
        <v>0</v>
      </c>
      <c r="L116" s="113">
        <f>IF(OR(AND($F115&lt;=L$3, $F116 &gt;= L$3), AND($F116&lt;L$3, WORKDAY($F116, 22,Holiday!$A$1:$A$30)&gt;L$3)), 1, 0)+IF(AND((L$3-$B$2)&gt;=0,(L$3-$B$2)&lt;30), 2,0)</f>
        <v>0</v>
      </c>
      <c r="M116" s="113">
        <f>IF(OR(AND($F115&lt;=M$3, $F116 &gt;= M$3), AND($F116&lt;M$3, WORKDAY($F116, 22,Holiday!$A$1:$A$30)&gt;M$3)), 1, 0)+IF(AND((M$3-$B$2)&gt;=0,(M$3-$B$2)&lt;30), 2,0)</f>
        <v>1</v>
      </c>
      <c r="N116" s="113">
        <f>IF(OR(AND($F115&lt;=N$3, $F116 &gt;= N$3), AND($F116&lt;N$3, WORKDAY($F116, 22,Holiday!$A$1:$A$30)&gt;N$3)), 1, 0)+IF(AND((N$3-$B$2)&gt;=0,(N$3-$B$2)&lt;30), 2,0)</f>
        <v>1</v>
      </c>
      <c r="O116" s="113">
        <f>IF(OR(AND($F115&lt;=O$3, $F116 &gt;= O$3), AND($F116&lt;O$3, WORKDAY($F116, 22,Holiday!$A$1:$A$30)&gt;O$3)), 1, 0)+IF(AND((O$3-$B$2)&gt;=0,(O$3-$B$2)&lt;30), 2,0)</f>
        <v>0</v>
      </c>
      <c r="P116" s="113">
        <f>IF(OR(AND($F115&lt;=P$3, $F116 &gt;= P$3), AND($F116&lt;P$3, WORKDAY($F116, 22,Holiday!$A$1:$A$30)&gt;P$3)), 1, 0)+IF(AND((P$3-$B$2)&gt;=0,(P$3-$B$2)&lt;30), 2,0)</f>
        <v>0</v>
      </c>
      <c r="Q116" s="113">
        <f>IF(OR(AND($F115&lt;=Q$3, $F116 &gt;= Q$3), AND($F116&lt;Q$3, WORKDAY($F116, 22,Holiday!$A$1:$A$30)&gt;Q$3)), 1, 0)+IF(AND((Q$3-$B$2)&gt;=0,(Q$3-$B$2)&lt;30), 2,0)</f>
        <v>2</v>
      </c>
      <c r="R116" s="113">
        <f>IF(OR(AND($F115&lt;=R$3, $F116 &gt;= R$3), AND($F116&lt;R$3, WORKDAY($F116, 22,Holiday!$A$1:$A$30)&gt;R$3)), 1, 0)+IF(AND((R$3-$B$2)&gt;=0,(R$3-$B$2)&lt;30), 2,0)</f>
        <v>0</v>
      </c>
      <c r="S116" s="113">
        <f>IF(OR(AND($F115&lt;=S$3, $F116 &gt;= S$3), AND($F116&lt;S$3, WORKDAY($F116, 22,Holiday!$A$1:$A$30)&gt;S$3)), 1, 0)+IF(AND((S$3-$B$2)&gt;=0,(S$3-$B$2)&lt;30), 2,0)</f>
        <v>0</v>
      </c>
      <c r="T116" s="113">
        <f>IF(OR(AND($F115&lt;=T$3, $F116 &gt;= T$3), AND($F116&lt;T$3, WORKDAY($F116, 22,Holiday!$A$1:$A$30)&gt;T$3)), 1, 0)+IF(AND((T$3-$B$2)&gt;=0,(T$3-$B$2)&lt;30), 2,0)</f>
        <v>0</v>
      </c>
      <c r="U116" s="113">
        <f>IF(OR(AND($F115&lt;=U$3, $F116 &gt;= U$3), AND($F116&lt;U$3, WORKDAY($F116, 22,Holiday!$A$1:$A$30)&gt;U$3)), 1, 0)+IF(AND((U$3-$B$2)&gt;=0,(U$3-$B$2)&lt;30), 2,0)</f>
        <v>0</v>
      </c>
      <c r="V116" s="113">
        <f>IF(OR(AND($F115&lt;=V$3, $F116 &gt;= V$3), AND($F116&lt;V$3, WORKDAY($F116, 22,Holiday!$A$1:$A$30)&gt;V$3)), 1, 0)+IF(AND((V$3-$B$2)&gt;=0,(V$3-$B$2)&lt;30), 2,0)</f>
        <v>0</v>
      </c>
      <c r="W116" s="113">
        <f>IF(OR(AND($F115&lt;=W$3, $F116 &gt;= W$3), AND($F116&lt;W$3, WORKDAY($F116, 22,Holiday!$A$1:$A$30)&gt;W$3)), 1, 0)+IF(AND((W$3-$B$2)&gt;=0,(W$3-$B$2)&lt;30), 2,0)</f>
        <v>0</v>
      </c>
      <c r="X116" s="113">
        <f>IF(OR(AND($F115&lt;=X$3, $F116 &gt;= X$3), AND($F116&lt;X$3, WORKDAY($F116, 22,Holiday!$A$1:$A$30)&gt;X$3)), 1, 0)+IF(AND((X$3-$B$2)&gt;=0,(X$3-$B$2)&lt;30), 2,0)</f>
        <v>0</v>
      </c>
      <c r="Y116" s="113">
        <f>IF(OR(AND($F115&lt;=Y$3, $F116 &gt;= Y$3), AND($F116&lt;Y$3, WORKDAY($F116, 22,Holiday!$A$1:$A$30)&gt;Y$3)), 1, 0)+IF(AND((Y$3-$B$2)&gt;=0,(Y$3-$B$2)&lt;30), 2,0)</f>
        <v>0</v>
      </c>
      <c r="Z116" s="113">
        <f>IF(OR(AND($F115&lt;=Z$3, $F116 &gt;= Z$3), AND($F116&lt;Z$3, WORKDAY($F116, 22,Holiday!$A$1:$A$30)&gt;Z$3)), 1, 0)+IF(AND((Z$3-$B$2)&gt;=0,(Z$3-$B$2)&lt;30), 2,0)</f>
        <v>0</v>
      </c>
      <c r="AA116" s="113">
        <f>IF(OR(AND($F115&lt;=AA$3, $F116 &gt;= AA$3), AND($F116&lt;AA$3, WORKDAY($F116, 22,Holiday!$A$1:$A$30)&gt;AA$3)), 1, 0)+IF(AND((AA$3-$B$2)&gt;=0,(AA$3-$B$2)&lt;30), 2,0)</f>
        <v>0</v>
      </c>
      <c r="AB116" s="113">
        <f>IF(OR(AND($F115&lt;=AB$3, $F116 &gt;= AB$3), AND($F116&lt;AB$3, WORKDAY($F116, 22,Holiday!$A$1:$A$30)&gt;AB$3)), 1, 0)+IF(AND((AB$3-$B$2)&gt;=0,(AB$3-$B$2)&lt;30), 2,0)</f>
        <v>0</v>
      </c>
      <c r="AC116" s="113">
        <f>IF(OR(AND($F115&lt;=AC$3, $F116 &gt;= AC$3), AND($F116&lt;AC$3, WORKDAY($F116, 22,Holiday!$A$1:$A$30)&gt;AC$3)), 1, 0)+IF(AND((AC$3-$B$2)&gt;=0,(AC$3-$B$2)&lt;30), 2,0)</f>
        <v>0</v>
      </c>
      <c r="AD116" s="113">
        <f>IF(OR(AND($F115&lt;=AD$3, $F116 &gt;= AD$3), AND($F116&lt;AD$3, WORKDAY($F116, 22,Holiday!$A$1:$A$30)&gt;AD$3)), 1, 0)+IF(AND((AD$3-$B$2)&gt;=0,(AD$3-$B$2)&lt;30), 2,0)</f>
        <v>0</v>
      </c>
      <c r="AE116" s="113">
        <f>IF(OR(AND($F115&lt;=AE$3, $F116 &gt;= AE$3), AND($F116&lt;AE$3, WORKDAY($F116, 22,Holiday!$A$1:$A$30)&gt;AE$3)), 1, 0)+IF(AND((AE$3-$B$2)&gt;=0,(AE$3-$B$2)&lt;30), 2,0)</f>
        <v>0</v>
      </c>
      <c r="AF116" s="113">
        <f>IF(OR(AND($F115&lt;=AF$3, $F116 &gt;= AF$3), AND($F116&lt;AF$3, WORKDAY($F116, 22,Holiday!$A$1:$A$30)&gt;AF$3)), 1, 0)+IF(AND((AF$3-$B$2)&gt;=0,(AF$3-$B$2)&lt;30), 2,0)</f>
        <v>0</v>
      </c>
      <c r="AG116" s="113">
        <f>IF(OR(AND($F115&lt;=AG$3, $F116 &gt;= AG$3), AND($F116&lt;AG$3, WORKDAY($F116, 22,Holiday!$A$1:$A$30)&gt;AG$3)), 1, 0)+IF(AND((AG$3-$B$2)&gt;=0,(AG$3-$B$2)&lt;30), 2,0)</f>
        <v>0</v>
      </c>
      <c r="AH116" s="113">
        <f>IF(OR(AND($F115&lt;=AH$3, $F116 &gt;= AH$3), AND($F116&lt;AH$3, WORKDAY($F116, 22,Holiday!$A$1:$A$30)&gt;AH$3)), 1, 0)+IF(AND((AH$3-$B$2)&gt;=0,(AH$3-$B$2)&lt;30), 2,0)</f>
        <v>0</v>
      </c>
      <c r="AI116" s="113">
        <f>IF(OR(AND($F115&lt;=AI$3, $F116 &gt;= AI$3), AND($F116&lt;AI$3, WORKDAY($F116, 22,Holiday!$A$1:$A$30)&gt;AI$3)), 1, 0)+IF(AND((AI$3-$B$2)&gt;=0,(AI$3-$B$2)&lt;30), 2,0)</f>
        <v>0</v>
      </c>
      <c r="AJ116" s="113">
        <f>IF(OR(AND($F115&lt;=AJ$3, $F116 &gt;= AJ$3), AND($F116&lt;AJ$3, WORKDAY($F116, 22,Holiday!$A$1:$A$30)&gt;AJ$3)), 1, 0)+IF(AND((AJ$3-$B$2)&gt;=0,(AJ$3-$B$2)&lt;30), 2,0)</f>
        <v>0</v>
      </c>
      <c r="AK116" s="113">
        <f>IF(OR(AND($F115&lt;=AK$3, $F116 &gt;= AK$3), AND($F116&lt;AK$3, WORKDAY($F116, 22,Holiday!$A$1:$A$30)&gt;AK$3)), 1, 0)+IF(AND((AK$3-$B$2)&gt;=0,(AK$3-$B$2)&lt;30), 2,0)</f>
        <v>0</v>
      </c>
      <c r="AL116" s="113">
        <f>IF(OR(AND($F115&lt;=AL$3, $F116 &gt;= AL$3), AND($F116&lt;AL$3, WORKDAY($F116, 22,Holiday!$A$1:$A$30)&gt;AL$3)), 1, 0)+IF(AND((AL$3-$B$2)&gt;=0,(AL$3-$B$2)&lt;30), 2,0)</f>
        <v>0</v>
      </c>
      <c r="AM116" s="113">
        <f>IF(OR(AND($F115&lt;=AM$3, $F116 &gt;= AM$3), AND($F116&lt;AM$3, WORKDAY($F116, 22,Holiday!$A$1:$A$30)&gt;AM$3)), 1, 0)+IF(AND((AM$3-$B$2)&gt;=0,(AM$3-$B$2)&lt;30), 2,0)</f>
        <v>0</v>
      </c>
      <c r="AN116" s="113">
        <f>IF(OR(AND($F115&lt;=AN$3, $F116 &gt;= AN$3), AND($F116&lt;AN$3, WORKDAY($F116, 22,Holiday!$A$1:$A$30)&gt;AN$3)), 1, 0)+IF(AND((AN$3-$B$2)&gt;=0,(AN$3-$B$2)&lt;30), 2,0)</f>
        <v>0</v>
      </c>
      <c r="AO116" s="113">
        <f>IF(OR(AND($F115&lt;=AO$3, $F116 &gt;= AO$3), AND($F116&lt;AO$3, WORKDAY($F116, 22,Holiday!$A$1:$A$30)&gt;AO$3)), 1, 0)+IF(AND((AO$3-$B$2)&gt;=0,(AO$3-$B$2)&lt;30), 2,0)</f>
        <v>0</v>
      </c>
    </row>
    <row r="117" spans="2:41" ht="14.4" x14ac:dyDescent="0.25">
      <c r="B117" t="s">
        <v>179</v>
      </c>
      <c r="C117" s="112" t="s">
        <v>281</v>
      </c>
      <c r="D117" s="111">
        <v>6</v>
      </c>
      <c r="E117" s="86">
        <f t="shared" si="2"/>
        <v>9</v>
      </c>
      <c r="F117" s="121">
        <f>WORKDAY(F116,E117,Holiday!A111:A140)</f>
        <v>46267</v>
      </c>
      <c r="G117" s="113">
        <f>IF(OR(AND($F116&lt;=G$3, $F117 &gt;= G$3), AND($F117&lt;G$3, WORKDAY($F117, 22,Holiday!$A$1:$A$30)&gt;G$3)), 1, 0)+IF(AND((G$3-$B$2)&gt;=0,(G$3-$B$2)&lt;30), 2,0)</f>
        <v>0</v>
      </c>
      <c r="H117" s="113">
        <f>IF(OR(AND($F116&lt;=H$3, $F117 &gt;= H$3), AND($F117&lt;H$3, WORKDAY($F117, 22,Holiday!$A$1:$A$30)&gt;H$3)), 1, 0)+IF(AND((H$3-$B$2)&gt;=0,(H$3-$B$2)&lt;30), 2,0)</f>
        <v>0</v>
      </c>
      <c r="I117" s="113">
        <f>IF(OR(AND($F116&lt;=I$3, $F117 &gt;= I$3), AND($F117&lt;I$3, WORKDAY($F117, 22,Holiday!$A$1:$A$30)&gt;I$3)), 1, 0)+IF(AND((I$3-$B$2)&gt;=0,(I$3-$B$2)&lt;30), 2,0)</f>
        <v>0</v>
      </c>
      <c r="J117" s="113">
        <f>IF(OR(AND($F116&lt;=J$3, $F117 &gt;= J$3), AND($F117&lt;J$3, WORKDAY($F117, 22,Holiday!$A$1:$A$30)&gt;J$3)), 1, 0)+IF(AND((J$3-$B$2)&gt;=0,(J$3-$B$2)&lt;30), 2,0)</f>
        <v>0</v>
      </c>
      <c r="K117" s="113">
        <f>IF(OR(AND($F116&lt;=K$3, $F117 &gt;= K$3), AND($F117&lt;K$3, WORKDAY($F117, 22,Holiday!$A$1:$A$30)&gt;K$3)), 1, 0)+IF(AND((K$3-$B$2)&gt;=0,(K$3-$B$2)&lt;30), 2,0)</f>
        <v>0</v>
      </c>
      <c r="L117" s="113">
        <f>IF(OR(AND($F116&lt;=L$3, $F117 &gt;= L$3), AND($F117&lt;L$3, WORKDAY($F117, 22,Holiday!$A$1:$A$30)&gt;L$3)), 1, 0)+IF(AND((L$3-$B$2)&gt;=0,(L$3-$B$2)&lt;30), 2,0)</f>
        <v>0</v>
      </c>
      <c r="M117" s="113">
        <f>IF(OR(AND($F116&lt;=M$3, $F117 &gt;= M$3), AND($F117&lt;M$3, WORKDAY($F117, 22,Holiday!$A$1:$A$30)&gt;M$3)), 1, 0)+IF(AND((M$3-$B$2)&gt;=0,(M$3-$B$2)&lt;30), 2,0)</f>
        <v>0</v>
      </c>
      <c r="N117" s="113">
        <f>IF(OR(AND($F116&lt;=N$3, $F117 &gt;= N$3), AND($F117&lt;N$3, WORKDAY($F117, 22,Holiday!$A$1:$A$30)&gt;N$3)), 1, 0)+IF(AND((N$3-$B$2)&gt;=0,(N$3-$B$2)&lt;30), 2,0)</f>
        <v>1</v>
      </c>
      <c r="O117" s="113">
        <f>IF(OR(AND($F116&lt;=O$3, $F117 &gt;= O$3), AND($F117&lt;O$3, WORKDAY($F117, 22,Holiday!$A$1:$A$30)&gt;O$3)), 1, 0)+IF(AND((O$3-$B$2)&gt;=0,(O$3-$B$2)&lt;30), 2,0)</f>
        <v>0</v>
      </c>
      <c r="P117" s="113">
        <f>IF(OR(AND($F116&lt;=P$3, $F117 &gt;= P$3), AND($F117&lt;P$3, WORKDAY($F117, 22,Holiday!$A$1:$A$30)&gt;P$3)), 1, 0)+IF(AND((P$3-$B$2)&gt;=0,(P$3-$B$2)&lt;30), 2,0)</f>
        <v>0</v>
      </c>
      <c r="Q117" s="113">
        <f>IF(OR(AND($F116&lt;=Q$3, $F117 &gt;= Q$3), AND($F117&lt;Q$3, WORKDAY($F117, 22,Holiday!$A$1:$A$30)&gt;Q$3)), 1, 0)+IF(AND((Q$3-$B$2)&gt;=0,(Q$3-$B$2)&lt;30), 2,0)</f>
        <v>2</v>
      </c>
      <c r="R117" s="113">
        <f>IF(OR(AND($F116&lt;=R$3, $F117 &gt;= R$3), AND($F117&lt;R$3, WORKDAY($F117, 22,Holiday!$A$1:$A$30)&gt;R$3)), 1, 0)+IF(AND((R$3-$B$2)&gt;=0,(R$3-$B$2)&lt;30), 2,0)</f>
        <v>0</v>
      </c>
      <c r="S117" s="113">
        <f>IF(OR(AND($F116&lt;=S$3, $F117 &gt;= S$3), AND($F117&lt;S$3, WORKDAY($F117, 22,Holiday!$A$1:$A$30)&gt;S$3)), 1, 0)+IF(AND((S$3-$B$2)&gt;=0,(S$3-$B$2)&lt;30), 2,0)</f>
        <v>0</v>
      </c>
      <c r="T117" s="113">
        <f>IF(OR(AND($F116&lt;=T$3, $F117 &gt;= T$3), AND($F117&lt;T$3, WORKDAY($F117, 22,Holiday!$A$1:$A$30)&gt;T$3)), 1, 0)+IF(AND((T$3-$B$2)&gt;=0,(T$3-$B$2)&lt;30), 2,0)</f>
        <v>0</v>
      </c>
      <c r="U117" s="113">
        <f>IF(OR(AND($F116&lt;=U$3, $F117 &gt;= U$3), AND($F117&lt;U$3, WORKDAY($F117, 22,Holiday!$A$1:$A$30)&gt;U$3)), 1, 0)+IF(AND((U$3-$B$2)&gt;=0,(U$3-$B$2)&lt;30), 2,0)</f>
        <v>0</v>
      </c>
      <c r="V117" s="113">
        <f>IF(OR(AND($F116&lt;=V$3, $F117 &gt;= V$3), AND($F117&lt;V$3, WORKDAY($F117, 22,Holiday!$A$1:$A$30)&gt;V$3)), 1, 0)+IF(AND((V$3-$B$2)&gt;=0,(V$3-$B$2)&lt;30), 2,0)</f>
        <v>0</v>
      </c>
      <c r="W117" s="113">
        <f>IF(OR(AND($F116&lt;=W$3, $F117 &gt;= W$3), AND($F117&lt;W$3, WORKDAY($F117, 22,Holiday!$A$1:$A$30)&gt;W$3)), 1, 0)+IF(AND((W$3-$B$2)&gt;=0,(W$3-$B$2)&lt;30), 2,0)</f>
        <v>0</v>
      </c>
      <c r="X117" s="113">
        <f>IF(OR(AND($F116&lt;=X$3, $F117 &gt;= X$3), AND($F117&lt;X$3, WORKDAY($F117, 22,Holiday!$A$1:$A$30)&gt;X$3)), 1, 0)+IF(AND((X$3-$B$2)&gt;=0,(X$3-$B$2)&lt;30), 2,0)</f>
        <v>0</v>
      </c>
      <c r="Y117" s="113">
        <f>IF(OR(AND($F116&lt;=Y$3, $F117 &gt;= Y$3), AND($F117&lt;Y$3, WORKDAY($F117, 22,Holiday!$A$1:$A$30)&gt;Y$3)), 1, 0)+IF(AND((Y$3-$B$2)&gt;=0,(Y$3-$B$2)&lt;30), 2,0)</f>
        <v>0</v>
      </c>
      <c r="Z117" s="113">
        <f>IF(OR(AND($F116&lt;=Z$3, $F117 &gt;= Z$3), AND($F117&lt;Z$3, WORKDAY($F117, 22,Holiday!$A$1:$A$30)&gt;Z$3)), 1, 0)+IF(AND((Z$3-$B$2)&gt;=0,(Z$3-$B$2)&lt;30), 2,0)</f>
        <v>0</v>
      </c>
      <c r="AA117" s="113">
        <f>IF(OR(AND($F116&lt;=AA$3, $F117 &gt;= AA$3), AND($F117&lt;AA$3, WORKDAY($F117, 22,Holiday!$A$1:$A$30)&gt;AA$3)), 1, 0)+IF(AND((AA$3-$B$2)&gt;=0,(AA$3-$B$2)&lt;30), 2,0)</f>
        <v>0</v>
      </c>
      <c r="AB117" s="113">
        <f>IF(OR(AND($F116&lt;=AB$3, $F117 &gt;= AB$3), AND($F117&lt;AB$3, WORKDAY($F117, 22,Holiday!$A$1:$A$30)&gt;AB$3)), 1, 0)+IF(AND((AB$3-$B$2)&gt;=0,(AB$3-$B$2)&lt;30), 2,0)</f>
        <v>0</v>
      </c>
      <c r="AC117" s="113">
        <f>IF(OR(AND($F116&lt;=AC$3, $F117 &gt;= AC$3), AND($F117&lt;AC$3, WORKDAY($F117, 22,Holiday!$A$1:$A$30)&gt;AC$3)), 1, 0)+IF(AND((AC$3-$B$2)&gt;=0,(AC$3-$B$2)&lt;30), 2,0)</f>
        <v>0</v>
      </c>
      <c r="AD117" s="113">
        <f>IF(OR(AND($F116&lt;=AD$3, $F117 &gt;= AD$3), AND($F117&lt;AD$3, WORKDAY($F117, 22,Holiday!$A$1:$A$30)&gt;AD$3)), 1, 0)+IF(AND((AD$3-$B$2)&gt;=0,(AD$3-$B$2)&lt;30), 2,0)</f>
        <v>0</v>
      </c>
      <c r="AE117" s="113">
        <f>IF(OR(AND($F116&lt;=AE$3, $F117 &gt;= AE$3), AND($F117&lt;AE$3, WORKDAY($F117, 22,Holiday!$A$1:$A$30)&gt;AE$3)), 1, 0)+IF(AND((AE$3-$B$2)&gt;=0,(AE$3-$B$2)&lt;30), 2,0)</f>
        <v>0</v>
      </c>
      <c r="AF117" s="113">
        <f>IF(OR(AND($F116&lt;=AF$3, $F117 &gt;= AF$3), AND($F117&lt;AF$3, WORKDAY($F117, 22,Holiday!$A$1:$A$30)&gt;AF$3)), 1, 0)+IF(AND((AF$3-$B$2)&gt;=0,(AF$3-$B$2)&lt;30), 2,0)</f>
        <v>0</v>
      </c>
      <c r="AG117" s="113">
        <f>IF(OR(AND($F116&lt;=AG$3, $F117 &gt;= AG$3), AND($F117&lt;AG$3, WORKDAY($F117, 22,Holiday!$A$1:$A$30)&gt;AG$3)), 1, 0)+IF(AND((AG$3-$B$2)&gt;=0,(AG$3-$B$2)&lt;30), 2,0)</f>
        <v>0</v>
      </c>
      <c r="AH117" s="113">
        <f>IF(OR(AND($F116&lt;=AH$3, $F117 &gt;= AH$3), AND($F117&lt;AH$3, WORKDAY($F117, 22,Holiday!$A$1:$A$30)&gt;AH$3)), 1, 0)+IF(AND((AH$3-$B$2)&gt;=0,(AH$3-$B$2)&lt;30), 2,0)</f>
        <v>0</v>
      </c>
      <c r="AI117" s="113">
        <f>IF(OR(AND($F116&lt;=AI$3, $F117 &gt;= AI$3), AND($F117&lt;AI$3, WORKDAY($F117, 22,Holiday!$A$1:$A$30)&gt;AI$3)), 1, 0)+IF(AND((AI$3-$B$2)&gt;=0,(AI$3-$B$2)&lt;30), 2,0)</f>
        <v>0</v>
      </c>
      <c r="AJ117" s="113">
        <f>IF(OR(AND($F116&lt;=AJ$3, $F117 &gt;= AJ$3), AND($F117&lt;AJ$3, WORKDAY($F117, 22,Holiday!$A$1:$A$30)&gt;AJ$3)), 1, 0)+IF(AND((AJ$3-$B$2)&gt;=0,(AJ$3-$B$2)&lt;30), 2,0)</f>
        <v>0</v>
      </c>
      <c r="AK117" s="113">
        <f>IF(OR(AND($F116&lt;=AK$3, $F117 &gt;= AK$3), AND($F117&lt;AK$3, WORKDAY($F117, 22,Holiday!$A$1:$A$30)&gt;AK$3)), 1, 0)+IF(AND((AK$3-$B$2)&gt;=0,(AK$3-$B$2)&lt;30), 2,0)</f>
        <v>0</v>
      </c>
      <c r="AL117" s="113">
        <f>IF(OR(AND($F116&lt;=AL$3, $F117 &gt;= AL$3), AND($F117&lt;AL$3, WORKDAY($F117, 22,Holiday!$A$1:$A$30)&gt;AL$3)), 1, 0)+IF(AND((AL$3-$B$2)&gt;=0,(AL$3-$B$2)&lt;30), 2,0)</f>
        <v>0</v>
      </c>
      <c r="AM117" s="113">
        <f>IF(OR(AND($F116&lt;=AM$3, $F117 &gt;= AM$3), AND($F117&lt;AM$3, WORKDAY($F117, 22,Holiday!$A$1:$A$30)&gt;AM$3)), 1, 0)+IF(AND((AM$3-$B$2)&gt;=0,(AM$3-$B$2)&lt;30), 2,0)</f>
        <v>0</v>
      </c>
      <c r="AN117" s="113">
        <f>IF(OR(AND($F116&lt;=AN$3, $F117 &gt;= AN$3), AND($F117&lt;AN$3, WORKDAY($F117, 22,Holiday!$A$1:$A$30)&gt;AN$3)), 1, 0)+IF(AND((AN$3-$B$2)&gt;=0,(AN$3-$B$2)&lt;30), 2,0)</f>
        <v>0</v>
      </c>
      <c r="AO117" s="113">
        <f>IF(OR(AND($F116&lt;=AO$3, $F117 &gt;= AO$3), AND($F117&lt;AO$3, WORKDAY($F117, 22,Holiday!$A$1:$A$30)&gt;AO$3)), 1, 0)+IF(AND((AO$3-$B$2)&gt;=0,(AO$3-$B$2)&lt;30), 2,0)</f>
        <v>0</v>
      </c>
    </row>
    <row r="118" spans="2:41" ht="14.4" x14ac:dyDescent="0.25">
      <c r="B118" t="s">
        <v>202</v>
      </c>
      <c r="C118" s="112" t="s">
        <v>281</v>
      </c>
      <c r="D118" s="111">
        <v>6</v>
      </c>
      <c r="E118" s="86">
        <f t="shared" si="2"/>
        <v>9</v>
      </c>
      <c r="F118" s="121">
        <f>WORKDAY(F117,E118,Holiday!A112:A141)</f>
        <v>46280</v>
      </c>
      <c r="G118" s="113">
        <f>IF(OR(AND($F117&lt;=G$3, $F118 &gt;= G$3), AND($F118&lt;G$3, WORKDAY($F118, 22,Holiday!$A$1:$A$30)&gt;G$3)), 1, 0)+IF(AND((G$3-$B$2)&gt;=0,(G$3-$B$2)&lt;30), 2,0)</f>
        <v>0</v>
      </c>
      <c r="H118" s="113">
        <f>IF(OR(AND($F117&lt;=H$3, $F118 &gt;= H$3), AND($F118&lt;H$3, WORKDAY($F118, 22,Holiday!$A$1:$A$30)&gt;H$3)), 1, 0)+IF(AND((H$3-$B$2)&gt;=0,(H$3-$B$2)&lt;30), 2,0)</f>
        <v>0</v>
      </c>
      <c r="I118" s="113">
        <f>IF(OR(AND($F117&lt;=I$3, $F118 &gt;= I$3), AND($F118&lt;I$3, WORKDAY($F118, 22,Holiday!$A$1:$A$30)&gt;I$3)), 1, 0)+IF(AND((I$3-$B$2)&gt;=0,(I$3-$B$2)&lt;30), 2,0)</f>
        <v>0</v>
      </c>
      <c r="J118" s="113">
        <f>IF(OR(AND($F117&lt;=J$3, $F118 &gt;= J$3), AND($F118&lt;J$3, WORKDAY($F118, 22,Holiday!$A$1:$A$30)&gt;J$3)), 1, 0)+IF(AND((J$3-$B$2)&gt;=0,(J$3-$B$2)&lt;30), 2,0)</f>
        <v>0</v>
      </c>
      <c r="K118" s="113">
        <f>IF(OR(AND($F117&lt;=K$3, $F118 &gt;= K$3), AND($F118&lt;K$3, WORKDAY($F118, 22,Holiday!$A$1:$A$30)&gt;K$3)), 1, 0)+IF(AND((K$3-$B$2)&gt;=0,(K$3-$B$2)&lt;30), 2,0)</f>
        <v>0</v>
      </c>
      <c r="L118" s="113">
        <f>IF(OR(AND($F117&lt;=L$3, $F118 &gt;= L$3), AND($F118&lt;L$3, WORKDAY($F118, 22,Holiday!$A$1:$A$30)&gt;L$3)), 1, 0)+IF(AND((L$3-$B$2)&gt;=0,(L$3-$B$2)&lt;30), 2,0)</f>
        <v>0</v>
      </c>
      <c r="M118" s="113">
        <f>IF(OR(AND($F117&lt;=M$3, $F118 &gt;= M$3), AND($F118&lt;M$3, WORKDAY($F118, 22,Holiday!$A$1:$A$30)&gt;M$3)), 1, 0)+IF(AND((M$3-$B$2)&gt;=0,(M$3-$B$2)&lt;30), 2,0)</f>
        <v>0</v>
      </c>
      <c r="N118" s="113">
        <f>IF(OR(AND($F117&lt;=N$3, $F118 &gt;= N$3), AND($F118&lt;N$3, WORKDAY($F118, 22,Holiday!$A$1:$A$30)&gt;N$3)), 1, 0)+IF(AND((N$3-$B$2)&gt;=0,(N$3-$B$2)&lt;30), 2,0)</f>
        <v>1</v>
      </c>
      <c r="O118" s="113">
        <f>IF(OR(AND($F117&lt;=O$3, $F118 &gt;= O$3), AND($F118&lt;O$3, WORKDAY($F118, 22,Holiday!$A$1:$A$30)&gt;O$3)), 1, 0)+IF(AND((O$3-$B$2)&gt;=0,(O$3-$B$2)&lt;30), 2,0)</f>
        <v>1</v>
      </c>
      <c r="P118" s="113">
        <f>IF(OR(AND($F117&lt;=P$3, $F118 &gt;= P$3), AND($F118&lt;P$3, WORKDAY($F118, 22,Holiday!$A$1:$A$30)&gt;P$3)), 1, 0)+IF(AND((P$3-$B$2)&gt;=0,(P$3-$B$2)&lt;30), 2,0)</f>
        <v>0</v>
      </c>
      <c r="Q118" s="113">
        <f>IF(OR(AND($F117&lt;=Q$3, $F118 &gt;= Q$3), AND($F118&lt;Q$3, WORKDAY($F118, 22,Holiday!$A$1:$A$30)&gt;Q$3)), 1, 0)+IF(AND((Q$3-$B$2)&gt;=0,(Q$3-$B$2)&lt;30), 2,0)</f>
        <v>2</v>
      </c>
      <c r="R118" s="113">
        <f>IF(OR(AND($F117&lt;=R$3, $F118 &gt;= R$3), AND($F118&lt;R$3, WORKDAY($F118, 22,Holiday!$A$1:$A$30)&gt;R$3)), 1, 0)+IF(AND((R$3-$B$2)&gt;=0,(R$3-$B$2)&lt;30), 2,0)</f>
        <v>0</v>
      </c>
      <c r="S118" s="113">
        <f>IF(OR(AND($F117&lt;=S$3, $F118 &gt;= S$3), AND($F118&lt;S$3, WORKDAY($F118, 22,Holiday!$A$1:$A$30)&gt;S$3)), 1, 0)+IF(AND((S$3-$B$2)&gt;=0,(S$3-$B$2)&lt;30), 2,0)</f>
        <v>0</v>
      </c>
      <c r="T118" s="113">
        <f>IF(OR(AND($F117&lt;=T$3, $F118 &gt;= T$3), AND($F118&lt;T$3, WORKDAY($F118, 22,Holiday!$A$1:$A$30)&gt;T$3)), 1, 0)+IF(AND((T$3-$B$2)&gt;=0,(T$3-$B$2)&lt;30), 2,0)</f>
        <v>0</v>
      </c>
      <c r="U118" s="113">
        <f>IF(OR(AND($F117&lt;=U$3, $F118 &gt;= U$3), AND($F118&lt;U$3, WORKDAY($F118, 22,Holiday!$A$1:$A$30)&gt;U$3)), 1, 0)+IF(AND((U$3-$B$2)&gt;=0,(U$3-$B$2)&lt;30), 2,0)</f>
        <v>0</v>
      </c>
      <c r="V118" s="113">
        <f>IF(OR(AND($F117&lt;=V$3, $F118 &gt;= V$3), AND($F118&lt;V$3, WORKDAY($F118, 22,Holiday!$A$1:$A$30)&gt;V$3)), 1, 0)+IF(AND((V$3-$B$2)&gt;=0,(V$3-$B$2)&lt;30), 2,0)</f>
        <v>0</v>
      </c>
      <c r="W118" s="113">
        <f>IF(OR(AND($F117&lt;=W$3, $F118 &gt;= W$3), AND($F118&lt;W$3, WORKDAY($F118, 22,Holiday!$A$1:$A$30)&gt;W$3)), 1, 0)+IF(AND((W$3-$B$2)&gt;=0,(W$3-$B$2)&lt;30), 2,0)</f>
        <v>0</v>
      </c>
      <c r="X118" s="113">
        <f>IF(OR(AND($F117&lt;=X$3, $F118 &gt;= X$3), AND($F118&lt;X$3, WORKDAY($F118, 22,Holiday!$A$1:$A$30)&gt;X$3)), 1, 0)+IF(AND((X$3-$B$2)&gt;=0,(X$3-$B$2)&lt;30), 2,0)</f>
        <v>0</v>
      </c>
      <c r="Y118" s="113">
        <f>IF(OR(AND($F117&lt;=Y$3, $F118 &gt;= Y$3), AND($F118&lt;Y$3, WORKDAY($F118, 22,Holiday!$A$1:$A$30)&gt;Y$3)), 1, 0)+IF(AND((Y$3-$B$2)&gt;=0,(Y$3-$B$2)&lt;30), 2,0)</f>
        <v>0</v>
      </c>
      <c r="Z118" s="113">
        <f>IF(OR(AND($F117&lt;=Z$3, $F118 &gt;= Z$3), AND($F118&lt;Z$3, WORKDAY($F118, 22,Holiday!$A$1:$A$30)&gt;Z$3)), 1, 0)+IF(AND((Z$3-$B$2)&gt;=0,(Z$3-$B$2)&lt;30), 2,0)</f>
        <v>0</v>
      </c>
      <c r="AA118" s="113">
        <f>IF(OR(AND($F117&lt;=AA$3, $F118 &gt;= AA$3), AND($F118&lt;AA$3, WORKDAY($F118, 22,Holiday!$A$1:$A$30)&gt;AA$3)), 1, 0)+IF(AND((AA$3-$B$2)&gt;=0,(AA$3-$B$2)&lt;30), 2,0)</f>
        <v>0</v>
      </c>
      <c r="AB118" s="113">
        <f>IF(OR(AND($F117&lt;=AB$3, $F118 &gt;= AB$3), AND($F118&lt;AB$3, WORKDAY($F118, 22,Holiday!$A$1:$A$30)&gt;AB$3)), 1, 0)+IF(AND((AB$3-$B$2)&gt;=0,(AB$3-$B$2)&lt;30), 2,0)</f>
        <v>0</v>
      </c>
      <c r="AC118" s="113">
        <f>IF(OR(AND($F117&lt;=AC$3, $F118 &gt;= AC$3), AND($F118&lt;AC$3, WORKDAY($F118, 22,Holiday!$A$1:$A$30)&gt;AC$3)), 1, 0)+IF(AND((AC$3-$B$2)&gt;=0,(AC$3-$B$2)&lt;30), 2,0)</f>
        <v>0</v>
      </c>
      <c r="AD118" s="113">
        <f>IF(OR(AND($F117&lt;=AD$3, $F118 &gt;= AD$3), AND($F118&lt;AD$3, WORKDAY($F118, 22,Holiday!$A$1:$A$30)&gt;AD$3)), 1, 0)+IF(AND((AD$3-$B$2)&gt;=0,(AD$3-$B$2)&lt;30), 2,0)</f>
        <v>0</v>
      </c>
      <c r="AE118" s="113">
        <f>IF(OR(AND($F117&lt;=AE$3, $F118 &gt;= AE$3), AND($F118&lt;AE$3, WORKDAY($F118, 22,Holiday!$A$1:$A$30)&gt;AE$3)), 1, 0)+IF(AND((AE$3-$B$2)&gt;=0,(AE$3-$B$2)&lt;30), 2,0)</f>
        <v>0</v>
      </c>
      <c r="AF118" s="113">
        <f>IF(OR(AND($F117&lt;=AF$3, $F118 &gt;= AF$3), AND($F118&lt;AF$3, WORKDAY($F118, 22,Holiday!$A$1:$A$30)&gt;AF$3)), 1, 0)+IF(AND((AF$3-$B$2)&gt;=0,(AF$3-$B$2)&lt;30), 2,0)</f>
        <v>0</v>
      </c>
      <c r="AG118" s="113">
        <f>IF(OR(AND($F117&lt;=AG$3, $F118 &gt;= AG$3), AND($F118&lt;AG$3, WORKDAY($F118, 22,Holiday!$A$1:$A$30)&gt;AG$3)), 1, 0)+IF(AND((AG$3-$B$2)&gt;=0,(AG$3-$B$2)&lt;30), 2,0)</f>
        <v>0</v>
      </c>
      <c r="AH118" s="113">
        <f>IF(OR(AND($F117&lt;=AH$3, $F118 &gt;= AH$3), AND($F118&lt;AH$3, WORKDAY($F118, 22,Holiday!$A$1:$A$30)&gt;AH$3)), 1, 0)+IF(AND((AH$3-$B$2)&gt;=0,(AH$3-$B$2)&lt;30), 2,0)</f>
        <v>0</v>
      </c>
      <c r="AI118" s="113">
        <f>IF(OR(AND($F117&lt;=AI$3, $F118 &gt;= AI$3), AND($F118&lt;AI$3, WORKDAY($F118, 22,Holiday!$A$1:$A$30)&gt;AI$3)), 1, 0)+IF(AND((AI$3-$B$2)&gt;=0,(AI$3-$B$2)&lt;30), 2,0)</f>
        <v>0</v>
      </c>
      <c r="AJ118" s="113">
        <f>IF(OR(AND($F117&lt;=AJ$3, $F118 &gt;= AJ$3), AND($F118&lt;AJ$3, WORKDAY($F118, 22,Holiday!$A$1:$A$30)&gt;AJ$3)), 1, 0)+IF(AND((AJ$3-$B$2)&gt;=0,(AJ$3-$B$2)&lt;30), 2,0)</f>
        <v>0</v>
      </c>
      <c r="AK118" s="113">
        <f>IF(OR(AND($F117&lt;=AK$3, $F118 &gt;= AK$3), AND($F118&lt;AK$3, WORKDAY($F118, 22,Holiday!$A$1:$A$30)&gt;AK$3)), 1, 0)+IF(AND((AK$3-$B$2)&gt;=0,(AK$3-$B$2)&lt;30), 2,0)</f>
        <v>0</v>
      </c>
      <c r="AL118" s="113">
        <f>IF(OR(AND($F117&lt;=AL$3, $F118 &gt;= AL$3), AND($F118&lt;AL$3, WORKDAY($F118, 22,Holiday!$A$1:$A$30)&gt;AL$3)), 1, 0)+IF(AND((AL$3-$B$2)&gt;=0,(AL$3-$B$2)&lt;30), 2,0)</f>
        <v>0</v>
      </c>
      <c r="AM118" s="113">
        <f>IF(OR(AND($F117&lt;=AM$3, $F118 &gt;= AM$3), AND($F118&lt;AM$3, WORKDAY($F118, 22,Holiday!$A$1:$A$30)&gt;AM$3)), 1, 0)+IF(AND((AM$3-$B$2)&gt;=0,(AM$3-$B$2)&lt;30), 2,0)</f>
        <v>0</v>
      </c>
      <c r="AN118" s="113">
        <f>IF(OR(AND($F117&lt;=AN$3, $F118 &gt;= AN$3), AND($F118&lt;AN$3, WORKDAY($F118, 22,Holiday!$A$1:$A$30)&gt;AN$3)), 1, 0)+IF(AND((AN$3-$B$2)&gt;=0,(AN$3-$B$2)&lt;30), 2,0)</f>
        <v>0</v>
      </c>
      <c r="AO118" s="113">
        <f>IF(OR(AND($F117&lt;=AO$3, $F118 &gt;= AO$3), AND($F118&lt;AO$3, WORKDAY($F118, 22,Holiday!$A$1:$A$30)&gt;AO$3)), 1, 0)+IF(AND((AO$3-$B$2)&gt;=0,(AO$3-$B$2)&lt;30), 2,0)</f>
        <v>0</v>
      </c>
    </row>
    <row r="119" spans="2:41" ht="14.4" x14ac:dyDescent="0.25">
      <c r="B119" t="s">
        <v>180</v>
      </c>
      <c r="C119" s="112" t="s">
        <v>281</v>
      </c>
      <c r="D119" s="111">
        <v>6</v>
      </c>
      <c r="E119" s="86">
        <f t="shared" si="2"/>
        <v>9</v>
      </c>
      <c r="F119" s="121">
        <f>WORKDAY(F118,E119,Holiday!A113:A142)</f>
        <v>46293</v>
      </c>
      <c r="G119" s="113">
        <f>IF(OR(AND($F118&lt;=G$3, $F119 &gt;= G$3), AND($F119&lt;G$3, WORKDAY($F119, 22,Holiday!$A$1:$A$30)&gt;G$3)), 1, 0)+IF(AND((G$3-$B$2)&gt;=0,(G$3-$B$2)&lt;30), 2,0)</f>
        <v>0</v>
      </c>
      <c r="H119" s="113">
        <f>IF(OR(AND($F118&lt;=H$3, $F119 &gt;= H$3), AND($F119&lt;H$3, WORKDAY($F119, 22,Holiday!$A$1:$A$30)&gt;H$3)), 1, 0)+IF(AND((H$3-$B$2)&gt;=0,(H$3-$B$2)&lt;30), 2,0)</f>
        <v>0</v>
      </c>
      <c r="I119" s="113">
        <f>IF(OR(AND($F118&lt;=I$3, $F119 &gt;= I$3), AND($F119&lt;I$3, WORKDAY($F119, 22,Holiday!$A$1:$A$30)&gt;I$3)), 1, 0)+IF(AND((I$3-$B$2)&gt;=0,(I$3-$B$2)&lt;30), 2,0)</f>
        <v>0</v>
      </c>
      <c r="J119" s="113">
        <f>IF(OR(AND($F118&lt;=J$3, $F119 &gt;= J$3), AND($F119&lt;J$3, WORKDAY($F119, 22,Holiday!$A$1:$A$30)&gt;J$3)), 1, 0)+IF(AND((J$3-$B$2)&gt;=0,(J$3-$B$2)&lt;30), 2,0)</f>
        <v>0</v>
      </c>
      <c r="K119" s="113">
        <f>IF(OR(AND($F118&lt;=K$3, $F119 &gt;= K$3), AND($F119&lt;K$3, WORKDAY($F119, 22,Holiday!$A$1:$A$30)&gt;K$3)), 1, 0)+IF(AND((K$3-$B$2)&gt;=0,(K$3-$B$2)&lt;30), 2,0)</f>
        <v>0</v>
      </c>
      <c r="L119" s="113">
        <f>IF(OR(AND($F118&lt;=L$3, $F119 &gt;= L$3), AND($F119&lt;L$3, WORKDAY($F119, 22,Holiday!$A$1:$A$30)&gt;L$3)), 1, 0)+IF(AND((L$3-$B$2)&gt;=0,(L$3-$B$2)&lt;30), 2,0)</f>
        <v>0</v>
      </c>
      <c r="M119" s="113">
        <f>IF(OR(AND($F118&lt;=M$3, $F119 &gt;= M$3), AND($F119&lt;M$3, WORKDAY($F119, 22,Holiday!$A$1:$A$30)&gt;M$3)), 1, 0)+IF(AND((M$3-$B$2)&gt;=0,(M$3-$B$2)&lt;30), 2,0)</f>
        <v>0</v>
      </c>
      <c r="N119" s="113">
        <f>IF(OR(AND($F118&lt;=N$3, $F119 &gt;= N$3), AND($F119&lt;N$3, WORKDAY($F119, 22,Holiday!$A$1:$A$30)&gt;N$3)), 1, 0)+IF(AND((N$3-$B$2)&gt;=0,(N$3-$B$2)&lt;30), 2,0)</f>
        <v>0</v>
      </c>
      <c r="O119" s="113">
        <f>IF(OR(AND($F118&lt;=O$3, $F119 &gt;= O$3), AND($F119&lt;O$3, WORKDAY($F119, 22,Holiday!$A$1:$A$30)&gt;O$3)), 1, 0)+IF(AND((O$3-$B$2)&gt;=0,(O$3-$B$2)&lt;30), 2,0)</f>
        <v>1</v>
      </c>
      <c r="P119" s="113">
        <f>IF(OR(AND($F118&lt;=P$3, $F119 &gt;= P$3), AND($F119&lt;P$3, WORKDAY($F119, 22,Holiday!$A$1:$A$30)&gt;P$3)), 1, 0)+IF(AND((P$3-$B$2)&gt;=0,(P$3-$B$2)&lt;30), 2,0)</f>
        <v>0</v>
      </c>
      <c r="Q119" s="113">
        <f>IF(OR(AND($F118&lt;=Q$3, $F119 &gt;= Q$3), AND($F119&lt;Q$3, WORKDAY($F119, 22,Holiday!$A$1:$A$30)&gt;Q$3)), 1, 0)+IF(AND((Q$3-$B$2)&gt;=0,(Q$3-$B$2)&lt;30), 2,0)</f>
        <v>2</v>
      </c>
      <c r="R119" s="113">
        <f>IF(OR(AND($F118&lt;=R$3, $F119 &gt;= R$3), AND($F119&lt;R$3, WORKDAY($F119, 22,Holiday!$A$1:$A$30)&gt;R$3)), 1, 0)+IF(AND((R$3-$B$2)&gt;=0,(R$3-$B$2)&lt;30), 2,0)</f>
        <v>0</v>
      </c>
      <c r="S119" s="113">
        <f>IF(OR(AND($F118&lt;=S$3, $F119 &gt;= S$3), AND($F119&lt;S$3, WORKDAY($F119, 22,Holiday!$A$1:$A$30)&gt;S$3)), 1, 0)+IF(AND((S$3-$B$2)&gt;=0,(S$3-$B$2)&lt;30), 2,0)</f>
        <v>0</v>
      </c>
      <c r="T119" s="113">
        <f>IF(OR(AND($F118&lt;=T$3, $F119 &gt;= T$3), AND($F119&lt;T$3, WORKDAY($F119, 22,Holiday!$A$1:$A$30)&gt;T$3)), 1, 0)+IF(AND((T$3-$B$2)&gt;=0,(T$3-$B$2)&lt;30), 2,0)</f>
        <v>0</v>
      </c>
      <c r="U119" s="113">
        <f>IF(OR(AND($F118&lt;=U$3, $F119 &gt;= U$3), AND($F119&lt;U$3, WORKDAY($F119, 22,Holiday!$A$1:$A$30)&gt;U$3)), 1, 0)+IF(AND((U$3-$B$2)&gt;=0,(U$3-$B$2)&lt;30), 2,0)</f>
        <v>0</v>
      </c>
      <c r="V119" s="113">
        <f>IF(OR(AND($F118&lt;=V$3, $F119 &gt;= V$3), AND($F119&lt;V$3, WORKDAY($F119, 22,Holiday!$A$1:$A$30)&gt;V$3)), 1, 0)+IF(AND((V$3-$B$2)&gt;=0,(V$3-$B$2)&lt;30), 2,0)</f>
        <v>0</v>
      </c>
      <c r="W119" s="113">
        <f>IF(OR(AND($F118&lt;=W$3, $F119 &gt;= W$3), AND($F119&lt;W$3, WORKDAY($F119, 22,Holiday!$A$1:$A$30)&gt;W$3)), 1, 0)+IF(AND((W$3-$B$2)&gt;=0,(W$3-$B$2)&lt;30), 2,0)</f>
        <v>0</v>
      </c>
      <c r="X119" s="113">
        <f>IF(OR(AND($F118&lt;=X$3, $F119 &gt;= X$3), AND($F119&lt;X$3, WORKDAY($F119, 22,Holiday!$A$1:$A$30)&gt;X$3)), 1, 0)+IF(AND((X$3-$B$2)&gt;=0,(X$3-$B$2)&lt;30), 2,0)</f>
        <v>0</v>
      </c>
      <c r="Y119" s="113">
        <f>IF(OR(AND($F118&lt;=Y$3, $F119 &gt;= Y$3), AND($F119&lt;Y$3, WORKDAY($F119, 22,Holiday!$A$1:$A$30)&gt;Y$3)), 1, 0)+IF(AND((Y$3-$B$2)&gt;=0,(Y$3-$B$2)&lt;30), 2,0)</f>
        <v>0</v>
      </c>
      <c r="Z119" s="113">
        <f>IF(OR(AND($F118&lt;=Z$3, $F119 &gt;= Z$3), AND($F119&lt;Z$3, WORKDAY($F119, 22,Holiday!$A$1:$A$30)&gt;Z$3)), 1, 0)+IF(AND((Z$3-$B$2)&gt;=0,(Z$3-$B$2)&lt;30), 2,0)</f>
        <v>0</v>
      </c>
      <c r="AA119" s="113">
        <f>IF(OR(AND($F118&lt;=AA$3, $F119 &gt;= AA$3), AND($F119&lt;AA$3, WORKDAY($F119, 22,Holiday!$A$1:$A$30)&gt;AA$3)), 1, 0)+IF(AND((AA$3-$B$2)&gt;=0,(AA$3-$B$2)&lt;30), 2,0)</f>
        <v>0</v>
      </c>
      <c r="AB119" s="113">
        <f>IF(OR(AND($F118&lt;=AB$3, $F119 &gt;= AB$3), AND($F119&lt;AB$3, WORKDAY($F119, 22,Holiday!$A$1:$A$30)&gt;AB$3)), 1, 0)+IF(AND((AB$3-$B$2)&gt;=0,(AB$3-$B$2)&lt;30), 2,0)</f>
        <v>0</v>
      </c>
      <c r="AC119" s="113">
        <f>IF(OR(AND($F118&lt;=AC$3, $F119 &gt;= AC$3), AND($F119&lt;AC$3, WORKDAY($F119, 22,Holiday!$A$1:$A$30)&gt;AC$3)), 1, 0)+IF(AND((AC$3-$B$2)&gt;=0,(AC$3-$B$2)&lt;30), 2,0)</f>
        <v>0</v>
      </c>
      <c r="AD119" s="113">
        <f>IF(OR(AND($F118&lt;=AD$3, $F119 &gt;= AD$3), AND($F119&lt;AD$3, WORKDAY($F119, 22,Holiday!$A$1:$A$30)&gt;AD$3)), 1, 0)+IF(AND((AD$3-$B$2)&gt;=0,(AD$3-$B$2)&lt;30), 2,0)</f>
        <v>0</v>
      </c>
      <c r="AE119" s="113">
        <f>IF(OR(AND($F118&lt;=AE$3, $F119 &gt;= AE$3), AND($F119&lt;AE$3, WORKDAY($F119, 22,Holiday!$A$1:$A$30)&gt;AE$3)), 1, 0)+IF(AND((AE$3-$B$2)&gt;=0,(AE$3-$B$2)&lt;30), 2,0)</f>
        <v>0</v>
      </c>
      <c r="AF119" s="113">
        <f>IF(OR(AND($F118&lt;=AF$3, $F119 &gt;= AF$3), AND($F119&lt;AF$3, WORKDAY($F119, 22,Holiday!$A$1:$A$30)&gt;AF$3)), 1, 0)+IF(AND((AF$3-$B$2)&gt;=0,(AF$3-$B$2)&lt;30), 2,0)</f>
        <v>0</v>
      </c>
      <c r="AG119" s="113">
        <f>IF(OR(AND($F118&lt;=AG$3, $F119 &gt;= AG$3), AND($F119&lt;AG$3, WORKDAY($F119, 22,Holiday!$A$1:$A$30)&gt;AG$3)), 1, 0)+IF(AND((AG$3-$B$2)&gt;=0,(AG$3-$B$2)&lt;30), 2,0)</f>
        <v>0</v>
      </c>
      <c r="AH119" s="113">
        <f>IF(OR(AND($F118&lt;=AH$3, $F119 &gt;= AH$3), AND($F119&lt;AH$3, WORKDAY($F119, 22,Holiday!$A$1:$A$30)&gt;AH$3)), 1, 0)+IF(AND((AH$3-$B$2)&gt;=0,(AH$3-$B$2)&lt;30), 2,0)</f>
        <v>0</v>
      </c>
      <c r="AI119" s="113">
        <f>IF(OR(AND($F118&lt;=AI$3, $F119 &gt;= AI$3), AND($F119&lt;AI$3, WORKDAY($F119, 22,Holiday!$A$1:$A$30)&gt;AI$3)), 1, 0)+IF(AND((AI$3-$B$2)&gt;=0,(AI$3-$B$2)&lt;30), 2,0)</f>
        <v>0</v>
      </c>
      <c r="AJ119" s="113">
        <f>IF(OR(AND($F118&lt;=AJ$3, $F119 &gt;= AJ$3), AND($F119&lt;AJ$3, WORKDAY($F119, 22,Holiday!$A$1:$A$30)&gt;AJ$3)), 1, 0)+IF(AND((AJ$3-$B$2)&gt;=0,(AJ$3-$B$2)&lt;30), 2,0)</f>
        <v>0</v>
      </c>
      <c r="AK119" s="113">
        <f>IF(OR(AND($F118&lt;=AK$3, $F119 &gt;= AK$3), AND($F119&lt;AK$3, WORKDAY($F119, 22,Holiday!$A$1:$A$30)&gt;AK$3)), 1, 0)+IF(AND((AK$3-$B$2)&gt;=0,(AK$3-$B$2)&lt;30), 2,0)</f>
        <v>0</v>
      </c>
      <c r="AL119" s="113">
        <f>IF(OR(AND($F118&lt;=AL$3, $F119 &gt;= AL$3), AND($F119&lt;AL$3, WORKDAY($F119, 22,Holiday!$A$1:$A$30)&gt;AL$3)), 1, 0)+IF(AND((AL$3-$B$2)&gt;=0,(AL$3-$B$2)&lt;30), 2,0)</f>
        <v>0</v>
      </c>
      <c r="AM119" s="113">
        <f>IF(OR(AND($F118&lt;=AM$3, $F119 &gt;= AM$3), AND($F119&lt;AM$3, WORKDAY($F119, 22,Holiday!$A$1:$A$30)&gt;AM$3)), 1, 0)+IF(AND((AM$3-$B$2)&gt;=0,(AM$3-$B$2)&lt;30), 2,0)</f>
        <v>0</v>
      </c>
      <c r="AN119" s="113">
        <f>IF(OR(AND($F118&lt;=AN$3, $F119 &gt;= AN$3), AND($F119&lt;AN$3, WORKDAY($F119, 22,Holiday!$A$1:$A$30)&gt;AN$3)), 1, 0)+IF(AND((AN$3-$B$2)&gt;=0,(AN$3-$B$2)&lt;30), 2,0)</f>
        <v>0</v>
      </c>
      <c r="AO119" s="113">
        <f>IF(OR(AND($F118&lt;=AO$3, $F119 &gt;= AO$3), AND($F119&lt;AO$3, WORKDAY($F119, 22,Holiday!$A$1:$A$30)&gt;AO$3)), 1, 0)+IF(AND((AO$3-$B$2)&gt;=0,(AO$3-$B$2)&lt;30), 2,0)</f>
        <v>0</v>
      </c>
    </row>
    <row r="120" spans="2:41" ht="14.4" x14ac:dyDescent="0.25">
      <c r="B120" t="s">
        <v>175</v>
      </c>
      <c r="C120" s="112" t="s">
        <v>281</v>
      </c>
      <c r="D120" s="111">
        <v>6</v>
      </c>
      <c r="E120" s="86">
        <f t="shared" ref="E120:E153" si="3">ROUNDUP(D120*(1+$D$2),0)</f>
        <v>9</v>
      </c>
      <c r="F120" s="121">
        <f>WORKDAY(F119,E120,Holiday!A114:A143)</f>
        <v>46304</v>
      </c>
      <c r="G120" s="113">
        <f>IF(OR(AND($F119&lt;=G$3, $F120 &gt;= G$3), AND($F120&lt;G$3, WORKDAY($F120, 22,Holiday!$A$1:$A$30)&gt;G$3)), 1, 0)+IF(AND((G$3-$B$2)&gt;=0,(G$3-$B$2)&lt;30), 2,0)</f>
        <v>0</v>
      </c>
      <c r="H120" s="113">
        <f>IF(OR(AND($F119&lt;=H$3, $F120 &gt;= H$3), AND($F120&lt;H$3, WORKDAY($F120, 22,Holiday!$A$1:$A$30)&gt;H$3)), 1, 0)+IF(AND((H$3-$B$2)&gt;=0,(H$3-$B$2)&lt;30), 2,0)</f>
        <v>0</v>
      </c>
      <c r="I120" s="113">
        <f>IF(OR(AND($F119&lt;=I$3, $F120 &gt;= I$3), AND($F120&lt;I$3, WORKDAY($F120, 22,Holiday!$A$1:$A$30)&gt;I$3)), 1, 0)+IF(AND((I$3-$B$2)&gt;=0,(I$3-$B$2)&lt;30), 2,0)</f>
        <v>0</v>
      </c>
      <c r="J120" s="113">
        <f>IF(OR(AND($F119&lt;=J$3, $F120 &gt;= J$3), AND($F120&lt;J$3, WORKDAY($F120, 22,Holiday!$A$1:$A$30)&gt;J$3)), 1, 0)+IF(AND((J$3-$B$2)&gt;=0,(J$3-$B$2)&lt;30), 2,0)</f>
        <v>0</v>
      </c>
      <c r="K120" s="113">
        <f>IF(OR(AND($F119&lt;=K$3, $F120 &gt;= K$3), AND($F120&lt;K$3, WORKDAY($F120, 22,Holiday!$A$1:$A$30)&gt;K$3)), 1, 0)+IF(AND((K$3-$B$2)&gt;=0,(K$3-$B$2)&lt;30), 2,0)</f>
        <v>0</v>
      </c>
      <c r="L120" s="113">
        <f>IF(OR(AND($F119&lt;=L$3, $F120 &gt;= L$3), AND($F120&lt;L$3, WORKDAY($F120, 22,Holiday!$A$1:$A$30)&gt;L$3)), 1, 0)+IF(AND((L$3-$B$2)&gt;=0,(L$3-$B$2)&lt;30), 2,0)</f>
        <v>0</v>
      </c>
      <c r="M120" s="113">
        <f>IF(OR(AND($F119&lt;=M$3, $F120 &gt;= M$3), AND($F120&lt;M$3, WORKDAY($F120, 22,Holiday!$A$1:$A$30)&gt;M$3)), 1, 0)+IF(AND((M$3-$B$2)&gt;=0,(M$3-$B$2)&lt;30), 2,0)</f>
        <v>0</v>
      </c>
      <c r="N120" s="113">
        <f>IF(OR(AND($F119&lt;=N$3, $F120 &gt;= N$3), AND($F120&lt;N$3, WORKDAY($F120, 22,Holiday!$A$1:$A$30)&gt;N$3)), 1, 0)+IF(AND((N$3-$B$2)&gt;=0,(N$3-$B$2)&lt;30), 2,0)</f>
        <v>0</v>
      </c>
      <c r="O120" s="113">
        <f>IF(OR(AND($F119&lt;=O$3, $F120 &gt;= O$3), AND($F120&lt;O$3, WORKDAY($F120, 22,Holiday!$A$1:$A$30)&gt;O$3)), 1, 0)+IF(AND((O$3-$B$2)&gt;=0,(O$3-$B$2)&lt;30), 2,0)</f>
        <v>1</v>
      </c>
      <c r="P120" s="113">
        <f>IF(OR(AND($F119&lt;=P$3, $F120 &gt;= P$3), AND($F120&lt;P$3, WORKDAY($F120, 22,Holiday!$A$1:$A$30)&gt;P$3)), 1, 0)+IF(AND((P$3-$B$2)&gt;=0,(P$3-$B$2)&lt;30), 2,0)</f>
        <v>0</v>
      </c>
      <c r="Q120" s="113">
        <f>IF(OR(AND($F119&lt;=Q$3, $F120 &gt;= Q$3), AND($F120&lt;Q$3, WORKDAY($F120, 22,Holiday!$A$1:$A$30)&gt;Q$3)), 1, 0)+IF(AND((Q$3-$B$2)&gt;=0,(Q$3-$B$2)&lt;30), 2,0)</f>
        <v>2</v>
      </c>
      <c r="R120" s="113">
        <f>IF(OR(AND($F119&lt;=R$3, $F120 &gt;= R$3), AND($F120&lt;R$3, WORKDAY($F120, 22,Holiday!$A$1:$A$30)&gt;R$3)), 1, 0)+IF(AND((R$3-$B$2)&gt;=0,(R$3-$B$2)&lt;30), 2,0)</f>
        <v>0</v>
      </c>
      <c r="S120" s="113">
        <f>IF(OR(AND($F119&lt;=S$3, $F120 &gt;= S$3), AND($F120&lt;S$3, WORKDAY($F120, 22,Holiday!$A$1:$A$30)&gt;S$3)), 1, 0)+IF(AND((S$3-$B$2)&gt;=0,(S$3-$B$2)&lt;30), 2,0)</f>
        <v>0</v>
      </c>
      <c r="T120" s="113">
        <f>IF(OR(AND($F119&lt;=T$3, $F120 &gt;= T$3), AND($F120&lt;T$3, WORKDAY($F120, 22,Holiday!$A$1:$A$30)&gt;T$3)), 1, 0)+IF(AND((T$3-$B$2)&gt;=0,(T$3-$B$2)&lt;30), 2,0)</f>
        <v>0</v>
      </c>
      <c r="U120" s="113">
        <f>IF(OR(AND($F119&lt;=U$3, $F120 &gt;= U$3), AND($F120&lt;U$3, WORKDAY($F120, 22,Holiday!$A$1:$A$30)&gt;U$3)), 1, 0)+IF(AND((U$3-$B$2)&gt;=0,(U$3-$B$2)&lt;30), 2,0)</f>
        <v>0</v>
      </c>
      <c r="V120" s="113">
        <f>IF(OR(AND($F119&lt;=V$3, $F120 &gt;= V$3), AND($F120&lt;V$3, WORKDAY($F120, 22,Holiday!$A$1:$A$30)&gt;V$3)), 1, 0)+IF(AND((V$3-$B$2)&gt;=0,(V$3-$B$2)&lt;30), 2,0)</f>
        <v>0</v>
      </c>
      <c r="W120" s="113">
        <f>IF(OR(AND($F119&lt;=W$3, $F120 &gt;= W$3), AND($F120&lt;W$3, WORKDAY($F120, 22,Holiday!$A$1:$A$30)&gt;W$3)), 1, 0)+IF(AND((W$3-$B$2)&gt;=0,(W$3-$B$2)&lt;30), 2,0)</f>
        <v>0</v>
      </c>
      <c r="X120" s="113">
        <f>IF(OR(AND($F119&lt;=X$3, $F120 &gt;= X$3), AND($F120&lt;X$3, WORKDAY($F120, 22,Holiday!$A$1:$A$30)&gt;X$3)), 1, 0)+IF(AND((X$3-$B$2)&gt;=0,(X$3-$B$2)&lt;30), 2,0)</f>
        <v>0</v>
      </c>
      <c r="Y120" s="113">
        <f>IF(OR(AND($F119&lt;=Y$3, $F120 &gt;= Y$3), AND($F120&lt;Y$3, WORKDAY($F120, 22,Holiday!$A$1:$A$30)&gt;Y$3)), 1, 0)+IF(AND((Y$3-$B$2)&gt;=0,(Y$3-$B$2)&lt;30), 2,0)</f>
        <v>0</v>
      </c>
      <c r="Z120" s="113">
        <f>IF(OR(AND($F119&lt;=Z$3, $F120 &gt;= Z$3), AND($F120&lt;Z$3, WORKDAY($F120, 22,Holiday!$A$1:$A$30)&gt;Z$3)), 1, 0)+IF(AND((Z$3-$B$2)&gt;=0,(Z$3-$B$2)&lt;30), 2,0)</f>
        <v>0</v>
      </c>
      <c r="AA120" s="113">
        <f>IF(OR(AND($F119&lt;=AA$3, $F120 &gt;= AA$3), AND($F120&lt;AA$3, WORKDAY($F120, 22,Holiday!$A$1:$A$30)&gt;AA$3)), 1, 0)+IF(AND((AA$3-$B$2)&gt;=0,(AA$3-$B$2)&lt;30), 2,0)</f>
        <v>0</v>
      </c>
      <c r="AB120" s="113">
        <f>IF(OR(AND($F119&lt;=AB$3, $F120 &gt;= AB$3), AND($F120&lt;AB$3, WORKDAY($F120, 22,Holiday!$A$1:$A$30)&gt;AB$3)), 1, 0)+IF(AND((AB$3-$B$2)&gt;=0,(AB$3-$B$2)&lt;30), 2,0)</f>
        <v>0</v>
      </c>
      <c r="AC120" s="113">
        <f>IF(OR(AND($F119&lt;=AC$3, $F120 &gt;= AC$3), AND($F120&lt;AC$3, WORKDAY($F120, 22,Holiday!$A$1:$A$30)&gt;AC$3)), 1, 0)+IF(AND((AC$3-$B$2)&gt;=0,(AC$3-$B$2)&lt;30), 2,0)</f>
        <v>0</v>
      </c>
      <c r="AD120" s="113">
        <f>IF(OR(AND($F119&lt;=AD$3, $F120 &gt;= AD$3), AND($F120&lt;AD$3, WORKDAY($F120, 22,Holiday!$A$1:$A$30)&gt;AD$3)), 1, 0)+IF(AND((AD$3-$B$2)&gt;=0,(AD$3-$B$2)&lt;30), 2,0)</f>
        <v>0</v>
      </c>
      <c r="AE120" s="113">
        <f>IF(OR(AND($F119&lt;=AE$3, $F120 &gt;= AE$3), AND($F120&lt;AE$3, WORKDAY($F120, 22,Holiday!$A$1:$A$30)&gt;AE$3)), 1, 0)+IF(AND((AE$3-$B$2)&gt;=0,(AE$3-$B$2)&lt;30), 2,0)</f>
        <v>0</v>
      </c>
      <c r="AF120" s="113">
        <f>IF(OR(AND($F119&lt;=AF$3, $F120 &gt;= AF$3), AND($F120&lt;AF$3, WORKDAY($F120, 22,Holiday!$A$1:$A$30)&gt;AF$3)), 1, 0)+IF(AND((AF$3-$B$2)&gt;=0,(AF$3-$B$2)&lt;30), 2,0)</f>
        <v>0</v>
      </c>
      <c r="AG120" s="113">
        <f>IF(OR(AND($F119&lt;=AG$3, $F120 &gt;= AG$3), AND($F120&lt;AG$3, WORKDAY($F120, 22,Holiday!$A$1:$A$30)&gt;AG$3)), 1, 0)+IF(AND((AG$3-$B$2)&gt;=0,(AG$3-$B$2)&lt;30), 2,0)</f>
        <v>0</v>
      </c>
      <c r="AH120" s="113">
        <f>IF(OR(AND($F119&lt;=AH$3, $F120 &gt;= AH$3), AND($F120&lt;AH$3, WORKDAY($F120, 22,Holiday!$A$1:$A$30)&gt;AH$3)), 1, 0)+IF(AND((AH$3-$B$2)&gt;=0,(AH$3-$B$2)&lt;30), 2,0)</f>
        <v>0</v>
      </c>
      <c r="AI120" s="113">
        <f>IF(OR(AND($F119&lt;=AI$3, $F120 &gt;= AI$3), AND($F120&lt;AI$3, WORKDAY($F120, 22,Holiday!$A$1:$A$30)&gt;AI$3)), 1, 0)+IF(AND((AI$3-$B$2)&gt;=0,(AI$3-$B$2)&lt;30), 2,0)</f>
        <v>0</v>
      </c>
      <c r="AJ120" s="113">
        <f>IF(OR(AND($F119&lt;=AJ$3, $F120 &gt;= AJ$3), AND($F120&lt;AJ$3, WORKDAY($F120, 22,Holiday!$A$1:$A$30)&gt;AJ$3)), 1, 0)+IF(AND((AJ$3-$B$2)&gt;=0,(AJ$3-$B$2)&lt;30), 2,0)</f>
        <v>0</v>
      </c>
      <c r="AK120" s="113">
        <f>IF(OR(AND($F119&lt;=AK$3, $F120 &gt;= AK$3), AND($F120&lt;AK$3, WORKDAY($F120, 22,Holiday!$A$1:$A$30)&gt;AK$3)), 1, 0)+IF(AND((AK$3-$B$2)&gt;=0,(AK$3-$B$2)&lt;30), 2,0)</f>
        <v>0</v>
      </c>
      <c r="AL120" s="113">
        <f>IF(OR(AND($F119&lt;=AL$3, $F120 &gt;= AL$3), AND($F120&lt;AL$3, WORKDAY($F120, 22,Holiday!$A$1:$A$30)&gt;AL$3)), 1, 0)+IF(AND((AL$3-$B$2)&gt;=0,(AL$3-$B$2)&lt;30), 2,0)</f>
        <v>0</v>
      </c>
      <c r="AM120" s="113">
        <f>IF(OR(AND($F119&lt;=AM$3, $F120 &gt;= AM$3), AND($F120&lt;AM$3, WORKDAY($F120, 22,Holiday!$A$1:$A$30)&gt;AM$3)), 1, 0)+IF(AND((AM$3-$B$2)&gt;=0,(AM$3-$B$2)&lt;30), 2,0)</f>
        <v>0</v>
      </c>
      <c r="AN120" s="113">
        <f>IF(OR(AND($F119&lt;=AN$3, $F120 &gt;= AN$3), AND($F120&lt;AN$3, WORKDAY($F120, 22,Holiday!$A$1:$A$30)&gt;AN$3)), 1, 0)+IF(AND((AN$3-$B$2)&gt;=0,(AN$3-$B$2)&lt;30), 2,0)</f>
        <v>0</v>
      </c>
      <c r="AO120" s="113">
        <f>IF(OR(AND($F119&lt;=AO$3, $F120 &gt;= AO$3), AND($F120&lt;AO$3, WORKDAY($F120, 22,Holiday!$A$1:$A$30)&gt;AO$3)), 1, 0)+IF(AND((AO$3-$B$2)&gt;=0,(AO$3-$B$2)&lt;30), 2,0)</f>
        <v>0</v>
      </c>
    </row>
    <row r="121" spans="2:41" ht="14.4" x14ac:dyDescent="0.25">
      <c r="B121" t="s">
        <v>161</v>
      </c>
      <c r="C121" s="112" t="s">
        <v>281</v>
      </c>
      <c r="D121" s="111">
        <v>6</v>
      </c>
      <c r="E121" s="86">
        <f t="shared" si="3"/>
        <v>9</v>
      </c>
      <c r="F121" s="121">
        <f>WORKDAY(F120,E121,Holiday!A115:A144)</f>
        <v>46317</v>
      </c>
      <c r="G121" s="113">
        <f>IF(OR(AND($F120&lt;=G$3, $F121 &gt;= G$3), AND($F121&lt;G$3, WORKDAY($F121, 22,Holiday!$A$1:$A$30)&gt;G$3)), 1, 0)+IF(AND((G$3-$B$2)&gt;=0,(G$3-$B$2)&lt;30), 2,0)</f>
        <v>0</v>
      </c>
      <c r="H121" s="113">
        <f>IF(OR(AND($F120&lt;=H$3, $F121 &gt;= H$3), AND($F121&lt;H$3, WORKDAY($F121, 22,Holiday!$A$1:$A$30)&gt;H$3)), 1, 0)+IF(AND((H$3-$B$2)&gt;=0,(H$3-$B$2)&lt;30), 2,0)</f>
        <v>0</v>
      </c>
      <c r="I121" s="113">
        <f>IF(OR(AND($F120&lt;=I$3, $F121 &gt;= I$3), AND($F121&lt;I$3, WORKDAY($F121, 22,Holiday!$A$1:$A$30)&gt;I$3)), 1, 0)+IF(AND((I$3-$B$2)&gt;=0,(I$3-$B$2)&lt;30), 2,0)</f>
        <v>0</v>
      </c>
      <c r="J121" s="113">
        <f>IF(OR(AND($F120&lt;=J$3, $F121 &gt;= J$3), AND($F121&lt;J$3, WORKDAY($F121, 22,Holiday!$A$1:$A$30)&gt;J$3)), 1, 0)+IF(AND((J$3-$B$2)&gt;=0,(J$3-$B$2)&lt;30), 2,0)</f>
        <v>0</v>
      </c>
      <c r="K121" s="113">
        <f>IF(OR(AND($F120&lt;=K$3, $F121 &gt;= K$3), AND($F121&lt;K$3, WORKDAY($F121, 22,Holiday!$A$1:$A$30)&gt;K$3)), 1, 0)+IF(AND((K$3-$B$2)&gt;=0,(K$3-$B$2)&lt;30), 2,0)</f>
        <v>0</v>
      </c>
      <c r="L121" s="113">
        <f>IF(OR(AND($F120&lt;=L$3, $F121 &gt;= L$3), AND($F121&lt;L$3, WORKDAY($F121, 22,Holiday!$A$1:$A$30)&gt;L$3)), 1, 0)+IF(AND((L$3-$B$2)&gt;=0,(L$3-$B$2)&lt;30), 2,0)</f>
        <v>0</v>
      </c>
      <c r="M121" s="113">
        <f>IF(OR(AND($F120&lt;=M$3, $F121 &gt;= M$3), AND($F121&lt;M$3, WORKDAY($F121, 22,Holiday!$A$1:$A$30)&gt;M$3)), 1, 0)+IF(AND((M$3-$B$2)&gt;=0,(M$3-$B$2)&lt;30), 2,0)</f>
        <v>0</v>
      </c>
      <c r="N121" s="113">
        <f>IF(OR(AND($F120&lt;=N$3, $F121 &gt;= N$3), AND($F121&lt;N$3, WORKDAY($F121, 22,Holiday!$A$1:$A$30)&gt;N$3)), 1, 0)+IF(AND((N$3-$B$2)&gt;=0,(N$3-$B$2)&lt;30), 2,0)</f>
        <v>0</v>
      </c>
      <c r="O121" s="113">
        <f>IF(OR(AND($F120&lt;=O$3, $F121 &gt;= O$3), AND($F121&lt;O$3, WORKDAY($F121, 22,Holiday!$A$1:$A$30)&gt;O$3)), 1, 0)+IF(AND((O$3-$B$2)&gt;=0,(O$3-$B$2)&lt;30), 2,0)</f>
        <v>1</v>
      </c>
      <c r="P121" s="113">
        <f>IF(OR(AND($F120&lt;=P$3, $F121 &gt;= P$3), AND($F121&lt;P$3, WORKDAY($F121, 22,Holiday!$A$1:$A$30)&gt;P$3)), 1, 0)+IF(AND((P$3-$B$2)&gt;=0,(P$3-$B$2)&lt;30), 2,0)</f>
        <v>1</v>
      </c>
      <c r="Q121" s="113">
        <f>IF(OR(AND($F120&lt;=Q$3, $F121 &gt;= Q$3), AND($F121&lt;Q$3, WORKDAY($F121, 22,Holiday!$A$1:$A$30)&gt;Q$3)), 1, 0)+IF(AND((Q$3-$B$2)&gt;=0,(Q$3-$B$2)&lt;30), 2,0)</f>
        <v>2</v>
      </c>
      <c r="R121" s="113">
        <f>IF(OR(AND($F120&lt;=R$3, $F121 &gt;= R$3), AND($F121&lt;R$3, WORKDAY($F121, 22,Holiday!$A$1:$A$30)&gt;R$3)), 1, 0)+IF(AND((R$3-$B$2)&gt;=0,(R$3-$B$2)&lt;30), 2,0)</f>
        <v>0</v>
      </c>
      <c r="S121" s="113">
        <f>IF(OR(AND($F120&lt;=S$3, $F121 &gt;= S$3), AND($F121&lt;S$3, WORKDAY($F121, 22,Holiday!$A$1:$A$30)&gt;S$3)), 1, 0)+IF(AND((S$3-$B$2)&gt;=0,(S$3-$B$2)&lt;30), 2,0)</f>
        <v>0</v>
      </c>
      <c r="T121" s="113">
        <f>IF(OR(AND($F120&lt;=T$3, $F121 &gt;= T$3), AND($F121&lt;T$3, WORKDAY($F121, 22,Holiday!$A$1:$A$30)&gt;T$3)), 1, 0)+IF(AND((T$3-$B$2)&gt;=0,(T$3-$B$2)&lt;30), 2,0)</f>
        <v>0</v>
      </c>
      <c r="U121" s="113">
        <f>IF(OR(AND($F120&lt;=U$3, $F121 &gt;= U$3), AND($F121&lt;U$3, WORKDAY($F121, 22,Holiday!$A$1:$A$30)&gt;U$3)), 1, 0)+IF(AND((U$3-$B$2)&gt;=0,(U$3-$B$2)&lt;30), 2,0)</f>
        <v>0</v>
      </c>
      <c r="V121" s="113">
        <f>IF(OR(AND($F120&lt;=V$3, $F121 &gt;= V$3), AND($F121&lt;V$3, WORKDAY($F121, 22,Holiday!$A$1:$A$30)&gt;V$3)), 1, 0)+IF(AND((V$3-$B$2)&gt;=0,(V$3-$B$2)&lt;30), 2,0)</f>
        <v>0</v>
      </c>
      <c r="W121" s="113">
        <f>IF(OR(AND($F120&lt;=W$3, $F121 &gt;= W$3), AND($F121&lt;W$3, WORKDAY($F121, 22,Holiday!$A$1:$A$30)&gt;W$3)), 1, 0)+IF(AND((W$3-$B$2)&gt;=0,(W$3-$B$2)&lt;30), 2,0)</f>
        <v>0</v>
      </c>
      <c r="X121" s="113">
        <f>IF(OR(AND($F120&lt;=X$3, $F121 &gt;= X$3), AND($F121&lt;X$3, WORKDAY($F121, 22,Holiday!$A$1:$A$30)&gt;X$3)), 1, 0)+IF(AND((X$3-$B$2)&gt;=0,(X$3-$B$2)&lt;30), 2,0)</f>
        <v>0</v>
      </c>
      <c r="Y121" s="113">
        <f>IF(OR(AND($F120&lt;=Y$3, $F121 &gt;= Y$3), AND($F121&lt;Y$3, WORKDAY($F121, 22,Holiday!$A$1:$A$30)&gt;Y$3)), 1, 0)+IF(AND((Y$3-$B$2)&gt;=0,(Y$3-$B$2)&lt;30), 2,0)</f>
        <v>0</v>
      </c>
      <c r="Z121" s="113">
        <f>IF(OR(AND($F120&lt;=Z$3, $F121 &gt;= Z$3), AND($F121&lt;Z$3, WORKDAY($F121, 22,Holiday!$A$1:$A$30)&gt;Z$3)), 1, 0)+IF(AND((Z$3-$B$2)&gt;=0,(Z$3-$B$2)&lt;30), 2,0)</f>
        <v>0</v>
      </c>
      <c r="AA121" s="113">
        <f>IF(OR(AND($F120&lt;=AA$3, $F121 &gt;= AA$3), AND($F121&lt;AA$3, WORKDAY($F121, 22,Holiday!$A$1:$A$30)&gt;AA$3)), 1, 0)+IF(AND((AA$3-$B$2)&gt;=0,(AA$3-$B$2)&lt;30), 2,0)</f>
        <v>0</v>
      </c>
      <c r="AB121" s="113">
        <f>IF(OR(AND($F120&lt;=AB$3, $F121 &gt;= AB$3), AND($F121&lt;AB$3, WORKDAY($F121, 22,Holiday!$A$1:$A$30)&gt;AB$3)), 1, 0)+IF(AND((AB$3-$B$2)&gt;=0,(AB$3-$B$2)&lt;30), 2,0)</f>
        <v>0</v>
      </c>
      <c r="AC121" s="113">
        <f>IF(OR(AND($F120&lt;=AC$3, $F121 &gt;= AC$3), AND($F121&lt;AC$3, WORKDAY($F121, 22,Holiday!$A$1:$A$30)&gt;AC$3)), 1, 0)+IF(AND((AC$3-$B$2)&gt;=0,(AC$3-$B$2)&lt;30), 2,0)</f>
        <v>0</v>
      </c>
      <c r="AD121" s="113">
        <f>IF(OR(AND($F120&lt;=AD$3, $F121 &gt;= AD$3), AND($F121&lt;AD$3, WORKDAY($F121, 22,Holiday!$A$1:$A$30)&gt;AD$3)), 1, 0)+IF(AND((AD$3-$B$2)&gt;=0,(AD$3-$B$2)&lt;30), 2,0)</f>
        <v>0</v>
      </c>
      <c r="AE121" s="113">
        <f>IF(OR(AND($F120&lt;=AE$3, $F121 &gt;= AE$3), AND($F121&lt;AE$3, WORKDAY($F121, 22,Holiday!$A$1:$A$30)&gt;AE$3)), 1, 0)+IF(AND((AE$3-$B$2)&gt;=0,(AE$3-$B$2)&lt;30), 2,0)</f>
        <v>0</v>
      </c>
      <c r="AF121" s="113">
        <f>IF(OR(AND($F120&lt;=AF$3, $F121 &gt;= AF$3), AND($F121&lt;AF$3, WORKDAY($F121, 22,Holiday!$A$1:$A$30)&gt;AF$3)), 1, 0)+IF(AND((AF$3-$B$2)&gt;=0,(AF$3-$B$2)&lt;30), 2,0)</f>
        <v>0</v>
      </c>
      <c r="AG121" s="113">
        <f>IF(OR(AND($F120&lt;=AG$3, $F121 &gt;= AG$3), AND($F121&lt;AG$3, WORKDAY($F121, 22,Holiday!$A$1:$A$30)&gt;AG$3)), 1, 0)+IF(AND((AG$3-$B$2)&gt;=0,(AG$3-$B$2)&lt;30), 2,0)</f>
        <v>0</v>
      </c>
      <c r="AH121" s="113">
        <f>IF(OR(AND($F120&lt;=AH$3, $F121 &gt;= AH$3), AND($F121&lt;AH$3, WORKDAY($F121, 22,Holiday!$A$1:$A$30)&gt;AH$3)), 1, 0)+IF(AND((AH$3-$B$2)&gt;=0,(AH$3-$B$2)&lt;30), 2,0)</f>
        <v>0</v>
      </c>
      <c r="AI121" s="113">
        <f>IF(OR(AND($F120&lt;=AI$3, $F121 &gt;= AI$3), AND($F121&lt;AI$3, WORKDAY($F121, 22,Holiday!$A$1:$A$30)&gt;AI$3)), 1, 0)+IF(AND((AI$3-$B$2)&gt;=0,(AI$3-$B$2)&lt;30), 2,0)</f>
        <v>0</v>
      </c>
      <c r="AJ121" s="113">
        <f>IF(OR(AND($F120&lt;=AJ$3, $F121 &gt;= AJ$3), AND($F121&lt;AJ$3, WORKDAY($F121, 22,Holiday!$A$1:$A$30)&gt;AJ$3)), 1, 0)+IF(AND((AJ$3-$B$2)&gt;=0,(AJ$3-$B$2)&lt;30), 2,0)</f>
        <v>0</v>
      </c>
      <c r="AK121" s="113">
        <f>IF(OR(AND($F120&lt;=AK$3, $F121 &gt;= AK$3), AND($F121&lt;AK$3, WORKDAY($F121, 22,Holiday!$A$1:$A$30)&gt;AK$3)), 1, 0)+IF(AND((AK$3-$B$2)&gt;=0,(AK$3-$B$2)&lt;30), 2,0)</f>
        <v>0</v>
      </c>
      <c r="AL121" s="113">
        <f>IF(OR(AND($F120&lt;=AL$3, $F121 &gt;= AL$3), AND($F121&lt;AL$3, WORKDAY($F121, 22,Holiday!$A$1:$A$30)&gt;AL$3)), 1, 0)+IF(AND((AL$3-$B$2)&gt;=0,(AL$3-$B$2)&lt;30), 2,0)</f>
        <v>0</v>
      </c>
      <c r="AM121" s="113">
        <f>IF(OR(AND($F120&lt;=AM$3, $F121 &gt;= AM$3), AND($F121&lt;AM$3, WORKDAY($F121, 22,Holiday!$A$1:$A$30)&gt;AM$3)), 1, 0)+IF(AND((AM$3-$B$2)&gt;=0,(AM$3-$B$2)&lt;30), 2,0)</f>
        <v>0</v>
      </c>
      <c r="AN121" s="113">
        <f>IF(OR(AND($F120&lt;=AN$3, $F121 &gt;= AN$3), AND($F121&lt;AN$3, WORKDAY($F121, 22,Holiday!$A$1:$A$30)&gt;AN$3)), 1, 0)+IF(AND((AN$3-$B$2)&gt;=0,(AN$3-$B$2)&lt;30), 2,0)</f>
        <v>0</v>
      </c>
      <c r="AO121" s="113">
        <f>IF(OR(AND($F120&lt;=AO$3, $F121 &gt;= AO$3), AND($F121&lt;AO$3, WORKDAY($F121, 22,Holiday!$A$1:$A$30)&gt;AO$3)), 1, 0)+IF(AND((AO$3-$B$2)&gt;=0,(AO$3-$B$2)&lt;30), 2,0)</f>
        <v>0</v>
      </c>
    </row>
    <row r="122" spans="2:41" ht="14.4" x14ac:dyDescent="0.25">
      <c r="B122" t="s">
        <v>172</v>
      </c>
      <c r="C122" s="112" t="s">
        <v>281</v>
      </c>
      <c r="D122" s="111">
        <v>6</v>
      </c>
      <c r="E122" s="86">
        <f t="shared" si="3"/>
        <v>9</v>
      </c>
      <c r="F122" s="121">
        <f>WORKDAY(F121,E122,Holiday!A116:A145)</f>
        <v>46330</v>
      </c>
      <c r="G122" s="113">
        <f>IF(OR(AND($F121&lt;=G$3, $F122 &gt;= G$3), AND($F122&lt;G$3, WORKDAY($F122, 22,Holiday!$A$1:$A$30)&gt;G$3)), 1, 0)+IF(AND((G$3-$B$2)&gt;=0,(G$3-$B$2)&lt;30), 2,0)</f>
        <v>0</v>
      </c>
      <c r="H122" s="113">
        <f>IF(OR(AND($F121&lt;=H$3, $F122 &gt;= H$3), AND($F122&lt;H$3, WORKDAY($F122, 22,Holiday!$A$1:$A$30)&gt;H$3)), 1, 0)+IF(AND((H$3-$B$2)&gt;=0,(H$3-$B$2)&lt;30), 2,0)</f>
        <v>0</v>
      </c>
      <c r="I122" s="113">
        <f>IF(OR(AND($F121&lt;=I$3, $F122 &gt;= I$3), AND($F122&lt;I$3, WORKDAY($F122, 22,Holiday!$A$1:$A$30)&gt;I$3)), 1, 0)+IF(AND((I$3-$B$2)&gt;=0,(I$3-$B$2)&lt;30), 2,0)</f>
        <v>0</v>
      </c>
      <c r="J122" s="113">
        <f>IF(OR(AND($F121&lt;=J$3, $F122 &gt;= J$3), AND($F122&lt;J$3, WORKDAY($F122, 22,Holiday!$A$1:$A$30)&gt;J$3)), 1, 0)+IF(AND((J$3-$B$2)&gt;=0,(J$3-$B$2)&lt;30), 2,0)</f>
        <v>0</v>
      </c>
      <c r="K122" s="113">
        <f>IF(OR(AND($F121&lt;=K$3, $F122 &gt;= K$3), AND($F122&lt;K$3, WORKDAY($F122, 22,Holiday!$A$1:$A$30)&gt;K$3)), 1, 0)+IF(AND((K$3-$B$2)&gt;=0,(K$3-$B$2)&lt;30), 2,0)</f>
        <v>0</v>
      </c>
      <c r="L122" s="113">
        <f>IF(OR(AND($F121&lt;=L$3, $F122 &gt;= L$3), AND($F122&lt;L$3, WORKDAY($F122, 22,Holiday!$A$1:$A$30)&gt;L$3)), 1, 0)+IF(AND((L$3-$B$2)&gt;=0,(L$3-$B$2)&lt;30), 2,0)</f>
        <v>0</v>
      </c>
      <c r="M122" s="113">
        <f>IF(OR(AND($F121&lt;=M$3, $F122 &gt;= M$3), AND($F122&lt;M$3, WORKDAY($F122, 22,Holiday!$A$1:$A$30)&gt;M$3)), 1, 0)+IF(AND((M$3-$B$2)&gt;=0,(M$3-$B$2)&lt;30), 2,0)</f>
        <v>0</v>
      </c>
      <c r="N122" s="113">
        <f>IF(OR(AND($F121&lt;=N$3, $F122 &gt;= N$3), AND($F122&lt;N$3, WORKDAY($F122, 22,Holiday!$A$1:$A$30)&gt;N$3)), 1, 0)+IF(AND((N$3-$B$2)&gt;=0,(N$3-$B$2)&lt;30), 2,0)</f>
        <v>0</v>
      </c>
      <c r="O122" s="113">
        <f>IF(OR(AND($F121&lt;=O$3, $F122 &gt;= O$3), AND($F122&lt;O$3, WORKDAY($F122, 22,Holiday!$A$1:$A$30)&gt;O$3)), 1, 0)+IF(AND((O$3-$B$2)&gt;=0,(O$3-$B$2)&lt;30), 2,0)</f>
        <v>0</v>
      </c>
      <c r="P122" s="113">
        <f>IF(OR(AND($F121&lt;=P$3, $F122 &gt;= P$3), AND($F122&lt;P$3, WORKDAY($F122, 22,Holiday!$A$1:$A$30)&gt;P$3)), 1, 0)+IF(AND((P$3-$B$2)&gt;=0,(P$3-$B$2)&lt;30), 2,0)</f>
        <v>1</v>
      </c>
      <c r="Q122" s="113">
        <f>IF(OR(AND($F121&lt;=Q$3, $F122 &gt;= Q$3), AND($F122&lt;Q$3, WORKDAY($F122, 22,Holiday!$A$1:$A$30)&gt;Q$3)), 1, 0)+IF(AND((Q$3-$B$2)&gt;=0,(Q$3-$B$2)&lt;30), 2,0)</f>
        <v>2</v>
      </c>
      <c r="R122" s="113">
        <f>IF(OR(AND($F121&lt;=R$3, $F122 &gt;= R$3), AND($F122&lt;R$3, WORKDAY($F122, 22,Holiday!$A$1:$A$30)&gt;R$3)), 1, 0)+IF(AND((R$3-$B$2)&gt;=0,(R$3-$B$2)&lt;30), 2,0)</f>
        <v>0</v>
      </c>
      <c r="S122" s="113">
        <f>IF(OR(AND($F121&lt;=S$3, $F122 &gt;= S$3), AND($F122&lt;S$3, WORKDAY($F122, 22,Holiday!$A$1:$A$30)&gt;S$3)), 1, 0)+IF(AND((S$3-$B$2)&gt;=0,(S$3-$B$2)&lt;30), 2,0)</f>
        <v>0</v>
      </c>
      <c r="T122" s="113">
        <f>IF(OR(AND($F121&lt;=T$3, $F122 &gt;= T$3), AND($F122&lt;T$3, WORKDAY($F122, 22,Holiday!$A$1:$A$30)&gt;T$3)), 1, 0)+IF(AND((T$3-$B$2)&gt;=0,(T$3-$B$2)&lt;30), 2,0)</f>
        <v>0</v>
      </c>
      <c r="U122" s="113">
        <f>IF(OR(AND($F121&lt;=U$3, $F122 &gt;= U$3), AND($F122&lt;U$3, WORKDAY($F122, 22,Holiday!$A$1:$A$30)&gt;U$3)), 1, 0)+IF(AND((U$3-$B$2)&gt;=0,(U$3-$B$2)&lt;30), 2,0)</f>
        <v>0</v>
      </c>
      <c r="V122" s="113">
        <f>IF(OR(AND($F121&lt;=V$3, $F122 &gt;= V$3), AND($F122&lt;V$3, WORKDAY($F122, 22,Holiday!$A$1:$A$30)&gt;V$3)), 1, 0)+IF(AND((V$3-$B$2)&gt;=0,(V$3-$B$2)&lt;30), 2,0)</f>
        <v>0</v>
      </c>
      <c r="W122" s="113">
        <f>IF(OR(AND($F121&lt;=W$3, $F122 &gt;= W$3), AND($F122&lt;W$3, WORKDAY($F122, 22,Holiday!$A$1:$A$30)&gt;W$3)), 1, 0)+IF(AND((W$3-$B$2)&gt;=0,(W$3-$B$2)&lt;30), 2,0)</f>
        <v>0</v>
      </c>
      <c r="X122" s="113">
        <f>IF(OR(AND($F121&lt;=X$3, $F122 &gt;= X$3), AND($F122&lt;X$3, WORKDAY($F122, 22,Holiday!$A$1:$A$30)&gt;X$3)), 1, 0)+IF(AND((X$3-$B$2)&gt;=0,(X$3-$B$2)&lt;30), 2,0)</f>
        <v>0</v>
      </c>
      <c r="Y122" s="113">
        <f>IF(OR(AND($F121&lt;=Y$3, $F122 &gt;= Y$3), AND($F122&lt;Y$3, WORKDAY($F122, 22,Holiday!$A$1:$A$30)&gt;Y$3)), 1, 0)+IF(AND((Y$3-$B$2)&gt;=0,(Y$3-$B$2)&lt;30), 2,0)</f>
        <v>0</v>
      </c>
      <c r="Z122" s="113">
        <f>IF(OR(AND($F121&lt;=Z$3, $F122 &gt;= Z$3), AND($F122&lt;Z$3, WORKDAY($F122, 22,Holiday!$A$1:$A$30)&gt;Z$3)), 1, 0)+IF(AND((Z$3-$B$2)&gt;=0,(Z$3-$B$2)&lt;30), 2,0)</f>
        <v>0</v>
      </c>
      <c r="AA122" s="113">
        <f>IF(OR(AND($F121&lt;=AA$3, $F122 &gt;= AA$3), AND($F122&lt;AA$3, WORKDAY($F122, 22,Holiday!$A$1:$A$30)&gt;AA$3)), 1, 0)+IF(AND((AA$3-$B$2)&gt;=0,(AA$3-$B$2)&lt;30), 2,0)</f>
        <v>0</v>
      </c>
      <c r="AB122" s="113">
        <f>IF(OR(AND($F121&lt;=AB$3, $F122 &gt;= AB$3), AND($F122&lt;AB$3, WORKDAY($F122, 22,Holiday!$A$1:$A$30)&gt;AB$3)), 1, 0)+IF(AND((AB$3-$B$2)&gt;=0,(AB$3-$B$2)&lt;30), 2,0)</f>
        <v>0</v>
      </c>
      <c r="AC122" s="113">
        <f>IF(OR(AND($F121&lt;=AC$3, $F122 &gt;= AC$3), AND($F122&lt;AC$3, WORKDAY($F122, 22,Holiday!$A$1:$A$30)&gt;AC$3)), 1, 0)+IF(AND((AC$3-$B$2)&gt;=0,(AC$3-$B$2)&lt;30), 2,0)</f>
        <v>0</v>
      </c>
      <c r="AD122" s="113">
        <f>IF(OR(AND($F121&lt;=AD$3, $F122 &gt;= AD$3), AND($F122&lt;AD$3, WORKDAY($F122, 22,Holiday!$A$1:$A$30)&gt;AD$3)), 1, 0)+IF(AND((AD$3-$B$2)&gt;=0,(AD$3-$B$2)&lt;30), 2,0)</f>
        <v>0</v>
      </c>
      <c r="AE122" s="113">
        <f>IF(OR(AND($F121&lt;=AE$3, $F122 &gt;= AE$3), AND($F122&lt;AE$3, WORKDAY($F122, 22,Holiday!$A$1:$A$30)&gt;AE$3)), 1, 0)+IF(AND((AE$3-$B$2)&gt;=0,(AE$3-$B$2)&lt;30), 2,0)</f>
        <v>0</v>
      </c>
      <c r="AF122" s="113">
        <f>IF(OR(AND($F121&lt;=AF$3, $F122 &gt;= AF$3), AND($F122&lt;AF$3, WORKDAY($F122, 22,Holiday!$A$1:$A$30)&gt;AF$3)), 1, 0)+IF(AND((AF$3-$B$2)&gt;=0,(AF$3-$B$2)&lt;30), 2,0)</f>
        <v>0</v>
      </c>
      <c r="AG122" s="113">
        <f>IF(OR(AND($F121&lt;=AG$3, $F122 &gt;= AG$3), AND($F122&lt;AG$3, WORKDAY($F122, 22,Holiday!$A$1:$A$30)&gt;AG$3)), 1, 0)+IF(AND((AG$3-$B$2)&gt;=0,(AG$3-$B$2)&lt;30), 2,0)</f>
        <v>0</v>
      </c>
      <c r="AH122" s="113">
        <f>IF(OR(AND($F121&lt;=AH$3, $F122 &gt;= AH$3), AND($F122&lt;AH$3, WORKDAY($F122, 22,Holiday!$A$1:$A$30)&gt;AH$3)), 1, 0)+IF(AND((AH$3-$B$2)&gt;=0,(AH$3-$B$2)&lt;30), 2,0)</f>
        <v>0</v>
      </c>
      <c r="AI122" s="113">
        <f>IF(OR(AND($F121&lt;=AI$3, $F122 &gt;= AI$3), AND($F122&lt;AI$3, WORKDAY($F122, 22,Holiday!$A$1:$A$30)&gt;AI$3)), 1, 0)+IF(AND((AI$3-$B$2)&gt;=0,(AI$3-$B$2)&lt;30), 2,0)</f>
        <v>0</v>
      </c>
      <c r="AJ122" s="113">
        <f>IF(OR(AND($F121&lt;=AJ$3, $F122 &gt;= AJ$3), AND($F122&lt;AJ$3, WORKDAY($F122, 22,Holiday!$A$1:$A$30)&gt;AJ$3)), 1, 0)+IF(AND((AJ$3-$B$2)&gt;=0,(AJ$3-$B$2)&lt;30), 2,0)</f>
        <v>0</v>
      </c>
      <c r="AK122" s="113">
        <f>IF(OR(AND($F121&lt;=AK$3, $F122 &gt;= AK$3), AND($F122&lt;AK$3, WORKDAY($F122, 22,Holiday!$A$1:$A$30)&gt;AK$3)), 1, 0)+IF(AND((AK$3-$B$2)&gt;=0,(AK$3-$B$2)&lt;30), 2,0)</f>
        <v>0</v>
      </c>
      <c r="AL122" s="113">
        <f>IF(OR(AND($F121&lt;=AL$3, $F122 &gt;= AL$3), AND($F122&lt;AL$3, WORKDAY($F122, 22,Holiday!$A$1:$A$30)&gt;AL$3)), 1, 0)+IF(AND((AL$3-$B$2)&gt;=0,(AL$3-$B$2)&lt;30), 2,0)</f>
        <v>0</v>
      </c>
      <c r="AM122" s="113">
        <f>IF(OR(AND($F121&lt;=AM$3, $F122 &gt;= AM$3), AND($F122&lt;AM$3, WORKDAY($F122, 22,Holiday!$A$1:$A$30)&gt;AM$3)), 1, 0)+IF(AND((AM$3-$B$2)&gt;=0,(AM$3-$B$2)&lt;30), 2,0)</f>
        <v>0</v>
      </c>
      <c r="AN122" s="113">
        <f>IF(OR(AND($F121&lt;=AN$3, $F122 &gt;= AN$3), AND($F122&lt;AN$3, WORKDAY($F122, 22,Holiday!$A$1:$A$30)&gt;AN$3)), 1, 0)+IF(AND((AN$3-$B$2)&gt;=0,(AN$3-$B$2)&lt;30), 2,0)</f>
        <v>0</v>
      </c>
      <c r="AO122" s="113">
        <f>IF(OR(AND($F121&lt;=AO$3, $F122 &gt;= AO$3), AND($F122&lt;AO$3, WORKDAY($F122, 22,Holiday!$A$1:$A$30)&gt;AO$3)), 1, 0)+IF(AND((AO$3-$B$2)&gt;=0,(AO$3-$B$2)&lt;30), 2,0)</f>
        <v>0</v>
      </c>
    </row>
    <row r="123" spans="2:41" ht="14.4" x14ac:dyDescent="0.25">
      <c r="B123" t="s">
        <v>209</v>
      </c>
      <c r="C123" s="112" t="s">
        <v>281</v>
      </c>
      <c r="D123" s="111">
        <v>6</v>
      </c>
      <c r="E123" s="86">
        <f t="shared" si="3"/>
        <v>9</v>
      </c>
      <c r="F123" s="121">
        <f>WORKDAY(F122,E123,Holiday!A117:A146)</f>
        <v>46343</v>
      </c>
      <c r="G123" s="113">
        <f>IF(OR(AND($F122&lt;=G$3, $F123 &gt;= G$3), AND($F123&lt;G$3, WORKDAY($F123, 22,Holiday!$A$1:$A$30)&gt;G$3)), 1, 0)+IF(AND((G$3-$B$2)&gt;=0,(G$3-$B$2)&lt;30), 2,0)</f>
        <v>0</v>
      </c>
      <c r="H123" s="113">
        <f>IF(OR(AND($F122&lt;=H$3, $F123 &gt;= H$3), AND($F123&lt;H$3, WORKDAY($F123, 22,Holiday!$A$1:$A$30)&gt;H$3)), 1, 0)+IF(AND((H$3-$B$2)&gt;=0,(H$3-$B$2)&lt;30), 2,0)</f>
        <v>0</v>
      </c>
      <c r="I123" s="113">
        <f>IF(OR(AND($F122&lt;=I$3, $F123 &gt;= I$3), AND($F123&lt;I$3, WORKDAY($F123, 22,Holiday!$A$1:$A$30)&gt;I$3)), 1, 0)+IF(AND((I$3-$B$2)&gt;=0,(I$3-$B$2)&lt;30), 2,0)</f>
        <v>0</v>
      </c>
      <c r="J123" s="113">
        <f>IF(OR(AND($F122&lt;=J$3, $F123 &gt;= J$3), AND($F123&lt;J$3, WORKDAY($F123, 22,Holiday!$A$1:$A$30)&gt;J$3)), 1, 0)+IF(AND((J$3-$B$2)&gt;=0,(J$3-$B$2)&lt;30), 2,0)</f>
        <v>0</v>
      </c>
      <c r="K123" s="113">
        <f>IF(OR(AND($F122&lt;=K$3, $F123 &gt;= K$3), AND($F123&lt;K$3, WORKDAY($F123, 22,Holiday!$A$1:$A$30)&gt;K$3)), 1, 0)+IF(AND((K$3-$B$2)&gt;=0,(K$3-$B$2)&lt;30), 2,0)</f>
        <v>0</v>
      </c>
      <c r="L123" s="113">
        <f>IF(OR(AND($F122&lt;=L$3, $F123 &gt;= L$3), AND($F123&lt;L$3, WORKDAY($F123, 22,Holiday!$A$1:$A$30)&gt;L$3)), 1, 0)+IF(AND((L$3-$B$2)&gt;=0,(L$3-$B$2)&lt;30), 2,0)</f>
        <v>0</v>
      </c>
      <c r="M123" s="113">
        <f>IF(OR(AND($F122&lt;=M$3, $F123 &gt;= M$3), AND($F123&lt;M$3, WORKDAY($F123, 22,Holiday!$A$1:$A$30)&gt;M$3)), 1, 0)+IF(AND((M$3-$B$2)&gt;=0,(M$3-$B$2)&lt;30), 2,0)</f>
        <v>0</v>
      </c>
      <c r="N123" s="113">
        <f>IF(OR(AND($F122&lt;=N$3, $F123 &gt;= N$3), AND($F123&lt;N$3, WORKDAY($F123, 22,Holiday!$A$1:$A$30)&gt;N$3)), 1, 0)+IF(AND((N$3-$B$2)&gt;=0,(N$3-$B$2)&lt;30), 2,0)</f>
        <v>0</v>
      </c>
      <c r="O123" s="113">
        <f>IF(OR(AND($F122&lt;=O$3, $F123 &gt;= O$3), AND($F123&lt;O$3, WORKDAY($F123, 22,Holiday!$A$1:$A$30)&gt;O$3)), 1, 0)+IF(AND((O$3-$B$2)&gt;=0,(O$3-$B$2)&lt;30), 2,0)</f>
        <v>0</v>
      </c>
      <c r="P123" s="113">
        <f>IF(OR(AND($F122&lt;=P$3, $F123 &gt;= P$3), AND($F123&lt;P$3, WORKDAY($F123, 22,Holiday!$A$1:$A$30)&gt;P$3)), 1, 0)+IF(AND((P$3-$B$2)&gt;=0,(P$3-$B$2)&lt;30), 2,0)</f>
        <v>1</v>
      </c>
      <c r="Q123" s="113">
        <f>IF(OR(AND($F122&lt;=Q$3, $F123 &gt;= Q$3), AND($F123&lt;Q$3, WORKDAY($F123, 22,Holiday!$A$1:$A$30)&gt;Q$3)), 1, 0)+IF(AND((Q$3-$B$2)&gt;=0,(Q$3-$B$2)&lt;30), 2,0)</f>
        <v>3</v>
      </c>
      <c r="R123" s="113">
        <f>IF(OR(AND($F122&lt;=R$3, $F123 &gt;= R$3), AND($F123&lt;R$3, WORKDAY($F123, 22,Holiday!$A$1:$A$30)&gt;R$3)), 1, 0)+IF(AND((R$3-$B$2)&gt;=0,(R$3-$B$2)&lt;30), 2,0)</f>
        <v>0</v>
      </c>
      <c r="S123" s="113">
        <f>IF(OR(AND($F122&lt;=S$3, $F123 &gt;= S$3), AND($F123&lt;S$3, WORKDAY($F123, 22,Holiday!$A$1:$A$30)&gt;S$3)), 1, 0)+IF(AND((S$3-$B$2)&gt;=0,(S$3-$B$2)&lt;30), 2,0)</f>
        <v>0</v>
      </c>
      <c r="T123" s="113">
        <f>IF(OR(AND($F122&lt;=T$3, $F123 &gt;= T$3), AND($F123&lt;T$3, WORKDAY($F123, 22,Holiday!$A$1:$A$30)&gt;T$3)), 1, 0)+IF(AND((T$3-$B$2)&gt;=0,(T$3-$B$2)&lt;30), 2,0)</f>
        <v>0</v>
      </c>
      <c r="U123" s="113">
        <f>IF(OR(AND($F122&lt;=U$3, $F123 &gt;= U$3), AND($F123&lt;U$3, WORKDAY($F123, 22,Holiday!$A$1:$A$30)&gt;U$3)), 1, 0)+IF(AND((U$3-$B$2)&gt;=0,(U$3-$B$2)&lt;30), 2,0)</f>
        <v>0</v>
      </c>
      <c r="V123" s="113">
        <f>IF(OR(AND($F122&lt;=V$3, $F123 &gt;= V$3), AND($F123&lt;V$3, WORKDAY($F123, 22,Holiday!$A$1:$A$30)&gt;V$3)), 1, 0)+IF(AND((V$3-$B$2)&gt;=0,(V$3-$B$2)&lt;30), 2,0)</f>
        <v>0</v>
      </c>
      <c r="W123" s="113">
        <f>IF(OR(AND($F122&lt;=W$3, $F123 &gt;= W$3), AND($F123&lt;W$3, WORKDAY($F123, 22,Holiday!$A$1:$A$30)&gt;W$3)), 1, 0)+IF(AND((W$3-$B$2)&gt;=0,(W$3-$B$2)&lt;30), 2,0)</f>
        <v>0</v>
      </c>
      <c r="X123" s="113">
        <f>IF(OR(AND($F122&lt;=X$3, $F123 &gt;= X$3), AND($F123&lt;X$3, WORKDAY($F123, 22,Holiday!$A$1:$A$30)&gt;X$3)), 1, 0)+IF(AND((X$3-$B$2)&gt;=0,(X$3-$B$2)&lt;30), 2,0)</f>
        <v>0</v>
      </c>
      <c r="Y123" s="113">
        <f>IF(OR(AND($F122&lt;=Y$3, $F123 &gt;= Y$3), AND($F123&lt;Y$3, WORKDAY($F123, 22,Holiday!$A$1:$A$30)&gt;Y$3)), 1, 0)+IF(AND((Y$3-$B$2)&gt;=0,(Y$3-$B$2)&lt;30), 2,0)</f>
        <v>0</v>
      </c>
      <c r="Z123" s="113">
        <f>IF(OR(AND($F122&lt;=Z$3, $F123 &gt;= Z$3), AND($F123&lt;Z$3, WORKDAY($F123, 22,Holiday!$A$1:$A$30)&gt;Z$3)), 1, 0)+IF(AND((Z$3-$B$2)&gt;=0,(Z$3-$B$2)&lt;30), 2,0)</f>
        <v>0</v>
      </c>
      <c r="AA123" s="113">
        <f>IF(OR(AND($F122&lt;=AA$3, $F123 &gt;= AA$3), AND($F123&lt;AA$3, WORKDAY($F123, 22,Holiday!$A$1:$A$30)&gt;AA$3)), 1, 0)+IF(AND((AA$3-$B$2)&gt;=0,(AA$3-$B$2)&lt;30), 2,0)</f>
        <v>0</v>
      </c>
      <c r="AB123" s="113">
        <f>IF(OR(AND($F122&lt;=AB$3, $F123 &gt;= AB$3), AND($F123&lt;AB$3, WORKDAY($F123, 22,Holiday!$A$1:$A$30)&gt;AB$3)), 1, 0)+IF(AND((AB$3-$B$2)&gt;=0,(AB$3-$B$2)&lt;30), 2,0)</f>
        <v>0</v>
      </c>
      <c r="AC123" s="113">
        <f>IF(OR(AND($F122&lt;=AC$3, $F123 &gt;= AC$3), AND($F123&lt;AC$3, WORKDAY($F123, 22,Holiday!$A$1:$A$30)&gt;AC$3)), 1, 0)+IF(AND((AC$3-$B$2)&gt;=0,(AC$3-$B$2)&lt;30), 2,0)</f>
        <v>0</v>
      </c>
      <c r="AD123" s="113">
        <f>IF(OR(AND($F122&lt;=AD$3, $F123 &gt;= AD$3), AND($F123&lt;AD$3, WORKDAY($F123, 22,Holiday!$A$1:$A$30)&gt;AD$3)), 1, 0)+IF(AND((AD$3-$B$2)&gt;=0,(AD$3-$B$2)&lt;30), 2,0)</f>
        <v>0</v>
      </c>
      <c r="AE123" s="113">
        <f>IF(OR(AND($F122&lt;=AE$3, $F123 &gt;= AE$3), AND($F123&lt;AE$3, WORKDAY($F123, 22,Holiday!$A$1:$A$30)&gt;AE$3)), 1, 0)+IF(AND((AE$3-$B$2)&gt;=0,(AE$3-$B$2)&lt;30), 2,0)</f>
        <v>0</v>
      </c>
      <c r="AF123" s="113">
        <f>IF(OR(AND($F122&lt;=AF$3, $F123 &gt;= AF$3), AND($F123&lt;AF$3, WORKDAY($F123, 22,Holiday!$A$1:$A$30)&gt;AF$3)), 1, 0)+IF(AND((AF$3-$B$2)&gt;=0,(AF$3-$B$2)&lt;30), 2,0)</f>
        <v>0</v>
      </c>
      <c r="AG123" s="113">
        <f>IF(OR(AND($F122&lt;=AG$3, $F123 &gt;= AG$3), AND($F123&lt;AG$3, WORKDAY($F123, 22,Holiday!$A$1:$A$30)&gt;AG$3)), 1, 0)+IF(AND((AG$3-$B$2)&gt;=0,(AG$3-$B$2)&lt;30), 2,0)</f>
        <v>0</v>
      </c>
      <c r="AH123" s="113">
        <f>IF(OR(AND($F122&lt;=AH$3, $F123 &gt;= AH$3), AND($F123&lt;AH$3, WORKDAY($F123, 22,Holiday!$A$1:$A$30)&gt;AH$3)), 1, 0)+IF(AND((AH$3-$B$2)&gt;=0,(AH$3-$B$2)&lt;30), 2,0)</f>
        <v>0</v>
      </c>
      <c r="AI123" s="113">
        <f>IF(OR(AND($F122&lt;=AI$3, $F123 &gt;= AI$3), AND($F123&lt;AI$3, WORKDAY($F123, 22,Holiday!$A$1:$A$30)&gt;AI$3)), 1, 0)+IF(AND((AI$3-$B$2)&gt;=0,(AI$3-$B$2)&lt;30), 2,0)</f>
        <v>0</v>
      </c>
      <c r="AJ123" s="113">
        <f>IF(OR(AND($F122&lt;=AJ$3, $F123 &gt;= AJ$3), AND($F123&lt;AJ$3, WORKDAY($F123, 22,Holiday!$A$1:$A$30)&gt;AJ$3)), 1, 0)+IF(AND((AJ$3-$B$2)&gt;=0,(AJ$3-$B$2)&lt;30), 2,0)</f>
        <v>0</v>
      </c>
      <c r="AK123" s="113">
        <f>IF(OR(AND($F122&lt;=AK$3, $F123 &gt;= AK$3), AND($F123&lt;AK$3, WORKDAY($F123, 22,Holiday!$A$1:$A$30)&gt;AK$3)), 1, 0)+IF(AND((AK$3-$B$2)&gt;=0,(AK$3-$B$2)&lt;30), 2,0)</f>
        <v>0</v>
      </c>
      <c r="AL123" s="113">
        <f>IF(OR(AND($F122&lt;=AL$3, $F123 &gt;= AL$3), AND($F123&lt;AL$3, WORKDAY($F123, 22,Holiday!$A$1:$A$30)&gt;AL$3)), 1, 0)+IF(AND((AL$3-$B$2)&gt;=0,(AL$3-$B$2)&lt;30), 2,0)</f>
        <v>0</v>
      </c>
      <c r="AM123" s="113">
        <f>IF(OR(AND($F122&lt;=AM$3, $F123 &gt;= AM$3), AND($F123&lt;AM$3, WORKDAY($F123, 22,Holiday!$A$1:$A$30)&gt;AM$3)), 1, 0)+IF(AND((AM$3-$B$2)&gt;=0,(AM$3-$B$2)&lt;30), 2,0)</f>
        <v>0</v>
      </c>
      <c r="AN123" s="113">
        <f>IF(OR(AND($F122&lt;=AN$3, $F123 &gt;= AN$3), AND($F123&lt;AN$3, WORKDAY($F123, 22,Holiday!$A$1:$A$30)&gt;AN$3)), 1, 0)+IF(AND((AN$3-$B$2)&gt;=0,(AN$3-$B$2)&lt;30), 2,0)</f>
        <v>0</v>
      </c>
      <c r="AO123" s="113">
        <f>IF(OR(AND($F122&lt;=AO$3, $F123 &gt;= AO$3), AND($F123&lt;AO$3, WORKDAY($F123, 22,Holiday!$A$1:$A$30)&gt;AO$3)), 1, 0)+IF(AND((AO$3-$B$2)&gt;=0,(AO$3-$B$2)&lt;30), 2,0)</f>
        <v>0</v>
      </c>
    </row>
    <row r="124" spans="2:41" ht="14.4" x14ac:dyDescent="0.25">
      <c r="B124" t="s">
        <v>163</v>
      </c>
      <c r="C124" s="112" t="s">
        <v>281</v>
      </c>
      <c r="D124" s="111">
        <v>6</v>
      </c>
      <c r="E124" s="86">
        <f t="shared" si="3"/>
        <v>9</v>
      </c>
      <c r="F124" s="121">
        <f>WORKDAY(F123,E124,Holiday!A118:A147)</f>
        <v>46356</v>
      </c>
      <c r="G124" s="113">
        <f>IF(OR(AND($F123&lt;=G$3, $F124 &gt;= G$3), AND($F124&lt;G$3, WORKDAY($F124, 22,Holiday!$A$1:$A$30)&gt;G$3)), 1, 0)+IF(AND((G$3-$B$2)&gt;=0,(G$3-$B$2)&lt;30), 2,0)</f>
        <v>0</v>
      </c>
      <c r="H124" s="113">
        <f>IF(OR(AND($F123&lt;=H$3, $F124 &gt;= H$3), AND($F124&lt;H$3, WORKDAY($F124, 22,Holiday!$A$1:$A$30)&gt;H$3)), 1, 0)+IF(AND((H$3-$B$2)&gt;=0,(H$3-$B$2)&lt;30), 2,0)</f>
        <v>0</v>
      </c>
      <c r="I124" s="113">
        <f>IF(OR(AND($F123&lt;=I$3, $F124 &gt;= I$3), AND($F124&lt;I$3, WORKDAY($F124, 22,Holiday!$A$1:$A$30)&gt;I$3)), 1, 0)+IF(AND((I$3-$B$2)&gt;=0,(I$3-$B$2)&lt;30), 2,0)</f>
        <v>0</v>
      </c>
      <c r="J124" s="113">
        <f>IF(OR(AND($F123&lt;=J$3, $F124 &gt;= J$3), AND($F124&lt;J$3, WORKDAY($F124, 22,Holiday!$A$1:$A$30)&gt;J$3)), 1, 0)+IF(AND((J$3-$B$2)&gt;=0,(J$3-$B$2)&lt;30), 2,0)</f>
        <v>0</v>
      </c>
      <c r="K124" s="113">
        <f>IF(OR(AND($F123&lt;=K$3, $F124 &gt;= K$3), AND($F124&lt;K$3, WORKDAY($F124, 22,Holiday!$A$1:$A$30)&gt;K$3)), 1, 0)+IF(AND((K$3-$B$2)&gt;=0,(K$3-$B$2)&lt;30), 2,0)</f>
        <v>0</v>
      </c>
      <c r="L124" s="113">
        <f>IF(OR(AND($F123&lt;=L$3, $F124 &gt;= L$3), AND($F124&lt;L$3, WORKDAY($F124, 22,Holiday!$A$1:$A$30)&gt;L$3)), 1, 0)+IF(AND((L$3-$B$2)&gt;=0,(L$3-$B$2)&lt;30), 2,0)</f>
        <v>0</v>
      </c>
      <c r="M124" s="113">
        <f>IF(OR(AND($F123&lt;=M$3, $F124 &gt;= M$3), AND($F124&lt;M$3, WORKDAY($F124, 22,Holiday!$A$1:$A$30)&gt;M$3)), 1, 0)+IF(AND((M$3-$B$2)&gt;=0,(M$3-$B$2)&lt;30), 2,0)</f>
        <v>0</v>
      </c>
      <c r="N124" s="113">
        <f>IF(OR(AND($F123&lt;=N$3, $F124 &gt;= N$3), AND($F124&lt;N$3, WORKDAY($F124, 22,Holiday!$A$1:$A$30)&gt;N$3)), 1, 0)+IF(AND((N$3-$B$2)&gt;=0,(N$3-$B$2)&lt;30), 2,0)</f>
        <v>0</v>
      </c>
      <c r="O124" s="113">
        <f>IF(OR(AND($F123&lt;=O$3, $F124 &gt;= O$3), AND($F124&lt;O$3, WORKDAY($F124, 22,Holiday!$A$1:$A$30)&gt;O$3)), 1, 0)+IF(AND((O$3-$B$2)&gt;=0,(O$3-$B$2)&lt;30), 2,0)</f>
        <v>0</v>
      </c>
      <c r="P124" s="113">
        <f>IF(OR(AND($F123&lt;=P$3, $F124 &gt;= P$3), AND($F124&lt;P$3, WORKDAY($F124, 22,Holiday!$A$1:$A$30)&gt;P$3)), 1, 0)+IF(AND((P$3-$B$2)&gt;=0,(P$3-$B$2)&lt;30), 2,0)</f>
        <v>0</v>
      </c>
      <c r="Q124" s="113">
        <f>IF(OR(AND($F123&lt;=Q$3, $F124 &gt;= Q$3), AND($F124&lt;Q$3, WORKDAY($F124, 22,Holiday!$A$1:$A$30)&gt;Q$3)), 1, 0)+IF(AND((Q$3-$B$2)&gt;=0,(Q$3-$B$2)&lt;30), 2,0)</f>
        <v>3</v>
      </c>
      <c r="R124" s="113">
        <f>IF(OR(AND($F123&lt;=R$3, $F124 &gt;= R$3), AND($F124&lt;R$3, WORKDAY($F124, 22,Holiday!$A$1:$A$30)&gt;R$3)), 1, 0)+IF(AND((R$3-$B$2)&gt;=0,(R$3-$B$2)&lt;30), 2,0)</f>
        <v>0</v>
      </c>
      <c r="S124" s="113">
        <f>IF(OR(AND($F123&lt;=S$3, $F124 &gt;= S$3), AND($F124&lt;S$3, WORKDAY($F124, 22,Holiday!$A$1:$A$30)&gt;S$3)), 1, 0)+IF(AND((S$3-$B$2)&gt;=0,(S$3-$B$2)&lt;30), 2,0)</f>
        <v>0</v>
      </c>
      <c r="T124" s="113">
        <f>IF(OR(AND($F123&lt;=T$3, $F124 &gt;= T$3), AND($F124&lt;T$3, WORKDAY($F124, 22,Holiday!$A$1:$A$30)&gt;T$3)), 1, 0)+IF(AND((T$3-$B$2)&gt;=0,(T$3-$B$2)&lt;30), 2,0)</f>
        <v>0</v>
      </c>
      <c r="U124" s="113">
        <f>IF(OR(AND($F123&lt;=U$3, $F124 &gt;= U$3), AND($F124&lt;U$3, WORKDAY($F124, 22,Holiday!$A$1:$A$30)&gt;U$3)), 1, 0)+IF(AND((U$3-$B$2)&gt;=0,(U$3-$B$2)&lt;30), 2,0)</f>
        <v>0</v>
      </c>
      <c r="V124" s="113">
        <f>IF(OR(AND($F123&lt;=V$3, $F124 &gt;= V$3), AND($F124&lt;V$3, WORKDAY($F124, 22,Holiday!$A$1:$A$30)&gt;V$3)), 1, 0)+IF(AND((V$3-$B$2)&gt;=0,(V$3-$B$2)&lt;30), 2,0)</f>
        <v>0</v>
      </c>
      <c r="W124" s="113">
        <f>IF(OR(AND($F123&lt;=W$3, $F124 &gt;= W$3), AND($F124&lt;W$3, WORKDAY($F124, 22,Holiday!$A$1:$A$30)&gt;W$3)), 1, 0)+IF(AND((W$3-$B$2)&gt;=0,(W$3-$B$2)&lt;30), 2,0)</f>
        <v>0</v>
      </c>
      <c r="X124" s="113">
        <f>IF(OR(AND($F123&lt;=X$3, $F124 &gt;= X$3), AND($F124&lt;X$3, WORKDAY($F124, 22,Holiday!$A$1:$A$30)&gt;X$3)), 1, 0)+IF(AND((X$3-$B$2)&gt;=0,(X$3-$B$2)&lt;30), 2,0)</f>
        <v>0</v>
      </c>
      <c r="Y124" s="113">
        <f>IF(OR(AND($F123&lt;=Y$3, $F124 &gt;= Y$3), AND($F124&lt;Y$3, WORKDAY($F124, 22,Holiday!$A$1:$A$30)&gt;Y$3)), 1, 0)+IF(AND((Y$3-$B$2)&gt;=0,(Y$3-$B$2)&lt;30), 2,0)</f>
        <v>0</v>
      </c>
      <c r="Z124" s="113">
        <f>IF(OR(AND($F123&lt;=Z$3, $F124 &gt;= Z$3), AND($F124&lt;Z$3, WORKDAY($F124, 22,Holiday!$A$1:$A$30)&gt;Z$3)), 1, 0)+IF(AND((Z$3-$B$2)&gt;=0,(Z$3-$B$2)&lt;30), 2,0)</f>
        <v>0</v>
      </c>
      <c r="AA124" s="113">
        <f>IF(OR(AND($F123&lt;=AA$3, $F124 &gt;= AA$3), AND($F124&lt;AA$3, WORKDAY($F124, 22,Holiday!$A$1:$A$30)&gt;AA$3)), 1, 0)+IF(AND((AA$3-$B$2)&gt;=0,(AA$3-$B$2)&lt;30), 2,0)</f>
        <v>0</v>
      </c>
      <c r="AB124" s="113">
        <f>IF(OR(AND($F123&lt;=AB$3, $F124 &gt;= AB$3), AND($F124&lt;AB$3, WORKDAY($F124, 22,Holiday!$A$1:$A$30)&gt;AB$3)), 1, 0)+IF(AND((AB$3-$B$2)&gt;=0,(AB$3-$B$2)&lt;30), 2,0)</f>
        <v>0</v>
      </c>
      <c r="AC124" s="113">
        <f>IF(OR(AND($F123&lt;=AC$3, $F124 &gt;= AC$3), AND($F124&lt;AC$3, WORKDAY($F124, 22,Holiday!$A$1:$A$30)&gt;AC$3)), 1, 0)+IF(AND((AC$3-$B$2)&gt;=0,(AC$3-$B$2)&lt;30), 2,0)</f>
        <v>0</v>
      </c>
      <c r="AD124" s="113">
        <f>IF(OR(AND($F123&lt;=AD$3, $F124 &gt;= AD$3), AND($F124&lt;AD$3, WORKDAY($F124, 22,Holiday!$A$1:$A$30)&gt;AD$3)), 1, 0)+IF(AND((AD$3-$B$2)&gt;=0,(AD$3-$B$2)&lt;30), 2,0)</f>
        <v>0</v>
      </c>
      <c r="AE124" s="113">
        <f>IF(OR(AND($F123&lt;=AE$3, $F124 &gt;= AE$3), AND($F124&lt;AE$3, WORKDAY($F124, 22,Holiday!$A$1:$A$30)&gt;AE$3)), 1, 0)+IF(AND((AE$3-$B$2)&gt;=0,(AE$3-$B$2)&lt;30), 2,0)</f>
        <v>0</v>
      </c>
      <c r="AF124" s="113">
        <f>IF(OR(AND($F123&lt;=AF$3, $F124 &gt;= AF$3), AND($F124&lt;AF$3, WORKDAY($F124, 22,Holiday!$A$1:$A$30)&gt;AF$3)), 1, 0)+IF(AND((AF$3-$B$2)&gt;=0,(AF$3-$B$2)&lt;30), 2,0)</f>
        <v>0</v>
      </c>
      <c r="AG124" s="113">
        <f>IF(OR(AND($F123&lt;=AG$3, $F124 &gt;= AG$3), AND($F124&lt;AG$3, WORKDAY($F124, 22,Holiday!$A$1:$A$30)&gt;AG$3)), 1, 0)+IF(AND((AG$3-$B$2)&gt;=0,(AG$3-$B$2)&lt;30), 2,0)</f>
        <v>0</v>
      </c>
      <c r="AH124" s="113">
        <f>IF(OR(AND($F123&lt;=AH$3, $F124 &gt;= AH$3), AND($F124&lt;AH$3, WORKDAY($F124, 22,Holiday!$A$1:$A$30)&gt;AH$3)), 1, 0)+IF(AND((AH$3-$B$2)&gt;=0,(AH$3-$B$2)&lt;30), 2,0)</f>
        <v>0</v>
      </c>
      <c r="AI124" s="113">
        <f>IF(OR(AND($F123&lt;=AI$3, $F124 &gt;= AI$3), AND($F124&lt;AI$3, WORKDAY($F124, 22,Holiday!$A$1:$A$30)&gt;AI$3)), 1, 0)+IF(AND((AI$3-$B$2)&gt;=0,(AI$3-$B$2)&lt;30), 2,0)</f>
        <v>0</v>
      </c>
      <c r="AJ124" s="113">
        <f>IF(OR(AND($F123&lt;=AJ$3, $F124 &gt;= AJ$3), AND($F124&lt;AJ$3, WORKDAY($F124, 22,Holiday!$A$1:$A$30)&gt;AJ$3)), 1, 0)+IF(AND((AJ$3-$B$2)&gt;=0,(AJ$3-$B$2)&lt;30), 2,0)</f>
        <v>0</v>
      </c>
      <c r="AK124" s="113">
        <f>IF(OR(AND($F123&lt;=AK$3, $F124 &gt;= AK$3), AND($F124&lt;AK$3, WORKDAY($F124, 22,Holiday!$A$1:$A$30)&gt;AK$3)), 1, 0)+IF(AND((AK$3-$B$2)&gt;=0,(AK$3-$B$2)&lt;30), 2,0)</f>
        <v>0</v>
      </c>
      <c r="AL124" s="113">
        <f>IF(OR(AND($F123&lt;=AL$3, $F124 &gt;= AL$3), AND($F124&lt;AL$3, WORKDAY($F124, 22,Holiday!$A$1:$A$30)&gt;AL$3)), 1, 0)+IF(AND((AL$3-$B$2)&gt;=0,(AL$3-$B$2)&lt;30), 2,0)</f>
        <v>0</v>
      </c>
      <c r="AM124" s="113">
        <f>IF(OR(AND($F123&lt;=AM$3, $F124 &gt;= AM$3), AND($F124&lt;AM$3, WORKDAY($F124, 22,Holiday!$A$1:$A$30)&gt;AM$3)), 1, 0)+IF(AND((AM$3-$B$2)&gt;=0,(AM$3-$B$2)&lt;30), 2,0)</f>
        <v>0</v>
      </c>
      <c r="AN124" s="113">
        <f>IF(OR(AND($F123&lt;=AN$3, $F124 &gt;= AN$3), AND($F124&lt;AN$3, WORKDAY($F124, 22,Holiday!$A$1:$A$30)&gt;AN$3)), 1, 0)+IF(AND((AN$3-$B$2)&gt;=0,(AN$3-$B$2)&lt;30), 2,0)</f>
        <v>0</v>
      </c>
      <c r="AO124" s="113">
        <f>IF(OR(AND($F123&lt;=AO$3, $F124 &gt;= AO$3), AND($F124&lt;AO$3, WORKDAY($F124, 22,Holiday!$A$1:$A$30)&gt;AO$3)), 1, 0)+IF(AND((AO$3-$B$2)&gt;=0,(AO$3-$B$2)&lt;30), 2,0)</f>
        <v>0</v>
      </c>
    </row>
    <row r="125" spans="2:41" ht="14.4" x14ac:dyDescent="0.25">
      <c r="B125" t="s">
        <v>211</v>
      </c>
      <c r="C125" s="112" t="s">
        <v>281</v>
      </c>
      <c r="D125" s="111">
        <v>6</v>
      </c>
      <c r="E125" s="86">
        <f t="shared" si="3"/>
        <v>9</v>
      </c>
      <c r="F125" s="121">
        <f>WORKDAY(F124,E125,Holiday!A119:A148)</f>
        <v>46367</v>
      </c>
      <c r="G125" s="113">
        <f>IF(OR(AND($F124&lt;=G$3, $F125 &gt;= G$3), AND($F125&lt;G$3, WORKDAY($F125, 22,Holiday!$A$1:$A$30)&gt;G$3)), 1, 0)+IF(AND((G$3-$B$2)&gt;=0,(G$3-$B$2)&lt;30), 2,0)</f>
        <v>0</v>
      </c>
      <c r="H125" s="113">
        <f>IF(OR(AND($F124&lt;=H$3, $F125 &gt;= H$3), AND($F125&lt;H$3, WORKDAY($F125, 22,Holiday!$A$1:$A$30)&gt;H$3)), 1, 0)+IF(AND((H$3-$B$2)&gt;=0,(H$3-$B$2)&lt;30), 2,0)</f>
        <v>0</v>
      </c>
      <c r="I125" s="113">
        <f>IF(OR(AND($F124&lt;=I$3, $F125 &gt;= I$3), AND($F125&lt;I$3, WORKDAY($F125, 22,Holiday!$A$1:$A$30)&gt;I$3)), 1, 0)+IF(AND((I$3-$B$2)&gt;=0,(I$3-$B$2)&lt;30), 2,0)</f>
        <v>0</v>
      </c>
      <c r="J125" s="113">
        <f>IF(OR(AND($F124&lt;=J$3, $F125 &gt;= J$3), AND($F125&lt;J$3, WORKDAY($F125, 22,Holiday!$A$1:$A$30)&gt;J$3)), 1, 0)+IF(AND((J$3-$B$2)&gt;=0,(J$3-$B$2)&lt;30), 2,0)</f>
        <v>0</v>
      </c>
      <c r="K125" s="113">
        <f>IF(OR(AND($F124&lt;=K$3, $F125 &gt;= K$3), AND($F125&lt;K$3, WORKDAY($F125, 22,Holiday!$A$1:$A$30)&gt;K$3)), 1, 0)+IF(AND((K$3-$B$2)&gt;=0,(K$3-$B$2)&lt;30), 2,0)</f>
        <v>0</v>
      </c>
      <c r="L125" s="113">
        <f>IF(OR(AND($F124&lt;=L$3, $F125 &gt;= L$3), AND($F125&lt;L$3, WORKDAY($F125, 22,Holiday!$A$1:$A$30)&gt;L$3)), 1, 0)+IF(AND((L$3-$B$2)&gt;=0,(L$3-$B$2)&lt;30), 2,0)</f>
        <v>0</v>
      </c>
      <c r="M125" s="113">
        <f>IF(OR(AND($F124&lt;=M$3, $F125 &gt;= M$3), AND($F125&lt;M$3, WORKDAY($F125, 22,Holiday!$A$1:$A$30)&gt;M$3)), 1, 0)+IF(AND((M$3-$B$2)&gt;=0,(M$3-$B$2)&lt;30), 2,0)</f>
        <v>0</v>
      </c>
      <c r="N125" s="113">
        <f>IF(OR(AND($F124&lt;=N$3, $F125 &gt;= N$3), AND($F125&lt;N$3, WORKDAY($F125, 22,Holiday!$A$1:$A$30)&gt;N$3)), 1, 0)+IF(AND((N$3-$B$2)&gt;=0,(N$3-$B$2)&lt;30), 2,0)</f>
        <v>0</v>
      </c>
      <c r="O125" s="113">
        <f>IF(OR(AND($F124&lt;=O$3, $F125 &gt;= O$3), AND($F125&lt;O$3, WORKDAY($F125, 22,Holiday!$A$1:$A$30)&gt;O$3)), 1, 0)+IF(AND((O$3-$B$2)&gt;=0,(O$3-$B$2)&lt;30), 2,0)</f>
        <v>0</v>
      </c>
      <c r="P125" s="113">
        <f>IF(OR(AND($F124&lt;=P$3, $F125 &gt;= P$3), AND($F125&lt;P$3, WORKDAY($F125, 22,Holiday!$A$1:$A$30)&gt;P$3)), 1, 0)+IF(AND((P$3-$B$2)&gt;=0,(P$3-$B$2)&lt;30), 2,0)</f>
        <v>0</v>
      </c>
      <c r="Q125" s="113">
        <f>IF(OR(AND($F124&lt;=Q$3, $F125 &gt;= Q$3), AND($F125&lt;Q$3, WORKDAY($F125, 22,Holiday!$A$1:$A$30)&gt;Q$3)), 1, 0)+IF(AND((Q$3-$B$2)&gt;=0,(Q$3-$B$2)&lt;30), 2,0)</f>
        <v>3</v>
      </c>
      <c r="R125" s="113">
        <f>IF(OR(AND($F124&lt;=R$3, $F125 &gt;= R$3), AND($F125&lt;R$3, WORKDAY($F125, 22,Holiday!$A$1:$A$30)&gt;R$3)), 1, 0)+IF(AND((R$3-$B$2)&gt;=0,(R$3-$B$2)&lt;30), 2,0)</f>
        <v>1</v>
      </c>
      <c r="S125" s="113">
        <f>IF(OR(AND($F124&lt;=S$3, $F125 &gt;= S$3), AND($F125&lt;S$3, WORKDAY($F125, 22,Holiday!$A$1:$A$30)&gt;S$3)), 1, 0)+IF(AND((S$3-$B$2)&gt;=0,(S$3-$B$2)&lt;30), 2,0)</f>
        <v>0</v>
      </c>
      <c r="T125" s="113">
        <f>IF(OR(AND($F124&lt;=T$3, $F125 &gt;= T$3), AND($F125&lt;T$3, WORKDAY($F125, 22,Holiday!$A$1:$A$30)&gt;T$3)), 1, 0)+IF(AND((T$3-$B$2)&gt;=0,(T$3-$B$2)&lt;30), 2,0)</f>
        <v>0</v>
      </c>
      <c r="U125" s="113">
        <f>IF(OR(AND($F124&lt;=U$3, $F125 &gt;= U$3), AND($F125&lt;U$3, WORKDAY($F125, 22,Holiday!$A$1:$A$30)&gt;U$3)), 1, 0)+IF(AND((U$3-$B$2)&gt;=0,(U$3-$B$2)&lt;30), 2,0)</f>
        <v>0</v>
      </c>
      <c r="V125" s="113">
        <f>IF(OR(AND($F124&lt;=V$3, $F125 &gt;= V$3), AND($F125&lt;V$3, WORKDAY($F125, 22,Holiday!$A$1:$A$30)&gt;V$3)), 1, 0)+IF(AND((V$3-$B$2)&gt;=0,(V$3-$B$2)&lt;30), 2,0)</f>
        <v>0</v>
      </c>
      <c r="W125" s="113">
        <f>IF(OR(AND($F124&lt;=W$3, $F125 &gt;= W$3), AND($F125&lt;W$3, WORKDAY($F125, 22,Holiday!$A$1:$A$30)&gt;W$3)), 1, 0)+IF(AND((W$3-$B$2)&gt;=0,(W$3-$B$2)&lt;30), 2,0)</f>
        <v>0</v>
      </c>
      <c r="X125" s="113">
        <f>IF(OR(AND($F124&lt;=X$3, $F125 &gt;= X$3), AND($F125&lt;X$3, WORKDAY($F125, 22,Holiday!$A$1:$A$30)&gt;X$3)), 1, 0)+IF(AND((X$3-$B$2)&gt;=0,(X$3-$B$2)&lt;30), 2,0)</f>
        <v>0</v>
      </c>
      <c r="Y125" s="113">
        <f>IF(OR(AND($F124&lt;=Y$3, $F125 &gt;= Y$3), AND($F125&lt;Y$3, WORKDAY($F125, 22,Holiday!$A$1:$A$30)&gt;Y$3)), 1, 0)+IF(AND((Y$3-$B$2)&gt;=0,(Y$3-$B$2)&lt;30), 2,0)</f>
        <v>0</v>
      </c>
      <c r="Z125" s="113">
        <f>IF(OR(AND($F124&lt;=Z$3, $F125 &gt;= Z$3), AND($F125&lt;Z$3, WORKDAY($F125, 22,Holiday!$A$1:$A$30)&gt;Z$3)), 1, 0)+IF(AND((Z$3-$B$2)&gt;=0,(Z$3-$B$2)&lt;30), 2,0)</f>
        <v>0</v>
      </c>
      <c r="AA125" s="113">
        <f>IF(OR(AND($F124&lt;=AA$3, $F125 &gt;= AA$3), AND($F125&lt;AA$3, WORKDAY($F125, 22,Holiday!$A$1:$A$30)&gt;AA$3)), 1, 0)+IF(AND((AA$3-$B$2)&gt;=0,(AA$3-$B$2)&lt;30), 2,0)</f>
        <v>0</v>
      </c>
      <c r="AB125" s="113">
        <f>IF(OR(AND($F124&lt;=AB$3, $F125 &gt;= AB$3), AND($F125&lt;AB$3, WORKDAY($F125, 22,Holiday!$A$1:$A$30)&gt;AB$3)), 1, 0)+IF(AND((AB$3-$B$2)&gt;=0,(AB$3-$B$2)&lt;30), 2,0)</f>
        <v>0</v>
      </c>
      <c r="AC125" s="113">
        <f>IF(OR(AND($F124&lt;=AC$3, $F125 &gt;= AC$3), AND($F125&lt;AC$3, WORKDAY($F125, 22,Holiday!$A$1:$A$30)&gt;AC$3)), 1, 0)+IF(AND((AC$3-$B$2)&gt;=0,(AC$3-$B$2)&lt;30), 2,0)</f>
        <v>0</v>
      </c>
      <c r="AD125" s="113">
        <f>IF(OR(AND($F124&lt;=AD$3, $F125 &gt;= AD$3), AND($F125&lt;AD$3, WORKDAY($F125, 22,Holiday!$A$1:$A$30)&gt;AD$3)), 1, 0)+IF(AND((AD$3-$B$2)&gt;=0,(AD$3-$B$2)&lt;30), 2,0)</f>
        <v>0</v>
      </c>
      <c r="AE125" s="113">
        <f>IF(OR(AND($F124&lt;=AE$3, $F125 &gt;= AE$3), AND($F125&lt;AE$3, WORKDAY($F125, 22,Holiday!$A$1:$A$30)&gt;AE$3)), 1, 0)+IF(AND((AE$3-$B$2)&gt;=0,(AE$3-$B$2)&lt;30), 2,0)</f>
        <v>0</v>
      </c>
      <c r="AF125" s="113">
        <f>IF(OR(AND($F124&lt;=AF$3, $F125 &gt;= AF$3), AND($F125&lt;AF$3, WORKDAY($F125, 22,Holiday!$A$1:$A$30)&gt;AF$3)), 1, 0)+IF(AND((AF$3-$B$2)&gt;=0,(AF$3-$B$2)&lt;30), 2,0)</f>
        <v>0</v>
      </c>
      <c r="AG125" s="113">
        <f>IF(OR(AND($F124&lt;=AG$3, $F125 &gt;= AG$3), AND($F125&lt;AG$3, WORKDAY($F125, 22,Holiday!$A$1:$A$30)&gt;AG$3)), 1, 0)+IF(AND((AG$3-$B$2)&gt;=0,(AG$3-$B$2)&lt;30), 2,0)</f>
        <v>0</v>
      </c>
      <c r="AH125" s="113">
        <f>IF(OR(AND($F124&lt;=AH$3, $F125 &gt;= AH$3), AND($F125&lt;AH$3, WORKDAY($F125, 22,Holiday!$A$1:$A$30)&gt;AH$3)), 1, 0)+IF(AND((AH$3-$B$2)&gt;=0,(AH$3-$B$2)&lt;30), 2,0)</f>
        <v>0</v>
      </c>
      <c r="AI125" s="113">
        <f>IF(OR(AND($F124&lt;=AI$3, $F125 &gt;= AI$3), AND($F125&lt;AI$3, WORKDAY($F125, 22,Holiday!$A$1:$A$30)&gt;AI$3)), 1, 0)+IF(AND((AI$3-$B$2)&gt;=0,(AI$3-$B$2)&lt;30), 2,0)</f>
        <v>0</v>
      </c>
      <c r="AJ125" s="113">
        <f>IF(OR(AND($F124&lt;=AJ$3, $F125 &gt;= AJ$3), AND($F125&lt;AJ$3, WORKDAY($F125, 22,Holiday!$A$1:$A$30)&gt;AJ$3)), 1, 0)+IF(AND((AJ$3-$B$2)&gt;=0,(AJ$3-$B$2)&lt;30), 2,0)</f>
        <v>0</v>
      </c>
      <c r="AK125" s="113">
        <f>IF(OR(AND($F124&lt;=AK$3, $F125 &gt;= AK$3), AND($F125&lt;AK$3, WORKDAY($F125, 22,Holiday!$A$1:$A$30)&gt;AK$3)), 1, 0)+IF(AND((AK$3-$B$2)&gt;=0,(AK$3-$B$2)&lt;30), 2,0)</f>
        <v>0</v>
      </c>
      <c r="AL125" s="113">
        <f>IF(OR(AND($F124&lt;=AL$3, $F125 &gt;= AL$3), AND($F125&lt;AL$3, WORKDAY($F125, 22,Holiday!$A$1:$A$30)&gt;AL$3)), 1, 0)+IF(AND((AL$3-$B$2)&gt;=0,(AL$3-$B$2)&lt;30), 2,0)</f>
        <v>0</v>
      </c>
      <c r="AM125" s="113">
        <f>IF(OR(AND($F124&lt;=AM$3, $F125 &gt;= AM$3), AND($F125&lt;AM$3, WORKDAY($F125, 22,Holiday!$A$1:$A$30)&gt;AM$3)), 1, 0)+IF(AND((AM$3-$B$2)&gt;=0,(AM$3-$B$2)&lt;30), 2,0)</f>
        <v>0</v>
      </c>
      <c r="AN125" s="113">
        <f>IF(OR(AND($F124&lt;=AN$3, $F125 &gt;= AN$3), AND($F125&lt;AN$3, WORKDAY($F125, 22,Holiday!$A$1:$A$30)&gt;AN$3)), 1, 0)+IF(AND((AN$3-$B$2)&gt;=0,(AN$3-$B$2)&lt;30), 2,0)</f>
        <v>0</v>
      </c>
      <c r="AO125" s="113">
        <f>IF(OR(AND($F124&lt;=AO$3, $F125 &gt;= AO$3), AND($F125&lt;AO$3, WORKDAY($F125, 22,Holiday!$A$1:$A$30)&gt;AO$3)), 1, 0)+IF(AND((AO$3-$B$2)&gt;=0,(AO$3-$B$2)&lt;30), 2,0)</f>
        <v>0</v>
      </c>
    </row>
    <row r="126" spans="2:41" ht="14.4" x14ac:dyDescent="0.25">
      <c r="B126" t="s">
        <v>210</v>
      </c>
      <c r="C126" s="112" t="s">
        <v>281</v>
      </c>
      <c r="D126" s="111">
        <v>6</v>
      </c>
      <c r="E126" s="86">
        <f t="shared" si="3"/>
        <v>9</v>
      </c>
      <c r="F126" s="121">
        <f>WORKDAY(F125,E126,Holiday!A120:A149)</f>
        <v>46380</v>
      </c>
      <c r="G126" s="113">
        <f>IF(OR(AND($F125&lt;=G$3, $F126 &gt;= G$3), AND($F126&lt;G$3, WORKDAY($F126, 22,Holiday!$A$1:$A$30)&gt;G$3)), 1, 0)+IF(AND((G$3-$B$2)&gt;=0,(G$3-$B$2)&lt;30), 2,0)</f>
        <v>0</v>
      </c>
      <c r="H126" s="113">
        <f>IF(OR(AND($F125&lt;=H$3, $F126 &gt;= H$3), AND($F126&lt;H$3, WORKDAY($F126, 22,Holiday!$A$1:$A$30)&gt;H$3)), 1, 0)+IF(AND((H$3-$B$2)&gt;=0,(H$3-$B$2)&lt;30), 2,0)</f>
        <v>0</v>
      </c>
      <c r="I126" s="113">
        <f>IF(OR(AND($F125&lt;=I$3, $F126 &gt;= I$3), AND($F126&lt;I$3, WORKDAY($F126, 22,Holiday!$A$1:$A$30)&gt;I$3)), 1, 0)+IF(AND((I$3-$B$2)&gt;=0,(I$3-$B$2)&lt;30), 2,0)</f>
        <v>0</v>
      </c>
      <c r="J126" s="113">
        <f>IF(OR(AND($F125&lt;=J$3, $F126 &gt;= J$3), AND($F126&lt;J$3, WORKDAY($F126, 22,Holiday!$A$1:$A$30)&gt;J$3)), 1, 0)+IF(AND((J$3-$B$2)&gt;=0,(J$3-$B$2)&lt;30), 2,0)</f>
        <v>0</v>
      </c>
      <c r="K126" s="113">
        <f>IF(OR(AND($F125&lt;=K$3, $F126 &gt;= K$3), AND($F126&lt;K$3, WORKDAY($F126, 22,Holiday!$A$1:$A$30)&gt;K$3)), 1, 0)+IF(AND((K$3-$B$2)&gt;=0,(K$3-$B$2)&lt;30), 2,0)</f>
        <v>0</v>
      </c>
      <c r="L126" s="113">
        <f>IF(OR(AND($F125&lt;=L$3, $F126 &gt;= L$3), AND($F126&lt;L$3, WORKDAY($F126, 22,Holiday!$A$1:$A$30)&gt;L$3)), 1, 0)+IF(AND((L$3-$B$2)&gt;=0,(L$3-$B$2)&lt;30), 2,0)</f>
        <v>0</v>
      </c>
      <c r="M126" s="113">
        <f>IF(OR(AND($F125&lt;=M$3, $F126 &gt;= M$3), AND($F126&lt;M$3, WORKDAY($F126, 22,Holiday!$A$1:$A$30)&gt;M$3)), 1, 0)+IF(AND((M$3-$B$2)&gt;=0,(M$3-$B$2)&lt;30), 2,0)</f>
        <v>0</v>
      </c>
      <c r="N126" s="113">
        <f>IF(OR(AND($F125&lt;=N$3, $F126 &gt;= N$3), AND($F126&lt;N$3, WORKDAY($F126, 22,Holiday!$A$1:$A$30)&gt;N$3)), 1, 0)+IF(AND((N$3-$B$2)&gt;=0,(N$3-$B$2)&lt;30), 2,0)</f>
        <v>0</v>
      </c>
      <c r="O126" s="113">
        <f>IF(OR(AND($F125&lt;=O$3, $F126 &gt;= O$3), AND($F126&lt;O$3, WORKDAY($F126, 22,Holiday!$A$1:$A$30)&gt;O$3)), 1, 0)+IF(AND((O$3-$B$2)&gt;=0,(O$3-$B$2)&lt;30), 2,0)</f>
        <v>0</v>
      </c>
      <c r="P126" s="113">
        <f>IF(OR(AND($F125&lt;=P$3, $F126 &gt;= P$3), AND($F126&lt;P$3, WORKDAY($F126, 22,Holiday!$A$1:$A$30)&gt;P$3)), 1, 0)+IF(AND((P$3-$B$2)&gt;=0,(P$3-$B$2)&lt;30), 2,0)</f>
        <v>0</v>
      </c>
      <c r="Q126" s="113">
        <f>IF(OR(AND($F125&lt;=Q$3, $F126 &gt;= Q$3), AND($F126&lt;Q$3, WORKDAY($F126, 22,Holiday!$A$1:$A$30)&gt;Q$3)), 1, 0)+IF(AND((Q$3-$B$2)&gt;=0,(Q$3-$B$2)&lt;30), 2,0)</f>
        <v>2</v>
      </c>
      <c r="R126" s="113">
        <f>IF(OR(AND($F125&lt;=R$3, $F126 &gt;= R$3), AND($F126&lt;R$3, WORKDAY($F126, 22,Holiday!$A$1:$A$30)&gt;R$3)), 1, 0)+IF(AND((R$3-$B$2)&gt;=0,(R$3-$B$2)&lt;30), 2,0)</f>
        <v>1</v>
      </c>
      <c r="S126" s="113">
        <f>IF(OR(AND($F125&lt;=S$3, $F126 &gt;= S$3), AND($F126&lt;S$3, WORKDAY($F126, 22,Holiday!$A$1:$A$30)&gt;S$3)), 1, 0)+IF(AND((S$3-$B$2)&gt;=0,(S$3-$B$2)&lt;30), 2,0)</f>
        <v>0</v>
      </c>
      <c r="T126" s="113">
        <f>IF(OR(AND($F125&lt;=T$3, $F126 &gt;= T$3), AND($F126&lt;T$3, WORKDAY($F126, 22,Holiday!$A$1:$A$30)&gt;T$3)), 1, 0)+IF(AND((T$3-$B$2)&gt;=0,(T$3-$B$2)&lt;30), 2,0)</f>
        <v>0</v>
      </c>
      <c r="U126" s="113">
        <f>IF(OR(AND($F125&lt;=U$3, $F126 &gt;= U$3), AND($F126&lt;U$3, WORKDAY($F126, 22,Holiday!$A$1:$A$30)&gt;U$3)), 1, 0)+IF(AND((U$3-$B$2)&gt;=0,(U$3-$B$2)&lt;30), 2,0)</f>
        <v>0</v>
      </c>
      <c r="V126" s="113">
        <f>IF(OR(AND($F125&lt;=V$3, $F126 &gt;= V$3), AND($F126&lt;V$3, WORKDAY($F126, 22,Holiday!$A$1:$A$30)&gt;V$3)), 1, 0)+IF(AND((V$3-$B$2)&gt;=0,(V$3-$B$2)&lt;30), 2,0)</f>
        <v>0</v>
      </c>
      <c r="W126" s="113">
        <f>IF(OR(AND($F125&lt;=W$3, $F126 &gt;= W$3), AND($F126&lt;W$3, WORKDAY($F126, 22,Holiday!$A$1:$A$30)&gt;W$3)), 1, 0)+IF(AND((W$3-$B$2)&gt;=0,(W$3-$B$2)&lt;30), 2,0)</f>
        <v>0</v>
      </c>
      <c r="X126" s="113">
        <f>IF(OR(AND($F125&lt;=X$3, $F126 &gt;= X$3), AND($F126&lt;X$3, WORKDAY($F126, 22,Holiday!$A$1:$A$30)&gt;X$3)), 1, 0)+IF(AND((X$3-$B$2)&gt;=0,(X$3-$B$2)&lt;30), 2,0)</f>
        <v>0</v>
      </c>
      <c r="Y126" s="113">
        <f>IF(OR(AND($F125&lt;=Y$3, $F126 &gt;= Y$3), AND($F126&lt;Y$3, WORKDAY($F126, 22,Holiday!$A$1:$A$30)&gt;Y$3)), 1, 0)+IF(AND((Y$3-$B$2)&gt;=0,(Y$3-$B$2)&lt;30), 2,0)</f>
        <v>0</v>
      </c>
      <c r="Z126" s="113">
        <f>IF(OR(AND($F125&lt;=Z$3, $F126 &gt;= Z$3), AND($F126&lt;Z$3, WORKDAY($F126, 22,Holiday!$A$1:$A$30)&gt;Z$3)), 1, 0)+IF(AND((Z$3-$B$2)&gt;=0,(Z$3-$B$2)&lt;30), 2,0)</f>
        <v>0</v>
      </c>
      <c r="AA126" s="113">
        <f>IF(OR(AND($F125&lt;=AA$3, $F126 &gt;= AA$3), AND($F126&lt;AA$3, WORKDAY($F126, 22,Holiday!$A$1:$A$30)&gt;AA$3)), 1, 0)+IF(AND((AA$3-$B$2)&gt;=0,(AA$3-$B$2)&lt;30), 2,0)</f>
        <v>0</v>
      </c>
      <c r="AB126" s="113">
        <f>IF(OR(AND($F125&lt;=AB$3, $F126 &gt;= AB$3), AND($F126&lt;AB$3, WORKDAY($F126, 22,Holiday!$A$1:$A$30)&gt;AB$3)), 1, 0)+IF(AND((AB$3-$B$2)&gt;=0,(AB$3-$B$2)&lt;30), 2,0)</f>
        <v>0</v>
      </c>
      <c r="AC126" s="113">
        <f>IF(OR(AND($F125&lt;=AC$3, $F126 &gt;= AC$3), AND($F126&lt;AC$3, WORKDAY($F126, 22,Holiday!$A$1:$A$30)&gt;AC$3)), 1, 0)+IF(AND((AC$3-$B$2)&gt;=0,(AC$3-$B$2)&lt;30), 2,0)</f>
        <v>0</v>
      </c>
      <c r="AD126" s="113">
        <f>IF(OR(AND($F125&lt;=AD$3, $F126 &gt;= AD$3), AND($F126&lt;AD$3, WORKDAY($F126, 22,Holiday!$A$1:$A$30)&gt;AD$3)), 1, 0)+IF(AND((AD$3-$B$2)&gt;=0,(AD$3-$B$2)&lt;30), 2,0)</f>
        <v>0</v>
      </c>
      <c r="AE126" s="113">
        <f>IF(OR(AND($F125&lt;=AE$3, $F126 &gt;= AE$3), AND($F126&lt;AE$3, WORKDAY($F126, 22,Holiday!$A$1:$A$30)&gt;AE$3)), 1, 0)+IF(AND((AE$3-$B$2)&gt;=0,(AE$3-$B$2)&lt;30), 2,0)</f>
        <v>0</v>
      </c>
      <c r="AF126" s="113">
        <f>IF(OR(AND($F125&lt;=AF$3, $F126 &gt;= AF$3), AND($F126&lt;AF$3, WORKDAY($F126, 22,Holiday!$A$1:$A$30)&gt;AF$3)), 1, 0)+IF(AND((AF$3-$B$2)&gt;=0,(AF$3-$B$2)&lt;30), 2,0)</f>
        <v>0</v>
      </c>
      <c r="AG126" s="113">
        <f>IF(OR(AND($F125&lt;=AG$3, $F126 &gt;= AG$3), AND($F126&lt;AG$3, WORKDAY($F126, 22,Holiday!$A$1:$A$30)&gt;AG$3)), 1, 0)+IF(AND((AG$3-$B$2)&gt;=0,(AG$3-$B$2)&lt;30), 2,0)</f>
        <v>0</v>
      </c>
      <c r="AH126" s="113">
        <f>IF(OR(AND($F125&lt;=AH$3, $F126 &gt;= AH$3), AND($F126&lt;AH$3, WORKDAY($F126, 22,Holiday!$A$1:$A$30)&gt;AH$3)), 1, 0)+IF(AND((AH$3-$B$2)&gt;=0,(AH$3-$B$2)&lt;30), 2,0)</f>
        <v>0</v>
      </c>
      <c r="AI126" s="113">
        <f>IF(OR(AND($F125&lt;=AI$3, $F126 &gt;= AI$3), AND($F126&lt;AI$3, WORKDAY($F126, 22,Holiday!$A$1:$A$30)&gt;AI$3)), 1, 0)+IF(AND((AI$3-$B$2)&gt;=0,(AI$3-$B$2)&lt;30), 2,0)</f>
        <v>0</v>
      </c>
      <c r="AJ126" s="113">
        <f>IF(OR(AND($F125&lt;=AJ$3, $F126 &gt;= AJ$3), AND($F126&lt;AJ$3, WORKDAY($F126, 22,Holiday!$A$1:$A$30)&gt;AJ$3)), 1, 0)+IF(AND((AJ$3-$B$2)&gt;=0,(AJ$3-$B$2)&lt;30), 2,0)</f>
        <v>0</v>
      </c>
      <c r="AK126" s="113">
        <f>IF(OR(AND($F125&lt;=AK$3, $F126 &gt;= AK$3), AND($F126&lt;AK$3, WORKDAY($F126, 22,Holiday!$A$1:$A$30)&gt;AK$3)), 1, 0)+IF(AND((AK$3-$B$2)&gt;=0,(AK$3-$B$2)&lt;30), 2,0)</f>
        <v>0</v>
      </c>
      <c r="AL126" s="113">
        <f>IF(OR(AND($F125&lt;=AL$3, $F126 &gt;= AL$3), AND($F126&lt;AL$3, WORKDAY($F126, 22,Holiday!$A$1:$A$30)&gt;AL$3)), 1, 0)+IF(AND((AL$3-$B$2)&gt;=0,(AL$3-$B$2)&lt;30), 2,0)</f>
        <v>0</v>
      </c>
      <c r="AM126" s="113">
        <f>IF(OR(AND($F125&lt;=AM$3, $F126 &gt;= AM$3), AND($F126&lt;AM$3, WORKDAY($F126, 22,Holiday!$A$1:$A$30)&gt;AM$3)), 1, 0)+IF(AND((AM$3-$B$2)&gt;=0,(AM$3-$B$2)&lt;30), 2,0)</f>
        <v>0</v>
      </c>
      <c r="AN126" s="113">
        <f>IF(OR(AND($F125&lt;=AN$3, $F126 &gt;= AN$3), AND($F126&lt;AN$3, WORKDAY($F126, 22,Holiday!$A$1:$A$30)&gt;AN$3)), 1, 0)+IF(AND((AN$3-$B$2)&gt;=0,(AN$3-$B$2)&lt;30), 2,0)</f>
        <v>0</v>
      </c>
      <c r="AO126" s="113">
        <f>IF(OR(AND($F125&lt;=AO$3, $F126 &gt;= AO$3), AND($F126&lt;AO$3, WORKDAY($F126, 22,Holiday!$A$1:$A$30)&gt;AO$3)), 1, 0)+IF(AND((AO$3-$B$2)&gt;=0,(AO$3-$B$2)&lt;30), 2,0)</f>
        <v>0</v>
      </c>
    </row>
    <row r="127" spans="2:41" ht="14.4" x14ac:dyDescent="0.25">
      <c r="B127" t="s">
        <v>203</v>
      </c>
      <c r="C127" s="112" t="s">
        <v>281</v>
      </c>
      <c r="D127" s="111">
        <v>6</v>
      </c>
      <c r="E127" s="86">
        <f t="shared" si="3"/>
        <v>9</v>
      </c>
      <c r="F127" s="121">
        <f>WORKDAY(F126,E127,Holiday!A121:A150)</f>
        <v>46393</v>
      </c>
      <c r="G127" s="113">
        <f>IF(OR(AND($F126&lt;=G$3, $F127 &gt;= G$3), AND($F127&lt;G$3, WORKDAY($F127, 22,Holiday!$A$1:$A$30)&gt;G$3)), 1, 0)+IF(AND((G$3-$B$2)&gt;=0,(G$3-$B$2)&lt;30), 2,0)</f>
        <v>0</v>
      </c>
      <c r="H127" s="113">
        <f>IF(OR(AND($F126&lt;=H$3, $F127 &gt;= H$3), AND($F127&lt;H$3, WORKDAY($F127, 22,Holiday!$A$1:$A$30)&gt;H$3)), 1, 0)+IF(AND((H$3-$B$2)&gt;=0,(H$3-$B$2)&lt;30), 2,0)</f>
        <v>0</v>
      </c>
      <c r="I127" s="113">
        <f>IF(OR(AND($F126&lt;=I$3, $F127 &gt;= I$3), AND($F127&lt;I$3, WORKDAY($F127, 22,Holiday!$A$1:$A$30)&gt;I$3)), 1, 0)+IF(AND((I$3-$B$2)&gt;=0,(I$3-$B$2)&lt;30), 2,0)</f>
        <v>0</v>
      </c>
      <c r="J127" s="113">
        <f>IF(OR(AND($F126&lt;=J$3, $F127 &gt;= J$3), AND($F127&lt;J$3, WORKDAY($F127, 22,Holiday!$A$1:$A$30)&gt;J$3)), 1, 0)+IF(AND((J$3-$B$2)&gt;=0,(J$3-$B$2)&lt;30), 2,0)</f>
        <v>0</v>
      </c>
      <c r="K127" s="113">
        <f>IF(OR(AND($F126&lt;=K$3, $F127 &gt;= K$3), AND($F127&lt;K$3, WORKDAY($F127, 22,Holiday!$A$1:$A$30)&gt;K$3)), 1, 0)+IF(AND((K$3-$B$2)&gt;=0,(K$3-$B$2)&lt;30), 2,0)</f>
        <v>0</v>
      </c>
      <c r="L127" s="113">
        <f>IF(OR(AND($F126&lt;=L$3, $F127 &gt;= L$3), AND($F127&lt;L$3, WORKDAY($F127, 22,Holiday!$A$1:$A$30)&gt;L$3)), 1, 0)+IF(AND((L$3-$B$2)&gt;=0,(L$3-$B$2)&lt;30), 2,0)</f>
        <v>0</v>
      </c>
      <c r="M127" s="113">
        <f>IF(OR(AND($F126&lt;=M$3, $F127 &gt;= M$3), AND($F127&lt;M$3, WORKDAY($F127, 22,Holiday!$A$1:$A$30)&gt;M$3)), 1, 0)+IF(AND((M$3-$B$2)&gt;=0,(M$3-$B$2)&lt;30), 2,0)</f>
        <v>0</v>
      </c>
      <c r="N127" s="113">
        <f>IF(OR(AND($F126&lt;=N$3, $F127 &gt;= N$3), AND($F127&lt;N$3, WORKDAY($F127, 22,Holiday!$A$1:$A$30)&gt;N$3)), 1, 0)+IF(AND((N$3-$B$2)&gt;=0,(N$3-$B$2)&lt;30), 2,0)</f>
        <v>0</v>
      </c>
      <c r="O127" s="113">
        <f>IF(OR(AND($F126&lt;=O$3, $F127 &gt;= O$3), AND($F127&lt;O$3, WORKDAY($F127, 22,Holiday!$A$1:$A$30)&gt;O$3)), 1, 0)+IF(AND((O$3-$B$2)&gt;=0,(O$3-$B$2)&lt;30), 2,0)</f>
        <v>0</v>
      </c>
      <c r="P127" s="113">
        <f>IF(OR(AND($F126&lt;=P$3, $F127 &gt;= P$3), AND($F127&lt;P$3, WORKDAY($F127, 22,Holiday!$A$1:$A$30)&gt;P$3)), 1, 0)+IF(AND((P$3-$B$2)&gt;=0,(P$3-$B$2)&lt;30), 2,0)</f>
        <v>0</v>
      </c>
      <c r="Q127" s="113">
        <f>IF(OR(AND($F126&lt;=Q$3, $F127 &gt;= Q$3), AND($F127&lt;Q$3, WORKDAY($F127, 22,Holiday!$A$1:$A$30)&gt;Q$3)), 1, 0)+IF(AND((Q$3-$B$2)&gt;=0,(Q$3-$B$2)&lt;30), 2,0)</f>
        <v>2</v>
      </c>
      <c r="R127" s="113">
        <f>IF(OR(AND($F126&lt;=R$3, $F127 &gt;= R$3), AND($F127&lt;R$3, WORKDAY($F127, 22,Holiday!$A$1:$A$30)&gt;R$3)), 1, 0)+IF(AND((R$3-$B$2)&gt;=0,(R$3-$B$2)&lt;30), 2,0)</f>
        <v>1</v>
      </c>
      <c r="S127" s="113">
        <f>IF(OR(AND($F126&lt;=S$3, $F127 &gt;= S$3), AND($F127&lt;S$3, WORKDAY($F127, 22,Holiday!$A$1:$A$30)&gt;S$3)), 1, 0)+IF(AND((S$3-$B$2)&gt;=0,(S$3-$B$2)&lt;30), 2,0)</f>
        <v>0</v>
      </c>
      <c r="T127" s="113">
        <f>IF(OR(AND($F126&lt;=T$3, $F127 &gt;= T$3), AND($F127&lt;T$3, WORKDAY($F127, 22,Holiday!$A$1:$A$30)&gt;T$3)), 1, 0)+IF(AND((T$3-$B$2)&gt;=0,(T$3-$B$2)&lt;30), 2,0)</f>
        <v>0</v>
      </c>
      <c r="U127" s="113">
        <f>IF(OR(AND($F126&lt;=U$3, $F127 &gt;= U$3), AND($F127&lt;U$3, WORKDAY($F127, 22,Holiday!$A$1:$A$30)&gt;U$3)), 1, 0)+IF(AND((U$3-$B$2)&gt;=0,(U$3-$B$2)&lt;30), 2,0)</f>
        <v>0</v>
      </c>
      <c r="V127" s="113">
        <f>IF(OR(AND($F126&lt;=V$3, $F127 &gt;= V$3), AND($F127&lt;V$3, WORKDAY($F127, 22,Holiday!$A$1:$A$30)&gt;V$3)), 1, 0)+IF(AND((V$3-$B$2)&gt;=0,(V$3-$B$2)&lt;30), 2,0)</f>
        <v>0</v>
      </c>
      <c r="W127" s="113">
        <f>IF(OR(AND($F126&lt;=W$3, $F127 &gt;= W$3), AND($F127&lt;W$3, WORKDAY($F127, 22,Holiday!$A$1:$A$30)&gt;W$3)), 1, 0)+IF(AND((W$3-$B$2)&gt;=0,(W$3-$B$2)&lt;30), 2,0)</f>
        <v>0</v>
      </c>
      <c r="X127" s="113">
        <f>IF(OR(AND($F126&lt;=X$3, $F127 &gt;= X$3), AND($F127&lt;X$3, WORKDAY($F127, 22,Holiday!$A$1:$A$30)&gt;X$3)), 1, 0)+IF(AND((X$3-$B$2)&gt;=0,(X$3-$B$2)&lt;30), 2,0)</f>
        <v>0</v>
      </c>
      <c r="Y127" s="113">
        <f>IF(OR(AND($F126&lt;=Y$3, $F127 &gt;= Y$3), AND($F127&lt;Y$3, WORKDAY($F127, 22,Holiday!$A$1:$A$30)&gt;Y$3)), 1, 0)+IF(AND((Y$3-$B$2)&gt;=0,(Y$3-$B$2)&lt;30), 2,0)</f>
        <v>0</v>
      </c>
      <c r="Z127" s="113">
        <f>IF(OR(AND($F126&lt;=Z$3, $F127 &gt;= Z$3), AND($F127&lt;Z$3, WORKDAY($F127, 22,Holiday!$A$1:$A$30)&gt;Z$3)), 1, 0)+IF(AND((Z$3-$B$2)&gt;=0,(Z$3-$B$2)&lt;30), 2,0)</f>
        <v>0</v>
      </c>
      <c r="AA127" s="113">
        <f>IF(OR(AND($F126&lt;=AA$3, $F127 &gt;= AA$3), AND($F127&lt;AA$3, WORKDAY($F127, 22,Holiday!$A$1:$A$30)&gt;AA$3)), 1, 0)+IF(AND((AA$3-$B$2)&gt;=0,(AA$3-$B$2)&lt;30), 2,0)</f>
        <v>0</v>
      </c>
      <c r="AB127" s="113">
        <f>IF(OR(AND($F126&lt;=AB$3, $F127 &gt;= AB$3), AND($F127&lt;AB$3, WORKDAY($F127, 22,Holiday!$A$1:$A$30)&gt;AB$3)), 1, 0)+IF(AND((AB$3-$B$2)&gt;=0,(AB$3-$B$2)&lt;30), 2,0)</f>
        <v>0</v>
      </c>
      <c r="AC127" s="113">
        <f>IF(OR(AND($F126&lt;=AC$3, $F127 &gt;= AC$3), AND($F127&lt;AC$3, WORKDAY($F127, 22,Holiday!$A$1:$A$30)&gt;AC$3)), 1, 0)+IF(AND((AC$3-$B$2)&gt;=0,(AC$3-$B$2)&lt;30), 2,0)</f>
        <v>0</v>
      </c>
      <c r="AD127" s="113">
        <f>IF(OR(AND($F126&lt;=AD$3, $F127 &gt;= AD$3), AND($F127&lt;AD$3, WORKDAY($F127, 22,Holiday!$A$1:$A$30)&gt;AD$3)), 1, 0)+IF(AND((AD$3-$B$2)&gt;=0,(AD$3-$B$2)&lt;30), 2,0)</f>
        <v>0</v>
      </c>
      <c r="AE127" s="113">
        <f>IF(OR(AND($F126&lt;=AE$3, $F127 &gt;= AE$3), AND($F127&lt;AE$3, WORKDAY($F127, 22,Holiday!$A$1:$A$30)&gt;AE$3)), 1, 0)+IF(AND((AE$3-$B$2)&gt;=0,(AE$3-$B$2)&lt;30), 2,0)</f>
        <v>0</v>
      </c>
      <c r="AF127" s="113">
        <f>IF(OR(AND($F126&lt;=AF$3, $F127 &gt;= AF$3), AND($F127&lt;AF$3, WORKDAY($F127, 22,Holiday!$A$1:$A$30)&gt;AF$3)), 1, 0)+IF(AND((AF$3-$B$2)&gt;=0,(AF$3-$B$2)&lt;30), 2,0)</f>
        <v>0</v>
      </c>
      <c r="AG127" s="113">
        <f>IF(OR(AND($F126&lt;=AG$3, $F127 &gt;= AG$3), AND($F127&lt;AG$3, WORKDAY($F127, 22,Holiday!$A$1:$A$30)&gt;AG$3)), 1, 0)+IF(AND((AG$3-$B$2)&gt;=0,(AG$3-$B$2)&lt;30), 2,0)</f>
        <v>0</v>
      </c>
      <c r="AH127" s="113">
        <f>IF(OR(AND($F126&lt;=AH$3, $F127 &gt;= AH$3), AND($F127&lt;AH$3, WORKDAY($F127, 22,Holiday!$A$1:$A$30)&gt;AH$3)), 1, 0)+IF(AND((AH$3-$B$2)&gt;=0,(AH$3-$B$2)&lt;30), 2,0)</f>
        <v>0</v>
      </c>
      <c r="AI127" s="113">
        <f>IF(OR(AND($F126&lt;=AI$3, $F127 &gt;= AI$3), AND($F127&lt;AI$3, WORKDAY($F127, 22,Holiday!$A$1:$A$30)&gt;AI$3)), 1, 0)+IF(AND((AI$3-$B$2)&gt;=0,(AI$3-$B$2)&lt;30), 2,0)</f>
        <v>0</v>
      </c>
      <c r="AJ127" s="113">
        <f>IF(OR(AND($F126&lt;=AJ$3, $F127 &gt;= AJ$3), AND($F127&lt;AJ$3, WORKDAY($F127, 22,Holiday!$A$1:$A$30)&gt;AJ$3)), 1, 0)+IF(AND((AJ$3-$B$2)&gt;=0,(AJ$3-$B$2)&lt;30), 2,0)</f>
        <v>0</v>
      </c>
      <c r="AK127" s="113">
        <f>IF(OR(AND($F126&lt;=AK$3, $F127 &gt;= AK$3), AND($F127&lt;AK$3, WORKDAY($F127, 22,Holiday!$A$1:$A$30)&gt;AK$3)), 1, 0)+IF(AND((AK$3-$B$2)&gt;=0,(AK$3-$B$2)&lt;30), 2,0)</f>
        <v>0</v>
      </c>
      <c r="AL127" s="113">
        <f>IF(OR(AND($F126&lt;=AL$3, $F127 &gt;= AL$3), AND($F127&lt;AL$3, WORKDAY($F127, 22,Holiday!$A$1:$A$30)&gt;AL$3)), 1, 0)+IF(AND((AL$3-$B$2)&gt;=0,(AL$3-$B$2)&lt;30), 2,0)</f>
        <v>0</v>
      </c>
      <c r="AM127" s="113">
        <f>IF(OR(AND($F126&lt;=AM$3, $F127 &gt;= AM$3), AND($F127&lt;AM$3, WORKDAY($F127, 22,Holiday!$A$1:$A$30)&gt;AM$3)), 1, 0)+IF(AND((AM$3-$B$2)&gt;=0,(AM$3-$B$2)&lt;30), 2,0)</f>
        <v>0</v>
      </c>
      <c r="AN127" s="113">
        <f>IF(OR(AND($F126&lt;=AN$3, $F127 &gt;= AN$3), AND($F127&lt;AN$3, WORKDAY($F127, 22,Holiday!$A$1:$A$30)&gt;AN$3)), 1, 0)+IF(AND((AN$3-$B$2)&gt;=0,(AN$3-$B$2)&lt;30), 2,0)</f>
        <v>0</v>
      </c>
      <c r="AO127" s="113">
        <f>IF(OR(AND($F126&lt;=AO$3, $F127 &gt;= AO$3), AND($F127&lt;AO$3, WORKDAY($F127, 22,Holiday!$A$1:$A$30)&gt;AO$3)), 1, 0)+IF(AND((AO$3-$B$2)&gt;=0,(AO$3-$B$2)&lt;30), 2,0)</f>
        <v>0</v>
      </c>
    </row>
    <row r="128" spans="2:41" ht="14.4" x14ac:dyDescent="0.25">
      <c r="B128" t="s">
        <v>160</v>
      </c>
      <c r="C128" s="112" t="s">
        <v>281</v>
      </c>
      <c r="D128" s="111">
        <v>6</v>
      </c>
      <c r="E128" s="86">
        <f t="shared" si="3"/>
        <v>9</v>
      </c>
      <c r="F128" s="121">
        <f>WORKDAY(F127,E128,Holiday!A122:A151)</f>
        <v>46406</v>
      </c>
      <c r="G128" s="113">
        <f>IF(OR(AND($F127&lt;=G$3, $F128 &gt;= G$3), AND($F128&lt;G$3, WORKDAY($F128, 22,Holiday!$A$1:$A$30)&gt;G$3)), 1, 0)+IF(AND((G$3-$B$2)&gt;=0,(G$3-$B$2)&lt;30), 2,0)</f>
        <v>0</v>
      </c>
      <c r="H128" s="113">
        <f>IF(OR(AND($F127&lt;=H$3, $F128 &gt;= H$3), AND($F128&lt;H$3, WORKDAY($F128, 22,Holiday!$A$1:$A$30)&gt;H$3)), 1, 0)+IF(AND((H$3-$B$2)&gt;=0,(H$3-$B$2)&lt;30), 2,0)</f>
        <v>0</v>
      </c>
      <c r="I128" s="113">
        <f>IF(OR(AND($F127&lt;=I$3, $F128 &gt;= I$3), AND($F128&lt;I$3, WORKDAY($F128, 22,Holiday!$A$1:$A$30)&gt;I$3)), 1, 0)+IF(AND((I$3-$B$2)&gt;=0,(I$3-$B$2)&lt;30), 2,0)</f>
        <v>0</v>
      </c>
      <c r="J128" s="113">
        <f>IF(OR(AND($F127&lt;=J$3, $F128 &gt;= J$3), AND($F128&lt;J$3, WORKDAY($F128, 22,Holiday!$A$1:$A$30)&gt;J$3)), 1, 0)+IF(AND((J$3-$B$2)&gt;=0,(J$3-$B$2)&lt;30), 2,0)</f>
        <v>0</v>
      </c>
      <c r="K128" s="113">
        <f>IF(OR(AND($F127&lt;=K$3, $F128 &gt;= K$3), AND($F128&lt;K$3, WORKDAY($F128, 22,Holiday!$A$1:$A$30)&gt;K$3)), 1, 0)+IF(AND((K$3-$B$2)&gt;=0,(K$3-$B$2)&lt;30), 2,0)</f>
        <v>0</v>
      </c>
      <c r="L128" s="113">
        <f>IF(OR(AND($F127&lt;=L$3, $F128 &gt;= L$3), AND($F128&lt;L$3, WORKDAY($F128, 22,Holiday!$A$1:$A$30)&gt;L$3)), 1, 0)+IF(AND((L$3-$B$2)&gt;=0,(L$3-$B$2)&lt;30), 2,0)</f>
        <v>0</v>
      </c>
      <c r="M128" s="113">
        <f>IF(OR(AND($F127&lt;=M$3, $F128 &gt;= M$3), AND($F128&lt;M$3, WORKDAY($F128, 22,Holiday!$A$1:$A$30)&gt;M$3)), 1, 0)+IF(AND((M$3-$B$2)&gt;=0,(M$3-$B$2)&lt;30), 2,0)</f>
        <v>0</v>
      </c>
      <c r="N128" s="113">
        <f>IF(OR(AND($F127&lt;=N$3, $F128 &gt;= N$3), AND($F128&lt;N$3, WORKDAY($F128, 22,Holiday!$A$1:$A$30)&gt;N$3)), 1, 0)+IF(AND((N$3-$B$2)&gt;=0,(N$3-$B$2)&lt;30), 2,0)</f>
        <v>0</v>
      </c>
      <c r="O128" s="113">
        <f>IF(OR(AND($F127&lt;=O$3, $F128 &gt;= O$3), AND($F128&lt;O$3, WORKDAY($F128, 22,Holiday!$A$1:$A$30)&gt;O$3)), 1, 0)+IF(AND((O$3-$B$2)&gt;=0,(O$3-$B$2)&lt;30), 2,0)</f>
        <v>0</v>
      </c>
      <c r="P128" s="113">
        <f>IF(OR(AND($F127&lt;=P$3, $F128 &gt;= P$3), AND($F128&lt;P$3, WORKDAY($F128, 22,Holiday!$A$1:$A$30)&gt;P$3)), 1, 0)+IF(AND((P$3-$B$2)&gt;=0,(P$3-$B$2)&lt;30), 2,0)</f>
        <v>0</v>
      </c>
      <c r="Q128" s="113">
        <f>IF(OR(AND($F127&lt;=Q$3, $F128 &gt;= Q$3), AND($F128&lt;Q$3, WORKDAY($F128, 22,Holiday!$A$1:$A$30)&gt;Q$3)), 1, 0)+IF(AND((Q$3-$B$2)&gt;=0,(Q$3-$B$2)&lt;30), 2,0)</f>
        <v>2</v>
      </c>
      <c r="R128" s="113">
        <f>IF(OR(AND($F127&lt;=R$3, $F128 &gt;= R$3), AND($F128&lt;R$3, WORKDAY($F128, 22,Holiday!$A$1:$A$30)&gt;R$3)), 1, 0)+IF(AND((R$3-$B$2)&gt;=0,(R$3-$B$2)&lt;30), 2,0)</f>
        <v>1</v>
      </c>
      <c r="S128" s="113">
        <f>IF(OR(AND($F127&lt;=S$3, $F128 &gt;= S$3), AND($F128&lt;S$3, WORKDAY($F128, 22,Holiday!$A$1:$A$30)&gt;S$3)), 1, 0)+IF(AND((S$3-$B$2)&gt;=0,(S$3-$B$2)&lt;30), 2,0)</f>
        <v>1</v>
      </c>
      <c r="T128" s="113">
        <f>IF(OR(AND($F127&lt;=T$3, $F128 &gt;= T$3), AND($F128&lt;T$3, WORKDAY($F128, 22,Holiday!$A$1:$A$30)&gt;T$3)), 1, 0)+IF(AND((T$3-$B$2)&gt;=0,(T$3-$B$2)&lt;30), 2,0)</f>
        <v>0</v>
      </c>
      <c r="U128" s="113">
        <f>IF(OR(AND($F127&lt;=U$3, $F128 &gt;= U$3), AND($F128&lt;U$3, WORKDAY($F128, 22,Holiday!$A$1:$A$30)&gt;U$3)), 1, 0)+IF(AND((U$3-$B$2)&gt;=0,(U$3-$B$2)&lt;30), 2,0)</f>
        <v>0</v>
      </c>
      <c r="V128" s="113">
        <f>IF(OR(AND($F127&lt;=V$3, $F128 &gt;= V$3), AND($F128&lt;V$3, WORKDAY($F128, 22,Holiday!$A$1:$A$30)&gt;V$3)), 1, 0)+IF(AND((V$3-$B$2)&gt;=0,(V$3-$B$2)&lt;30), 2,0)</f>
        <v>0</v>
      </c>
      <c r="W128" s="113">
        <f>IF(OR(AND($F127&lt;=W$3, $F128 &gt;= W$3), AND($F128&lt;W$3, WORKDAY($F128, 22,Holiday!$A$1:$A$30)&gt;W$3)), 1, 0)+IF(AND((W$3-$B$2)&gt;=0,(W$3-$B$2)&lt;30), 2,0)</f>
        <v>0</v>
      </c>
      <c r="X128" s="113">
        <f>IF(OR(AND($F127&lt;=X$3, $F128 &gt;= X$3), AND($F128&lt;X$3, WORKDAY($F128, 22,Holiday!$A$1:$A$30)&gt;X$3)), 1, 0)+IF(AND((X$3-$B$2)&gt;=0,(X$3-$B$2)&lt;30), 2,0)</f>
        <v>0</v>
      </c>
      <c r="Y128" s="113">
        <f>IF(OR(AND($F127&lt;=Y$3, $F128 &gt;= Y$3), AND($F128&lt;Y$3, WORKDAY($F128, 22,Holiday!$A$1:$A$30)&gt;Y$3)), 1, 0)+IF(AND((Y$3-$B$2)&gt;=0,(Y$3-$B$2)&lt;30), 2,0)</f>
        <v>0</v>
      </c>
      <c r="Z128" s="113">
        <f>IF(OR(AND($F127&lt;=Z$3, $F128 &gt;= Z$3), AND($F128&lt;Z$3, WORKDAY($F128, 22,Holiday!$A$1:$A$30)&gt;Z$3)), 1, 0)+IF(AND((Z$3-$B$2)&gt;=0,(Z$3-$B$2)&lt;30), 2,0)</f>
        <v>0</v>
      </c>
      <c r="AA128" s="113">
        <f>IF(OR(AND($F127&lt;=AA$3, $F128 &gt;= AA$3), AND($F128&lt;AA$3, WORKDAY($F128, 22,Holiday!$A$1:$A$30)&gt;AA$3)), 1, 0)+IF(AND((AA$3-$B$2)&gt;=0,(AA$3-$B$2)&lt;30), 2,0)</f>
        <v>0</v>
      </c>
      <c r="AB128" s="113">
        <f>IF(OR(AND($F127&lt;=AB$3, $F128 &gt;= AB$3), AND($F128&lt;AB$3, WORKDAY($F128, 22,Holiday!$A$1:$A$30)&gt;AB$3)), 1, 0)+IF(AND((AB$3-$B$2)&gt;=0,(AB$3-$B$2)&lt;30), 2,0)</f>
        <v>0</v>
      </c>
      <c r="AC128" s="113">
        <f>IF(OR(AND($F127&lt;=AC$3, $F128 &gt;= AC$3), AND($F128&lt;AC$3, WORKDAY($F128, 22,Holiday!$A$1:$A$30)&gt;AC$3)), 1, 0)+IF(AND((AC$3-$B$2)&gt;=0,(AC$3-$B$2)&lt;30), 2,0)</f>
        <v>0</v>
      </c>
      <c r="AD128" s="113">
        <f>IF(OR(AND($F127&lt;=AD$3, $F128 &gt;= AD$3), AND($F128&lt;AD$3, WORKDAY($F128, 22,Holiday!$A$1:$A$30)&gt;AD$3)), 1, 0)+IF(AND((AD$3-$B$2)&gt;=0,(AD$3-$B$2)&lt;30), 2,0)</f>
        <v>0</v>
      </c>
      <c r="AE128" s="113">
        <f>IF(OR(AND($F127&lt;=AE$3, $F128 &gt;= AE$3), AND($F128&lt;AE$3, WORKDAY($F128, 22,Holiday!$A$1:$A$30)&gt;AE$3)), 1, 0)+IF(AND((AE$3-$B$2)&gt;=0,(AE$3-$B$2)&lt;30), 2,0)</f>
        <v>0</v>
      </c>
      <c r="AF128" s="113">
        <f>IF(OR(AND($F127&lt;=AF$3, $F128 &gt;= AF$3), AND($F128&lt;AF$3, WORKDAY($F128, 22,Holiday!$A$1:$A$30)&gt;AF$3)), 1, 0)+IF(AND((AF$3-$B$2)&gt;=0,(AF$3-$B$2)&lt;30), 2,0)</f>
        <v>0</v>
      </c>
      <c r="AG128" s="113">
        <f>IF(OR(AND($F127&lt;=AG$3, $F128 &gt;= AG$3), AND($F128&lt;AG$3, WORKDAY($F128, 22,Holiday!$A$1:$A$30)&gt;AG$3)), 1, 0)+IF(AND((AG$3-$B$2)&gt;=0,(AG$3-$B$2)&lt;30), 2,0)</f>
        <v>0</v>
      </c>
      <c r="AH128" s="113">
        <f>IF(OR(AND($F127&lt;=AH$3, $F128 &gt;= AH$3), AND($F128&lt;AH$3, WORKDAY($F128, 22,Holiday!$A$1:$A$30)&gt;AH$3)), 1, 0)+IF(AND((AH$3-$B$2)&gt;=0,(AH$3-$B$2)&lt;30), 2,0)</f>
        <v>0</v>
      </c>
      <c r="AI128" s="113">
        <f>IF(OR(AND($F127&lt;=AI$3, $F128 &gt;= AI$3), AND($F128&lt;AI$3, WORKDAY($F128, 22,Holiday!$A$1:$A$30)&gt;AI$3)), 1, 0)+IF(AND((AI$3-$B$2)&gt;=0,(AI$3-$B$2)&lt;30), 2,0)</f>
        <v>0</v>
      </c>
      <c r="AJ128" s="113">
        <f>IF(OR(AND($F127&lt;=AJ$3, $F128 &gt;= AJ$3), AND($F128&lt;AJ$3, WORKDAY($F128, 22,Holiday!$A$1:$A$30)&gt;AJ$3)), 1, 0)+IF(AND((AJ$3-$B$2)&gt;=0,(AJ$3-$B$2)&lt;30), 2,0)</f>
        <v>0</v>
      </c>
      <c r="AK128" s="113">
        <f>IF(OR(AND($F127&lt;=AK$3, $F128 &gt;= AK$3), AND($F128&lt;AK$3, WORKDAY($F128, 22,Holiday!$A$1:$A$30)&gt;AK$3)), 1, 0)+IF(AND((AK$3-$B$2)&gt;=0,(AK$3-$B$2)&lt;30), 2,0)</f>
        <v>0</v>
      </c>
      <c r="AL128" s="113">
        <f>IF(OR(AND($F127&lt;=AL$3, $F128 &gt;= AL$3), AND($F128&lt;AL$3, WORKDAY($F128, 22,Holiday!$A$1:$A$30)&gt;AL$3)), 1, 0)+IF(AND((AL$3-$B$2)&gt;=0,(AL$3-$B$2)&lt;30), 2,0)</f>
        <v>0</v>
      </c>
      <c r="AM128" s="113">
        <f>IF(OR(AND($F127&lt;=AM$3, $F128 &gt;= AM$3), AND($F128&lt;AM$3, WORKDAY($F128, 22,Holiday!$A$1:$A$30)&gt;AM$3)), 1, 0)+IF(AND((AM$3-$B$2)&gt;=0,(AM$3-$B$2)&lt;30), 2,0)</f>
        <v>0</v>
      </c>
      <c r="AN128" s="113">
        <f>IF(OR(AND($F127&lt;=AN$3, $F128 &gt;= AN$3), AND($F128&lt;AN$3, WORKDAY($F128, 22,Holiday!$A$1:$A$30)&gt;AN$3)), 1, 0)+IF(AND((AN$3-$B$2)&gt;=0,(AN$3-$B$2)&lt;30), 2,0)</f>
        <v>0</v>
      </c>
      <c r="AO128" s="113">
        <f>IF(OR(AND($F127&lt;=AO$3, $F128 &gt;= AO$3), AND($F128&lt;AO$3, WORKDAY($F128, 22,Holiday!$A$1:$A$30)&gt;AO$3)), 1, 0)+IF(AND((AO$3-$B$2)&gt;=0,(AO$3-$B$2)&lt;30), 2,0)</f>
        <v>0</v>
      </c>
    </row>
    <row r="129" spans="2:41" ht="14.4" x14ac:dyDescent="0.25">
      <c r="B129" t="s">
        <v>158</v>
      </c>
      <c r="C129" s="112" t="s">
        <v>282</v>
      </c>
      <c r="D129" s="111">
        <v>6</v>
      </c>
      <c r="E129" s="86">
        <f t="shared" si="3"/>
        <v>9</v>
      </c>
      <c r="F129" s="121">
        <f>WORKDAY(F54,E129,Holiday!A123:A152)</f>
        <v>46078</v>
      </c>
      <c r="G129" s="113">
        <f>IF(OR(AND($F128&lt;=G$3, $F129 &gt;= G$3), AND($F129&lt;G$3, WORKDAY($F129, 22,Holiday!$A$1:$A$30)&gt;G$3)), 1, 0)+IF(AND((G$3-$B$2)&gt;=0,(G$3-$B$2)&lt;30), 2,0)</f>
        <v>0</v>
      </c>
      <c r="H129" s="113">
        <f>IF(OR(AND($F128&lt;=H$3, $F129 &gt;= H$3), AND($F129&lt;H$3, WORKDAY($F129, 22,Holiday!$A$1:$A$30)&gt;H$3)), 1, 0)+IF(AND((H$3-$B$2)&gt;=0,(H$3-$B$2)&lt;30), 2,0)</f>
        <v>1</v>
      </c>
      <c r="I129" s="113">
        <f>IF(OR(AND($F128&lt;=I$3, $F129 &gt;= I$3), AND($F129&lt;I$3, WORKDAY($F129, 22,Holiday!$A$1:$A$30)&gt;I$3)), 1, 0)+IF(AND((I$3-$B$2)&gt;=0,(I$3-$B$2)&lt;30), 2,0)</f>
        <v>0</v>
      </c>
      <c r="J129" s="113">
        <f>IF(OR(AND($F128&lt;=J$3, $F129 &gt;= J$3), AND($F129&lt;J$3, WORKDAY($F129, 22,Holiday!$A$1:$A$30)&gt;J$3)), 1, 0)+IF(AND((J$3-$B$2)&gt;=0,(J$3-$B$2)&lt;30), 2,0)</f>
        <v>0</v>
      </c>
      <c r="K129" s="113">
        <f>IF(OR(AND($F128&lt;=K$3, $F129 &gt;= K$3), AND($F129&lt;K$3, WORKDAY($F129, 22,Holiday!$A$1:$A$30)&gt;K$3)), 1, 0)+IF(AND((K$3-$B$2)&gt;=0,(K$3-$B$2)&lt;30), 2,0)</f>
        <v>0</v>
      </c>
      <c r="L129" s="113">
        <f>IF(OR(AND($F128&lt;=L$3, $F129 &gt;= L$3), AND($F129&lt;L$3, WORKDAY($F129, 22,Holiday!$A$1:$A$30)&gt;L$3)), 1, 0)+IF(AND((L$3-$B$2)&gt;=0,(L$3-$B$2)&lt;30), 2,0)</f>
        <v>0</v>
      </c>
      <c r="M129" s="113">
        <f>IF(OR(AND($F128&lt;=M$3, $F129 &gt;= M$3), AND($F129&lt;M$3, WORKDAY($F129, 22,Holiday!$A$1:$A$30)&gt;M$3)), 1, 0)+IF(AND((M$3-$B$2)&gt;=0,(M$3-$B$2)&lt;30), 2,0)</f>
        <v>0</v>
      </c>
      <c r="N129" s="113">
        <f>IF(OR(AND($F128&lt;=N$3, $F129 &gt;= N$3), AND($F129&lt;N$3, WORKDAY($F129, 22,Holiday!$A$1:$A$30)&gt;N$3)), 1, 0)+IF(AND((N$3-$B$2)&gt;=0,(N$3-$B$2)&lt;30), 2,0)</f>
        <v>0</v>
      </c>
      <c r="O129" s="113">
        <f>IF(OR(AND($F128&lt;=O$3, $F129 &gt;= O$3), AND($F129&lt;O$3, WORKDAY($F129, 22,Holiday!$A$1:$A$30)&gt;O$3)), 1, 0)+IF(AND((O$3-$B$2)&gt;=0,(O$3-$B$2)&lt;30), 2,0)</f>
        <v>0</v>
      </c>
      <c r="P129" s="113">
        <f>IF(OR(AND($F128&lt;=P$3, $F129 &gt;= P$3), AND($F129&lt;P$3, WORKDAY($F129, 22,Holiday!$A$1:$A$30)&gt;P$3)), 1, 0)+IF(AND((P$3-$B$2)&gt;=0,(P$3-$B$2)&lt;30), 2,0)</f>
        <v>0</v>
      </c>
      <c r="Q129" s="113">
        <f>IF(OR(AND($F128&lt;=Q$3, $F129 &gt;= Q$3), AND($F129&lt;Q$3, WORKDAY($F129, 22,Holiday!$A$1:$A$30)&gt;Q$3)), 1, 0)+IF(AND((Q$3-$B$2)&gt;=0,(Q$3-$B$2)&lt;30), 2,0)</f>
        <v>2</v>
      </c>
      <c r="R129" s="113">
        <f>IF(OR(AND($F128&lt;=R$3, $F129 &gt;= R$3), AND($F129&lt;R$3, WORKDAY($F129, 22,Holiday!$A$1:$A$30)&gt;R$3)), 1, 0)+IF(AND((R$3-$B$2)&gt;=0,(R$3-$B$2)&lt;30), 2,0)</f>
        <v>0</v>
      </c>
      <c r="S129" s="113">
        <f>IF(OR(AND($F128&lt;=S$3, $F129 &gt;= S$3), AND($F129&lt;S$3, WORKDAY($F129, 22,Holiday!$A$1:$A$30)&gt;S$3)), 1, 0)+IF(AND((S$3-$B$2)&gt;=0,(S$3-$B$2)&lt;30), 2,0)</f>
        <v>0</v>
      </c>
      <c r="T129" s="113">
        <f>IF(OR(AND($F128&lt;=T$3, $F129 &gt;= T$3), AND($F129&lt;T$3, WORKDAY($F129, 22,Holiday!$A$1:$A$30)&gt;T$3)), 1, 0)+IF(AND((T$3-$B$2)&gt;=0,(T$3-$B$2)&lt;30), 2,0)</f>
        <v>0</v>
      </c>
      <c r="U129" s="113">
        <f>IF(OR(AND($F128&lt;=U$3, $F129 &gt;= U$3), AND($F129&lt;U$3, WORKDAY($F129, 22,Holiday!$A$1:$A$30)&gt;U$3)), 1, 0)+IF(AND((U$3-$B$2)&gt;=0,(U$3-$B$2)&lt;30), 2,0)</f>
        <v>0</v>
      </c>
      <c r="V129" s="113">
        <f>IF(OR(AND($F128&lt;=V$3, $F129 &gt;= V$3), AND($F129&lt;V$3, WORKDAY($F129, 22,Holiday!$A$1:$A$30)&gt;V$3)), 1, 0)+IF(AND((V$3-$B$2)&gt;=0,(V$3-$B$2)&lt;30), 2,0)</f>
        <v>0</v>
      </c>
      <c r="W129" s="113">
        <f>IF(OR(AND($F128&lt;=W$3, $F129 &gt;= W$3), AND($F129&lt;W$3, WORKDAY($F129, 22,Holiday!$A$1:$A$30)&gt;W$3)), 1, 0)+IF(AND((W$3-$B$2)&gt;=0,(W$3-$B$2)&lt;30), 2,0)</f>
        <v>0</v>
      </c>
      <c r="X129" s="113">
        <f>IF(OR(AND($F128&lt;=X$3, $F129 &gt;= X$3), AND($F129&lt;X$3, WORKDAY($F129, 22,Holiday!$A$1:$A$30)&gt;X$3)), 1, 0)+IF(AND((X$3-$B$2)&gt;=0,(X$3-$B$2)&lt;30), 2,0)</f>
        <v>0</v>
      </c>
      <c r="Y129" s="113">
        <f>IF(OR(AND($F128&lt;=Y$3, $F129 &gt;= Y$3), AND($F129&lt;Y$3, WORKDAY($F129, 22,Holiday!$A$1:$A$30)&gt;Y$3)), 1, 0)+IF(AND((Y$3-$B$2)&gt;=0,(Y$3-$B$2)&lt;30), 2,0)</f>
        <v>0</v>
      </c>
      <c r="Z129" s="113">
        <f>IF(OR(AND($F128&lt;=Z$3, $F129 &gt;= Z$3), AND($F129&lt;Z$3, WORKDAY($F129, 22,Holiday!$A$1:$A$30)&gt;Z$3)), 1, 0)+IF(AND((Z$3-$B$2)&gt;=0,(Z$3-$B$2)&lt;30), 2,0)</f>
        <v>0</v>
      </c>
      <c r="AA129" s="113">
        <f>IF(OR(AND($F128&lt;=AA$3, $F129 &gt;= AA$3), AND($F129&lt;AA$3, WORKDAY($F129, 22,Holiday!$A$1:$A$30)&gt;AA$3)), 1, 0)+IF(AND((AA$3-$B$2)&gt;=0,(AA$3-$B$2)&lt;30), 2,0)</f>
        <v>0</v>
      </c>
      <c r="AB129" s="113">
        <f>IF(OR(AND($F128&lt;=AB$3, $F129 &gt;= AB$3), AND($F129&lt;AB$3, WORKDAY($F129, 22,Holiday!$A$1:$A$30)&gt;AB$3)), 1, 0)+IF(AND((AB$3-$B$2)&gt;=0,(AB$3-$B$2)&lt;30), 2,0)</f>
        <v>0</v>
      </c>
      <c r="AC129" s="113">
        <f>IF(OR(AND($F128&lt;=AC$3, $F129 &gt;= AC$3), AND($F129&lt;AC$3, WORKDAY($F129, 22,Holiday!$A$1:$A$30)&gt;AC$3)), 1, 0)+IF(AND((AC$3-$B$2)&gt;=0,(AC$3-$B$2)&lt;30), 2,0)</f>
        <v>0</v>
      </c>
      <c r="AD129" s="113">
        <f>IF(OR(AND($F128&lt;=AD$3, $F129 &gt;= AD$3), AND($F129&lt;AD$3, WORKDAY($F129, 22,Holiday!$A$1:$A$30)&gt;AD$3)), 1, 0)+IF(AND((AD$3-$B$2)&gt;=0,(AD$3-$B$2)&lt;30), 2,0)</f>
        <v>0</v>
      </c>
      <c r="AE129" s="113">
        <f>IF(OR(AND($F128&lt;=AE$3, $F129 &gt;= AE$3), AND($F129&lt;AE$3, WORKDAY($F129, 22,Holiday!$A$1:$A$30)&gt;AE$3)), 1, 0)+IF(AND((AE$3-$B$2)&gt;=0,(AE$3-$B$2)&lt;30), 2,0)</f>
        <v>0</v>
      </c>
      <c r="AF129" s="113">
        <f>IF(OR(AND($F128&lt;=AF$3, $F129 &gt;= AF$3), AND($F129&lt;AF$3, WORKDAY($F129, 22,Holiday!$A$1:$A$30)&gt;AF$3)), 1, 0)+IF(AND((AF$3-$B$2)&gt;=0,(AF$3-$B$2)&lt;30), 2,0)</f>
        <v>0</v>
      </c>
      <c r="AG129" s="113">
        <f>IF(OR(AND($F128&lt;=AG$3, $F129 &gt;= AG$3), AND($F129&lt;AG$3, WORKDAY($F129, 22,Holiday!$A$1:$A$30)&gt;AG$3)), 1, 0)+IF(AND((AG$3-$B$2)&gt;=0,(AG$3-$B$2)&lt;30), 2,0)</f>
        <v>0</v>
      </c>
      <c r="AH129" s="113">
        <f>IF(OR(AND($F128&lt;=AH$3, $F129 &gt;= AH$3), AND($F129&lt;AH$3, WORKDAY($F129, 22,Holiday!$A$1:$A$30)&gt;AH$3)), 1, 0)+IF(AND((AH$3-$B$2)&gt;=0,(AH$3-$B$2)&lt;30), 2,0)</f>
        <v>0</v>
      </c>
      <c r="AI129" s="113">
        <f>IF(OR(AND($F128&lt;=AI$3, $F129 &gt;= AI$3), AND($F129&lt;AI$3, WORKDAY($F129, 22,Holiday!$A$1:$A$30)&gt;AI$3)), 1, 0)+IF(AND((AI$3-$B$2)&gt;=0,(AI$3-$B$2)&lt;30), 2,0)</f>
        <v>0</v>
      </c>
      <c r="AJ129" s="113">
        <f>IF(OR(AND($F128&lt;=AJ$3, $F129 &gt;= AJ$3), AND($F129&lt;AJ$3, WORKDAY($F129, 22,Holiday!$A$1:$A$30)&gt;AJ$3)), 1, 0)+IF(AND((AJ$3-$B$2)&gt;=0,(AJ$3-$B$2)&lt;30), 2,0)</f>
        <v>0</v>
      </c>
      <c r="AK129" s="113">
        <f>IF(OR(AND($F128&lt;=AK$3, $F129 &gt;= AK$3), AND($F129&lt;AK$3, WORKDAY($F129, 22,Holiday!$A$1:$A$30)&gt;AK$3)), 1, 0)+IF(AND((AK$3-$B$2)&gt;=0,(AK$3-$B$2)&lt;30), 2,0)</f>
        <v>0</v>
      </c>
      <c r="AL129" s="113">
        <f>IF(OR(AND($F128&lt;=AL$3, $F129 &gt;= AL$3), AND($F129&lt;AL$3, WORKDAY($F129, 22,Holiday!$A$1:$A$30)&gt;AL$3)), 1, 0)+IF(AND((AL$3-$B$2)&gt;=0,(AL$3-$B$2)&lt;30), 2,0)</f>
        <v>0</v>
      </c>
      <c r="AM129" s="113">
        <f>IF(OR(AND($F128&lt;=AM$3, $F129 &gt;= AM$3), AND($F129&lt;AM$3, WORKDAY($F129, 22,Holiday!$A$1:$A$30)&gt;AM$3)), 1, 0)+IF(AND((AM$3-$B$2)&gt;=0,(AM$3-$B$2)&lt;30), 2,0)</f>
        <v>0</v>
      </c>
      <c r="AN129" s="113">
        <f>IF(OR(AND($F128&lt;=AN$3, $F129 &gt;= AN$3), AND($F129&lt;AN$3, WORKDAY($F129, 22,Holiday!$A$1:$A$30)&gt;AN$3)), 1, 0)+IF(AND((AN$3-$B$2)&gt;=0,(AN$3-$B$2)&lt;30), 2,0)</f>
        <v>0</v>
      </c>
      <c r="AO129" s="113">
        <f>IF(OR(AND($F128&lt;=AO$3, $F129 &gt;= AO$3), AND($F129&lt;AO$3, WORKDAY($F129, 22,Holiday!$A$1:$A$30)&gt;AO$3)), 1, 0)+IF(AND((AO$3-$B$2)&gt;=0,(AO$3-$B$2)&lt;30), 2,0)</f>
        <v>0</v>
      </c>
    </row>
    <row r="130" spans="2:41" ht="14.4" x14ac:dyDescent="0.25">
      <c r="B130" t="s">
        <v>157</v>
      </c>
      <c r="C130" s="112" t="s">
        <v>282</v>
      </c>
      <c r="D130" s="111">
        <v>6</v>
      </c>
      <c r="E130" s="86">
        <f t="shared" si="3"/>
        <v>9</v>
      </c>
      <c r="F130" s="121">
        <f>WORKDAY(F129,E130,Holiday!A124:A153)</f>
        <v>46091</v>
      </c>
      <c r="G130" s="113">
        <f>IF(OR(AND($F129&lt;=G$3, $F130 &gt;= G$3), AND($F130&lt;G$3, WORKDAY($F130, 22,Holiday!$A$1:$A$30)&gt;G$3)), 1, 0)+IF(AND((G$3-$B$2)&gt;=0,(G$3-$B$2)&lt;30), 2,0)</f>
        <v>0</v>
      </c>
      <c r="H130" s="113">
        <f>IF(OR(AND($F129&lt;=H$3, $F130 &gt;= H$3), AND($F130&lt;H$3, WORKDAY($F130, 22,Holiday!$A$1:$A$30)&gt;H$3)), 1, 0)+IF(AND((H$3-$B$2)&gt;=0,(H$3-$B$2)&lt;30), 2,0)</f>
        <v>1</v>
      </c>
      <c r="I130" s="113">
        <f>IF(OR(AND($F129&lt;=I$3, $F130 &gt;= I$3), AND($F130&lt;I$3, WORKDAY($F130, 22,Holiday!$A$1:$A$30)&gt;I$3)), 1, 0)+IF(AND((I$3-$B$2)&gt;=0,(I$3-$B$2)&lt;30), 2,0)</f>
        <v>1</v>
      </c>
      <c r="J130" s="113">
        <f>IF(OR(AND($F129&lt;=J$3, $F130 &gt;= J$3), AND($F130&lt;J$3, WORKDAY($F130, 22,Holiday!$A$1:$A$30)&gt;J$3)), 1, 0)+IF(AND((J$3-$B$2)&gt;=0,(J$3-$B$2)&lt;30), 2,0)</f>
        <v>0</v>
      </c>
      <c r="K130" s="113">
        <f>IF(OR(AND($F129&lt;=K$3, $F130 &gt;= K$3), AND($F130&lt;K$3, WORKDAY($F130, 22,Holiday!$A$1:$A$30)&gt;K$3)), 1, 0)+IF(AND((K$3-$B$2)&gt;=0,(K$3-$B$2)&lt;30), 2,0)</f>
        <v>0</v>
      </c>
      <c r="L130" s="113">
        <f>IF(OR(AND($F129&lt;=L$3, $F130 &gt;= L$3), AND($F130&lt;L$3, WORKDAY($F130, 22,Holiday!$A$1:$A$30)&gt;L$3)), 1, 0)+IF(AND((L$3-$B$2)&gt;=0,(L$3-$B$2)&lt;30), 2,0)</f>
        <v>0</v>
      </c>
      <c r="M130" s="113">
        <f>IF(OR(AND($F129&lt;=M$3, $F130 &gt;= M$3), AND($F130&lt;M$3, WORKDAY($F130, 22,Holiday!$A$1:$A$30)&gt;M$3)), 1, 0)+IF(AND((M$3-$B$2)&gt;=0,(M$3-$B$2)&lt;30), 2,0)</f>
        <v>0</v>
      </c>
      <c r="N130" s="113">
        <f>IF(OR(AND($F129&lt;=N$3, $F130 &gt;= N$3), AND($F130&lt;N$3, WORKDAY($F130, 22,Holiday!$A$1:$A$30)&gt;N$3)), 1, 0)+IF(AND((N$3-$B$2)&gt;=0,(N$3-$B$2)&lt;30), 2,0)</f>
        <v>0</v>
      </c>
      <c r="O130" s="113">
        <f>IF(OR(AND($F129&lt;=O$3, $F130 &gt;= O$3), AND($F130&lt;O$3, WORKDAY($F130, 22,Holiday!$A$1:$A$30)&gt;O$3)), 1, 0)+IF(AND((O$3-$B$2)&gt;=0,(O$3-$B$2)&lt;30), 2,0)</f>
        <v>0</v>
      </c>
      <c r="P130" s="113">
        <f>IF(OR(AND($F129&lt;=P$3, $F130 &gt;= P$3), AND($F130&lt;P$3, WORKDAY($F130, 22,Holiday!$A$1:$A$30)&gt;P$3)), 1, 0)+IF(AND((P$3-$B$2)&gt;=0,(P$3-$B$2)&lt;30), 2,0)</f>
        <v>0</v>
      </c>
      <c r="Q130" s="113">
        <f>IF(OR(AND($F129&lt;=Q$3, $F130 &gt;= Q$3), AND($F130&lt;Q$3, WORKDAY($F130, 22,Holiday!$A$1:$A$30)&gt;Q$3)), 1, 0)+IF(AND((Q$3-$B$2)&gt;=0,(Q$3-$B$2)&lt;30), 2,0)</f>
        <v>2</v>
      </c>
      <c r="R130" s="113">
        <f>IF(OR(AND($F129&lt;=R$3, $F130 &gt;= R$3), AND($F130&lt;R$3, WORKDAY($F130, 22,Holiday!$A$1:$A$30)&gt;R$3)), 1, 0)+IF(AND((R$3-$B$2)&gt;=0,(R$3-$B$2)&lt;30), 2,0)</f>
        <v>0</v>
      </c>
      <c r="S130" s="113">
        <f>IF(OR(AND($F129&lt;=S$3, $F130 &gt;= S$3), AND($F130&lt;S$3, WORKDAY($F130, 22,Holiday!$A$1:$A$30)&gt;S$3)), 1, 0)+IF(AND((S$3-$B$2)&gt;=0,(S$3-$B$2)&lt;30), 2,0)</f>
        <v>0</v>
      </c>
      <c r="T130" s="113">
        <f>IF(OR(AND($F129&lt;=T$3, $F130 &gt;= T$3), AND($F130&lt;T$3, WORKDAY($F130, 22,Holiday!$A$1:$A$30)&gt;T$3)), 1, 0)+IF(AND((T$3-$B$2)&gt;=0,(T$3-$B$2)&lt;30), 2,0)</f>
        <v>0</v>
      </c>
      <c r="U130" s="113">
        <f>IF(OR(AND($F129&lt;=U$3, $F130 &gt;= U$3), AND($F130&lt;U$3, WORKDAY($F130, 22,Holiday!$A$1:$A$30)&gt;U$3)), 1, 0)+IF(AND((U$3-$B$2)&gt;=0,(U$3-$B$2)&lt;30), 2,0)</f>
        <v>0</v>
      </c>
      <c r="V130" s="113">
        <f>IF(OR(AND($F129&lt;=V$3, $F130 &gt;= V$3), AND($F130&lt;V$3, WORKDAY($F130, 22,Holiday!$A$1:$A$30)&gt;V$3)), 1, 0)+IF(AND((V$3-$B$2)&gt;=0,(V$3-$B$2)&lt;30), 2,0)</f>
        <v>0</v>
      </c>
      <c r="W130" s="113">
        <f>IF(OR(AND($F129&lt;=W$3, $F130 &gt;= W$3), AND($F130&lt;W$3, WORKDAY($F130, 22,Holiday!$A$1:$A$30)&gt;W$3)), 1, 0)+IF(AND((W$3-$B$2)&gt;=0,(W$3-$B$2)&lt;30), 2,0)</f>
        <v>0</v>
      </c>
      <c r="X130" s="113">
        <f>IF(OR(AND($F129&lt;=X$3, $F130 &gt;= X$3), AND($F130&lt;X$3, WORKDAY($F130, 22,Holiday!$A$1:$A$30)&gt;X$3)), 1, 0)+IF(AND((X$3-$B$2)&gt;=0,(X$3-$B$2)&lt;30), 2,0)</f>
        <v>0</v>
      </c>
      <c r="Y130" s="113">
        <f>IF(OR(AND($F129&lt;=Y$3, $F130 &gt;= Y$3), AND($F130&lt;Y$3, WORKDAY($F130, 22,Holiday!$A$1:$A$30)&gt;Y$3)), 1, 0)+IF(AND((Y$3-$B$2)&gt;=0,(Y$3-$B$2)&lt;30), 2,0)</f>
        <v>0</v>
      </c>
      <c r="Z130" s="113">
        <f>IF(OR(AND($F129&lt;=Z$3, $F130 &gt;= Z$3), AND($F130&lt;Z$3, WORKDAY($F130, 22,Holiday!$A$1:$A$30)&gt;Z$3)), 1, 0)+IF(AND((Z$3-$B$2)&gt;=0,(Z$3-$B$2)&lt;30), 2,0)</f>
        <v>0</v>
      </c>
      <c r="AA130" s="113">
        <f>IF(OR(AND($F129&lt;=AA$3, $F130 &gt;= AA$3), AND($F130&lt;AA$3, WORKDAY($F130, 22,Holiday!$A$1:$A$30)&gt;AA$3)), 1, 0)+IF(AND((AA$3-$B$2)&gt;=0,(AA$3-$B$2)&lt;30), 2,0)</f>
        <v>0</v>
      </c>
      <c r="AB130" s="113">
        <f>IF(OR(AND($F129&lt;=AB$3, $F130 &gt;= AB$3), AND($F130&lt;AB$3, WORKDAY($F130, 22,Holiday!$A$1:$A$30)&gt;AB$3)), 1, 0)+IF(AND((AB$3-$B$2)&gt;=0,(AB$3-$B$2)&lt;30), 2,0)</f>
        <v>0</v>
      </c>
      <c r="AC130" s="113">
        <f>IF(OR(AND($F129&lt;=AC$3, $F130 &gt;= AC$3), AND($F130&lt;AC$3, WORKDAY($F130, 22,Holiday!$A$1:$A$30)&gt;AC$3)), 1, 0)+IF(AND((AC$3-$B$2)&gt;=0,(AC$3-$B$2)&lt;30), 2,0)</f>
        <v>0</v>
      </c>
      <c r="AD130" s="113">
        <f>IF(OR(AND($F129&lt;=AD$3, $F130 &gt;= AD$3), AND($F130&lt;AD$3, WORKDAY($F130, 22,Holiday!$A$1:$A$30)&gt;AD$3)), 1, 0)+IF(AND((AD$3-$B$2)&gt;=0,(AD$3-$B$2)&lt;30), 2,0)</f>
        <v>0</v>
      </c>
      <c r="AE130" s="113">
        <f>IF(OR(AND($F129&lt;=AE$3, $F130 &gt;= AE$3), AND($F130&lt;AE$3, WORKDAY($F130, 22,Holiday!$A$1:$A$30)&gt;AE$3)), 1, 0)+IF(AND((AE$3-$B$2)&gt;=0,(AE$3-$B$2)&lt;30), 2,0)</f>
        <v>0</v>
      </c>
      <c r="AF130" s="113">
        <f>IF(OR(AND($F129&lt;=AF$3, $F130 &gt;= AF$3), AND($F130&lt;AF$3, WORKDAY($F130, 22,Holiday!$A$1:$A$30)&gt;AF$3)), 1, 0)+IF(AND((AF$3-$B$2)&gt;=0,(AF$3-$B$2)&lt;30), 2,0)</f>
        <v>0</v>
      </c>
      <c r="AG130" s="113">
        <f>IF(OR(AND($F129&lt;=AG$3, $F130 &gt;= AG$3), AND($F130&lt;AG$3, WORKDAY($F130, 22,Holiday!$A$1:$A$30)&gt;AG$3)), 1, 0)+IF(AND((AG$3-$B$2)&gt;=0,(AG$3-$B$2)&lt;30), 2,0)</f>
        <v>0</v>
      </c>
      <c r="AH130" s="113">
        <f>IF(OR(AND($F129&lt;=AH$3, $F130 &gt;= AH$3), AND($F130&lt;AH$3, WORKDAY($F130, 22,Holiday!$A$1:$A$30)&gt;AH$3)), 1, 0)+IF(AND((AH$3-$B$2)&gt;=0,(AH$3-$B$2)&lt;30), 2,0)</f>
        <v>0</v>
      </c>
      <c r="AI130" s="113">
        <f>IF(OR(AND($F129&lt;=AI$3, $F130 &gt;= AI$3), AND($F130&lt;AI$3, WORKDAY($F130, 22,Holiday!$A$1:$A$30)&gt;AI$3)), 1, 0)+IF(AND((AI$3-$B$2)&gt;=0,(AI$3-$B$2)&lt;30), 2,0)</f>
        <v>0</v>
      </c>
      <c r="AJ130" s="113">
        <f>IF(OR(AND($F129&lt;=AJ$3, $F130 &gt;= AJ$3), AND($F130&lt;AJ$3, WORKDAY($F130, 22,Holiday!$A$1:$A$30)&gt;AJ$3)), 1, 0)+IF(AND((AJ$3-$B$2)&gt;=0,(AJ$3-$B$2)&lt;30), 2,0)</f>
        <v>0</v>
      </c>
      <c r="AK130" s="113">
        <f>IF(OR(AND($F129&lt;=AK$3, $F130 &gt;= AK$3), AND($F130&lt;AK$3, WORKDAY($F130, 22,Holiday!$A$1:$A$30)&gt;AK$3)), 1, 0)+IF(AND((AK$3-$B$2)&gt;=0,(AK$3-$B$2)&lt;30), 2,0)</f>
        <v>0</v>
      </c>
      <c r="AL130" s="113">
        <f>IF(OR(AND($F129&lt;=AL$3, $F130 &gt;= AL$3), AND($F130&lt;AL$3, WORKDAY($F130, 22,Holiday!$A$1:$A$30)&gt;AL$3)), 1, 0)+IF(AND((AL$3-$B$2)&gt;=0,(AL$3-$B$2)&lt;30), 2,0)</f>
        <v>0</v>
      </c>
      <c r="AM130" s="113">
        <f>IF(OR(AND($F129&lt;=AM$3, $F130 &gt;= AM$3), AND($F130&lt;AM$3, WORKDAY($F130, 22,Holiday!$A$1:$A$30)&gt;AM$3)), 1, 0)+IF(AND((AM$3-$B$2)&gt;=0,(AM$3-$B$2)&lt;30), 2,0)</f>
        <v>0</v>
      </c>
      <c r="AN130" s="113">
        <f>IF(OR(AND($F129&lt;=AN$3, $F130 &gt;= AN$3), AND($F130&lt;AN$3, WORKDAY($F130, 22,Holiday!$A$1:$A$30)&gt;AN$3)), 1, 0)+IF(AND((AN$3-$B$2)&gt;=0,(AN$3-$B$2)&lt;30), 2,0)</f>
        <v>0</v>
      </c>
      <c r="AO130" s="113">
        <f>IF(OR(AND($F129&lt;=AO$3, $F130 &gt;= AO$3), AND($F130&lt;AO$3, WORKDAY($F130, 22,Holiday!$A$1:$A$30)&gt;AO$3)), 1, 0)+IF(AND((AO$3-$B$2)&gt;=0,(AO$3-$B$2)&lt;30), 2,0)</f>
        <v>0</v>
      </c>
    </row>
    <row r="131" spans="2:41" ht="14.4" x14ac:dyDescent="0.25">
      <c r="B131" t="s">
        <v>164</v>
      </c>
      <c r="C131" s="112" t="s">
        <v>282</v>
      </c>
      <c r="D131" s="111">
        <v>6</v>
      </c>
      <c r="E131" s="86">
        <f t="shared" si="3"/>
        <v>9</v>
      </c>
      <c r="F131" s="121">
        <f>WORKDAY(F130,E131,Holiday!A125:A154)</f>
        <v>46104</v>
      </c>
      <c r="G131" s="113">
        <f>IF(OR(AND($F130&lt;=G$3, $F131 &gt;= G$3), AND($F131&lt;G$3, WORKDAY($F131, 22,Holiday!$A$1:$A$30)&gt;G$3)), 1, 0)+IF(AND((G$3-$B$2)&gt;=0,(G$3-$B$2)&lt;30), 2,0)</f>
        <v>0</v>
      </c>
      <c r="H131" s="113">
        <f>IF(OR(AND($F130&lt;=H$3, $F131 &gt;= H$3), AND($F131&lt;H$3, WORKDAY($F131, 22,Holiday!$A$1:$A$30)&gt;H$3)), 1, 0)+IF(AND((H$3-$B$2)&gt;=0,(H$3-$B$2)&lt;30), 2,0)</f>
        <v>0</v>
      </c>
      <c r="I131" s="113">
        <f>IF(OR(AND($F130&lt;=I$3, $F131 &gt;= I$3), AND($F131&lt;I$3, WORKDAY($F131, 22,Holiday!$A$1:$A$30)&gt;I$3)), 1, 0)+IF(AND((I$3-$B$2)&gt;=0,(I$3-$B$2)&lt;30), 2,0)</f>
        <v>1</v>
      </c>
      <c r="J131" s="113">
        <f>IF(OR(AND($F130&lt;=J$3, $F131 &gt;= J$3), AND($F131&lt;J$3, WORKDAY($F131, 22,Holiday!$A$1:$A$30)&gt;J$3)), 1, 0)+IF(AND((J$3-$B$2)&gt;=0,(J$3-$B$2)&lt;30), 2,0)</f>
        <v>0</v>
      </c>
      <c r="K131" s="113">
        <f>IF(OR(AND($F130&lt;=K$3, $F131 &gt;= K$3), AND($F131&lt;K$3, WORKDAY($F131, 22,Holiday!$A$1:$A$30)&gt;K$3)), 1, 0)+IF(AND((K$3-$B$2)&gt;=0,(K$3-$B$2)&lt;30), 2,0)</f>
        <v>0</v>
      </c>
      <c r="L131" s="113">
        <f>IF(OR(AND($F130&lt;=L$3, $F131 &gt;= L$3), AND($F131&lt;L$3, WORKDAY($F131, 22,Holiday!$A$1:$A$30)&gt;L$3)), 1, 0)+IF(AND((L$3-$B$2)&gt;=0,(L$3-$B$2)&lt;30), 2,0)</f>
        <v>0</v>
      </c>
      <c r="M131" s="113">
        <f>IF(OR(AND($F130&lt;=M$3, $F131 &gt;= M$3), AND($F131&lt;M$3, WORKDAY($F131, 22,Holiday!$A$1:$A$30)&gt;M$3)), 1, 0)+IF(AND((M$3-$B$2)&gt;=0,(M$3-$B$2)&lt;30), 2,0)</f>
        <v>0</v>
      </c>
      <c r="N131" s="113">
        <f>IF(OR(AND($F130&lt;=N$3, $F131 &gt;= N$3), AND($F131&lt;N$3, WORKDAY($F131, 22,Holiday!$A$1:$A$30)&gt;N$3)), 1, 0)+IF(AND((N$3-$B$2)&gt;=0,(N$3-$B$2)&lt;30), 2,0)</f>
        <v>0</v>
      </c>
      <c r="O131" s="113">
        <f>IF(OR(AND($F130&lt;=O$3, $F131 &gt;= O$3), AND($F131&lt;O$3, WORKDAY($F131, 22,Holiday!$A$1:$A$30)&gt;O$3)), 1, 0)+IF(AND((O$3-$B$2)&gt;=0,(O$3-$B$2)&lt;30), 2,0)</f>
        <v>0</v>
      </c>
      <c r="P131" s="113">
        <f>IF(OR(AND($F130&lt;=P$3, $F131 &gt;= P$3), AND($F131&lt;P$3, WORKDAY($F131, 22,Holiday!$A$1:$A$30)&gt;P$3)), 1, 0)+IF(AND((P$3-$B$2)&gt;=0,(P$3-$B$2)&lt;30), 2,0)</f>
        <v>0</v>
      </c>
      <c r="Q131" s="113">
        <f>IF(OR(AND($F130&lt;=Q$3, $F131 &gt;= Q$3), AND($F131&lt;Q$3, WORKDAY($F131, 22,Holiday!$A$1:$A$30)&gt;Q$3)), 1, 0)+IF(AND((Q$3-$B$2)&gt;=0,(Q$3-$B$2)&lt;30), 2,0)</f>
        <v>2</v>
      </c>
      <c r="R131" s="113">
        <f>IF(OR(AND($F130&lt;=R$3, $F131 &gt;= R$3), AND($F131&lt;R$3, WORKDAY($F131, 22,Holiday!$A$1:$A$30)&gt;R$3)), 1, 0)+IF(AND((R$3-$B$2)&gt;=0,(R$3-$B$2)&lt;30), 2,0)</f>
        <v>0</v>
      </c>
      <c r="S131" s="113">
        <f>IF(OR(AND($F130&lt;=S$3, $F131 &gt;= S$3), AND($F131&lt;S$3, WORKDAY($F131, 22,Holiday!$A$1:$A$30)&gt;S$3)), 1, 0)+IF(AND((S$3-$B$2)&gt;=0,(S$3-$B$2)&lt;30), 2,0)</f>
        <v>0</v>
      </c>
      <c r="T131" s="113">
        <f>IF(OR(AND($F130&lt;=T$3, $F131 &gt;= T$3), AND($F131&lt;T$3, WORKDAY($F131, 22,Holiday!$A$1:$A$30)&gt;T$3)), 1, 0)+IF(AND((T$3-$B$2)&gt;=0,(T$3-$B$2)&lt;30), 2,0)</f>
        <v>0</v>
      </c>
      <c r="U131" s="113">
        <f>IF(OR(AND($F130&lt;=U$3, $F131 &gt;= U$3), AND($F131&lt;U$3, WORKDAY($F131, 22,Holiday!$A$1:$A$30)&gt;U$3)), 1, 0)+IF(AND((U$3-$B$2)&gt;=0,(U$3-$B$2)&lt;30), 2,0)</f>
        <v>0</v>
      </c>
      <c r="V131" s="113">
        <f>IF(OR(AND($F130&lt;=V$3, $F131 &gt;= V$3), AND($F131&lt;V$3, WORKDAY($F131, 22,Holiday!$A$1:$A$30)&gt;V$3)), 1, 0)+IF(AND((V$3-$B$2)&gt;=0,(V$3-$B$2)&lt;30), 2,0)</f>
        <v>0</v>
      </c>
      <c r="W131" s="113">
        <f>IF(OR(AND($F130&lt;=W$3, $F131 &gt;= W$3), AND($F131&lt;W$3, WORKDAY($F131, 22,Holiday!$A$1:$A$30)&gt;W$3)), 1, 0)+IF(AND((W$3-$B$2)&gt;=0,(W$3-$B$2)&lt;30), 2,0)</f>
        <v>0</v>
      </c>
      <c r="X131" s="113">
        <f>IF(OR(AND($F130&lt;=X$3, $F131 &gt;= X$3), AND($F131&lt;X$3, WORKDAY($F131, 22,Holiday!$A$1:$A$30)&gt;X$3)), 1, 0)+IF(AND((X$3-$B$2)&gt;=0,(X$3-$B$2)&lt;30), 2,0)</f>
        <v>0</v>
      </c>
      <c r="Y131" s="113">
        <f>IF(OR(AND($F130&lt;=Y$3, $F131 &gt;= Y$3), AND($F131&lt;Y$3, WORKDAY($F131, 22,Holiday!$A$1:$A$30)&gt;Y$3)), 1, 0)+IF(AND((Y$3-$B$2)&gt;=0,(Y$3-$B$2)&lt;30), 2,0)</f>
        <v>0</v>
      </c>
      <c r="Z131" s="113">
        <f>IF(OR(AND($F130&lt;=Z$3, $F131 &gt;= Z$3), AND($F131&lt;Z$3, WORKDAY($F131, 22,Holiday!$A$1:$A$30)&gt;Z$3)), 1, 0)+IF(AND((Z$3-$B$2)&gt;=0,(Z$3-$B$2)&lt;30), 2,0)</f>
        <v>0</v>
      </c>
      <c r="AA131" s="113">
        <f>IF(OR(AND($F130&lt;=AA$3, $F131 &gt;= AA$3), AND($F131&lt;AA$3, WORKDAY($F131, 22,Holiday!$A$1:$A$30)&gt;AA$3)), 1, 0)+IF(AND((AA$3-$B$2)&gt;=0,(AA$3-$B$2)&lt;30), 2,0)</f>
        <v>0</v>
      </c>
      <c r="AB131" s="113">
        <f>IF(OR(AND($F130&lt;=AB$3, $F131 &gt;= AB$3), AND($F131&lt;AB$3, WORKDAY($F131, 22,Holiday!$A$1:$A$30)&gt;AB$3)), 1, 0)+IF(AND((AB$3-$B$2)&gt;=0,(AB$3-$B$2)&lt;30), 2,0)</f>
        <v>0</v>
      </c>
      <c r="AC131" s="113">
        <f>IF(OR(AND($F130&lt;=AC$3, $F131 &gt;= AC$3), AND($F131&lt;AC$3, WORKDAY($F131, 22,Holiday!$A$1:$A$30)&gt;AC$3)), 1, 0)+IF(AND((AC$3-$B$2)&gt;=0,(AC$3-$B$2)&lt;30), 2,0)</f>
        <v>0</v>
      </c>
      <c r="AD131" s="113">
        <f>IF(OR(AND($F130&lt;=AD$3, $F131 &gt;= AD$3), AND($F131&lt;AD$3, WORKDAY($F131, 22,Holiday!$A$1:$A$30)&gt;AD$3)), 1, 0)+IF(AND((AD$3-$B$2)&gt;=0,(AD$3-$B$2)&lt;30), 2,0)</f>
        <v>0</v>
      </c>
      <c r="AE131" s="113">
        <f>IF(OR(AND($F130&lt;=AE$3, $F131 &gt;= AE$3), AND($F131&lt;AE$3, WORKDAY($F131, 22,Holiday!$A$1:$A$30)&gt;AE$3)), 1, 0)+IF(AND((AE$3-$B$2)&gt;=0,(AE$3-$B$2)&lt;30), 2,0)</f>
        <v>0</v>
      </c>
      <c r="AF131" s="113">
        <f>IF(OR(AND($F130&lt;=AF$3, $F131 &gt;= AF$3), AND($F131&lt;AF$3, WORKDAY($F131, 22,Holiday!$A$1:$A$30)&gt;AF$3)), 1, 0)+IF(AND((AF$3-$B$2)&gt;=0,(AF$3-$B$2)&lt;30), 2,0)</f>
        <v>0</v>
      </c>
      <c r="AG131" s="113">
        <f>IF(OR(AND($F130&lt;=AG$3, $F131 &gt;= AG$3), AND($F131&lt;AG$3, WORKDAY($F131, 22,Holiday!$A$1:$A$30)&gt;AG$3)), 1, 0)+IF(AND((AG$3-$B$2)&gt;=0,(AG$3-$B$2)&lt;30), 2,0)</f>
        <v>0</v>
      </c>
      <c r="AH131" s="113">
        <f>IF(OR(AND($F130&lt;=AH$3, $F131 &gt;= AH$3), AND($F131&lt;AH$3, WORKDAY($F131, 22,Holiday!$A$1:$A$30)&gt;AH$3)), 1, 0)+IF(AND((AH$3-$B$2)&gt;=0,(AH$3-$B$2)&lt;30), 2,0)</f>
        <v>0</v>
      </c>
      <c r="AI131" s="113">
        <f>IF(OR(AND($F130&lt;=AI$3, $F131 &gt;= AI$3), AND($F131&lt;AI$3, WORKDAY($F131, 22,Holiday!$A$1:$A$30)&gt;AI$3)), 1, 0)+IF(AND((AI$3-$B$2)&gt;=0,(AI$3-$B$2)&lt;30), 2,0)</f>
        <v>0</v>
      </c>
      <c r="AJ131" s="113">
        <f>IF(OR(AND($F130&lt;=AJ$3, $F131 &gt;= AJ$3), AND($F131&lt;AJ$3, WORKDAY($F131, 22,Holiday!$A$1:$A$30)&gt;AJ$3)), 1, 0)+IF(AND((AJ$3-$B$2)&gt;=0,(AJ$3-$B$2)&lt;30), 2,0)</f>
        <v>0</v>
      </c>
      <c r="AK131" s="113">
        <f>IF(OR(AND($F130&lt;=AK$3, $F131 &gt;= AK$3), AND($F131&lt;AK$3, WORKDAY($F131, 22,Holiday!$A$1:$A$30)&gt;AK$3)), 1, 0)+IF(AND((AK$3-$B$2)&gt;=0,(AK$3-$B$2)&lt;30), 2,0)</f>
        <v>0</v>
      </c>
      <c r="AL131" s="113">
        <f>IF(OR(AND($F130&lt;=AL$3, $F131 &gt;= AL$3), AND($F131&lt;AL$3, WORKDAY($F131, 22,Holiday!$A$1:$A$30)&gt;AL$3)), 1, 0)+IF(AND((AL$3-$B$2)&gt;=0,(AL$3-$B$2)&lt;30), 2,0)</f>
        <v>0</v>
      </c>
      <c r="AM131" s="113">
        <f>IF(OR(AND($F130&lt;=AM$3, $F131 &gt;= AM$3), AND($F131&lt;AM$3, WORKDAY($F131, 22,Holiday!$A$1:$A$30)&gt;AM$3)), 1, 0)+IF(AND((AM$3-$B$2)&gt;=0,(AM$3-$B$2)&lt;30), 2,0)</f>
        <v>0</v>
      </c>
      <c r="AN131" s="113">
        <f>IF(OR(AND($F130&lt;=AN$3, $F131 &gt;= AN$3), AND($F131&lt;AN$3, WORKDAY($F131, 22,Holiday!$A$1:$A$30)&gt;AN$3)), 1, 0)+IF(AND((AN$3-$B$2)&gt;=0,(AN$3-$B$2)&lt;30), 2,0)</f>
        <v>0</v>
      </c>
      <c r="AO131" s="113">
        <f>IF(OR(AND($F130&lt;=AO$3, $F131 &gt;= AO$3), AND($F131&lt;AO$3, WORKDAY($F131, 22,Holiday!$A$1:$A$30)&gt;AO$3)), 1, 0)+IF(AND((AO$3-$B$2)&gt;=0,(AO$3-$B$2)&lt;30), 2,0)</f>
        <v>0</v>
      </c>
    </row>
    <row r="132" spans="2:41" ht="14.4" x14ac:dyDescent="0.25">
      <c r="B132" t="s">
        <v>168</v>
      </c>
      <c r="C132" s="112" t="s">
        <v>282</v>
      </c>
      <c r="D132" s="111">
        <v>6</v>
      </c>
      <c r="E132" s="86">
        <f t="shared" si="3"/>
        <v>9</v>
      </c>
      <c r="F132" s="121">
        <f>WORKDAY(F131,E132,Holiday!A126:A155)</f>
        <v>46115</v>
      </c>
      <c r="G132" s="113">
        <f>IF(OR(AND($F131&lt;=G$3, $F132 &gt;= G$3), AND($F132&lt;G$3, WORKDAY($F132, 22,Holiday!$A$1:$A$30)&gt;G$3)), 1, 0)+IF(AND((G$3-$B$2)&gt;=0,(G$3-$B$2)&lt;30), 2,0)</f>
        <v>0</v>
      </c>
      <c r="H132" s="113">
        <f>IF(OR(AND($F131&lt;=H$3, $F132 &gt;= H$3), AND($F132&lt;H$3, WORKDAY($F132, 22,Holiday!$A$1:$A$30)&gt;H$3)), 1, 0)+IF(AND((H$3-$B$2)&gt;=0,(H$3-$B$2)&lt;30), 2,0)</f>
        <v>0</v>
      </c>
      <c r="I132" s="113">
        <f>IF(OR(AND($F131&lt;=I$3, $F132 &gt;= I$3), AND($F132&lt;I$3, WORKDAY($F132, 22,Holiday!$A$1:$A$30)&gt;I$3)), 1, 0)+IF(AND((I$3-$B$2)&gt;=0,(I$3-$B$2)&lt;30), 2,0)</f>
        <v>1</v>
      </c>
      <c r="J132" s="113">
        <f>IF(OR(AND($F131&lt;=J$3, $F132 &gt;= J$3), AND($F132&lt;J$3, WORKDAY($F132, 22,Holiday!$A$1:$A$30)&gt;J$3)), 1, 0)+IF(AND((J$3-$B$2)&gt;=0,(J$3-$B$2)&lt;30), 2,0)</f>
        <v>0</v>
      </c>
      <c r="K132" s="113">
        <f>IF(OR(AND($F131&lt;=K$3, $F132 &gt;= K$3), AND($F132&lt;K$3, WORKDAY($F132, 22,Holiday!$A$1:$A$30)&gt;K$3)), 1, 0)+IF(AND((K$3-$B$2)&gt;=0,(K$3-$B$2)&lt;30), 2,0)</f>
        <v>0</v>
      </c>
      <c r="L132" s="113">
        <f>IF(OR(AND($F131&lt;=L$3, $F132 &gt;= L$3), AND($F132&lt;L$3, WORKDAY($F132, 22,Holiday!$A$1:$A$30)&gt;L$3)), 1, 0)+IF(AND((L$3-$B$2)&gt;=0,(L$3-$B$2)&lt;30), 2,0)</f>
        <v>0</v>
      </c>
      <c r="M132" s="113">
        <f>IF(OR(AND($F131&lt;=M$3, $F132 &gt;= M$3), AND($F132&lt;M$3, WORKDAY($F132, 22,Holiday!$A$1:$A$30)&gt;M$3)), 1, 0)+IF(AND((M$3-$B$2)&gt;=0,(M$3-$B$2)&lt;30), 2,0)</f>
        <v>0</v>
      </c>
      <c r="N132" s="113">
        <f>IF(OR(AND($F131&lt;=N$3, $F132 &gt;= N$3), AND($F132&lt;N$3, WORKDAY($F132, 22,Holiday!$A$1:$A$30)&gt;N$3)), 1, 0)+IF(AND((N$3-$B$2)&gt;=0,(N$3-$B$2)&lt;30), 2,0)</f>
        <v>0</v>
      </c>
      <c r="O132" s="113">
        <f>IF(OR(AND($F131&lt;=O$3, $F132 &gt;= O$3), AND($F132&lt;O$3, WORKDAY($F132, 22,Holiday!$A$1:$A$30)&gt;O$3)), 1, 0)+IF(AND((O$3-$B$2)&gt;=0,(O$3-$B$2)&lt;30), 2,0)</f>
        <v>0</v>
      </c>
      <c r="P132" s="113">
        <f>IF(OR(AND($F131&lt;=P$3, $F132 &gt;= P$3), AND($F132&lt;P$3, WORKDAY($F132, 22,Holiday!$A$1:$A$30)&gt;P$3)), 1, 0)+IF(AND((P$3-$B$2)&gt;=0,(P$3-$B$2)&lt;30), 2,0)</f>
        <v>0</v>
      </c>
      <c r="Q132" s="113">
        <f>IF(OR(AND($F131&lt;=Q$3, $F132 &gt;= Q$3), AND($F132&lt;Q$3, WORKDAY($F132, 22,Holiday!$A$1:$A$30)&gt;Q$3)), 1, 0)+IF(AND((Q$3-$B$2)&gt;=0,(Q$3-$B$2)&lt;30), 2,0)</f>
        <v>2</v>
      </c>
      <c r="R132" s="113">
        <f>IF(OR(AND($F131&lt;=R$3, $F132 &gt;= R$3), AND($F132&lt;R$3, WORKDAY($F132, 22,Holiday!$A$1:$A$30)&gt;R$3)), 1, 0)+IF(AND((R$3-$B$2)&gt;=0,(R$3-$B$2)&lt;30), 2,0)</f>
        <v>0</v>
      </c>
      <c r="S132" s="113">
        <f>IF(OR(AND($F131&lt;=S$3, $F132 &gt;= S$3), AND($F132&lt;S$3, WORKDAY($F132, 22,Holiday!$A$1:$A$30)&gt;S$3)), 1, 0)+IF(AND((S$3-$B$2)&gt;=0,(S$3-$B$2)&lt;30), 2,0)</f>
        <v>0</v>
      </c>
      <c r="T132" s="113">
        <f>IF(OR(AND($F131&lt;=T$3, $F132 &gt;= T$3), AND($F132&lt;T$3, WORKDAY($F132, 22,Holiday!$A$1:$A$30)&gt;T$3)), 1, 0)+IF(AND((T$3-$B$2)&gt;=0,(T$3-$B$2)&lt;30), 2,0)</f>
        <v>0</v>
      </c>
      <c r="U132" s="113">
        <f>IF(OR(AND($F131&lt;=U$3, $F132 &gt;= U$3), AND($F132&lt;U$3, WORKDAY($F132, 22,Holiday!$A$1:$A$30)&gt;U$3)), 1, 0)+IF(AND((U$3-$B$2)&gt;=0,(U$3-$B$2)&lt;30), 2,0)</f>
        <v>0</v>
      </c>
      <c r="V132" s="113">
        <f>IF(OR(AND($F131&lt;=V$3, $F132 &gt;= V$3), AND($F132&lt;V$3, WORKDAY($F132, 22,Holiday!$A$1:$A$30)&gt;V$3)), 1, 0)+IF(AND((V$3-$B$2)&gt;=0,(V$3-$B$2)&lt;30), 2,0)</f>
        <v>0</v>
      </c>
      <c r="W132" s="113">
        <f>IF(OR(AND($F131&lt;=W$3, $F132 &gt;= W$3), AND($F132&lt;W$3, WORKDAY($F132, 22,Holiday!$A$1:$A$30)&gt;W$3)), 1, 0)+IF(AND((W$3-$B$2)&gt;=0,(W$3-$B$2)&lt;30), 2,0)</f>
        <v>0</v>
      </c>
      <c r="X132" s="113">
        <f>IF(OR(AND($F131&lt;=X$3, $F132 &gt;= X$3), AND($F132&lt;X$3, WORKDAY($F132, 22,Holiday!$A$1:$A$30)&gt;X$3)), 1, 0)+IF(AND((X$3-$B$2)&gt;=0,(X$3-$B$2)&lt;30), 2,0)</f>
        <v>0</v>
      </c>
      <c r="Y132" s="113">
        <f>IF(OR(AND($F131&lt;=Y$3, $F132 &gt;= Y$3), AND($F132&lt;Y$3, WORKDAY($F132, 22,Holiday!$A$1:$A$30)&gt;Y$3)), 1, 0)+IF(AND((Y$3-$B$2)&gt;=0,(Y$3-$B$2)&lt;30), 2,0)</f>
        <v>0</v>
      </c>
      <c r="Z132" s="113">
        <f>IF(OR(AND($F131&lt;=Z$3, $F132 &gt;= Z$3), AND($F132&lt;Z$3, WORKDAY($F132, 22,Holiday!$A$1:$A$30)&gt;Z$3)), 1, 0)+IF(AND((Z$3-$B$2)&gt;=0,(Z$3-$B$2)&lt;30), 2,0)</f>
        <v>0</v>
      </c>
      <c r="AA132" s="113">
        <f>IF(OR(AND($F131&lt;=AA$3, $F132 &gt;= AA$3), AND($F132&lt;AA$3, WORKDAY($F132, 22,Holiday!$A$1:$A$30)&gt;AA$3)), 1, 0)+IF(AND((AA$3-$B$2)&gt;=0,(AA$3-$B$2)&lt;30), 2,0)</f>
        <v>0</v>
      </c>
      <c r="AB132" s="113">
        <f>IF(OR(AND($F131&lt;=AB$3, $F132 &gt;= AB$3), AND($F132&lt;AB$3, WORKDAY($F132, 22,Holiday!$A$1:$A$30)&gt;AB$3)), 1, 0)+IF(AND((AB$3-$B$2)&gt;=0,(AB$3-$B$2)&lt;30), 2,0)</f>
        <v>0</v>
      </c>
      <c r="AC132" s="113">
        <f>IF(OR(AND($F131&lt;=AC$3, $F132 &gt;= AC$3), AND($F132&lt;AC$3, WORKDAY($F132, 22,Holiday!$A$1:$A$30)&gt;AC$3)), 1, 0)+IF(AND((AC$3-$B$2)&gt;=0,(AC$3-$B$2)&lt;30), 2,0)</f>
        <v>0</v>
      </c>
      <c r="AD132" s="113">
        <f>IF(OR(AND($F131&lt;=AD$3, $F132 &gt;= AD$3), AND($F132&lt;AD$3, WORKDAY($F132, 22,Holiday!$A$1:$A$30)&gt;AD$3)), 1, 0)+IF(AND((AD$3-$B$2)&gt;=0,(AD$3-$B$2)&lt;30), 2,0)</f>
        <v>0</v>
      </c>
      <c r="AE132" s="113">
        <f>IF(OR(AND($F131&lt;=AE$3, $F132 &gt;= AE$3), AND($F132&lt;AE$3, WORKDAY($F132, 22,Holiday!$A$1:$A$30)&gt;AE$3)), 1, 0)+IF(AND((AE$3-$B$2)&gt;=0,(AE$3-$B$2)&lt;30), 2,0)</f>
        <v>0</v>
      </c>
      <c r="AF132" s="113">
        <f>IF(OR(AND($F131&lt;=AF$3, $F132 &gt;= AF$3), AND($F132&lt;AF$3, WORKDAY($F132, 22,Holiday!$A$1:$A$30)&gt;AF$3)), 1, 0)+IF(AND((AF$3-$B$2)&gt;=0,(AF$3-$B$2)&lt;30), 2,0)</f>
        <v>0</v>
      </c>
      <c r="AG132" s="113">
        <f>IF(OR(AND($F131&lt;=AG$3, $F132 &gt;= AG$3), AND($F132&lt;AG$3, WORKDAY($F132, 22,Holiday!$A$1:$A$30)&gt;AG$3)), 1, 0)+IF(AND((AG$3-$B$2)&gt;=0,(AG$3-$B$2)&lt;30), 2,0)</f>
        <v>0</v>
      </c>
      <c r="AH132" s="113">
        <f>IF(OR(AND($F131&lt;=AH$3, $F132 &gt;= AH$3), AND($F132&lt;AH$3, WORKDAY($F132, 22,Holiday!$A$1:$A$30)&gt;AH$3)), 1, 0)+IF(AND((AH$3-$B$2)&gt;=0,(AH$3-$B$2)&lt;30), 2,0)</f>
        <v>0</v>
      </c>
      <c r="AI132" s="113">
        <f>IF(OR(AND($F131&lt;=AI$3, $F132 &gt;= AI$3), AND($F132&lt;AI$3, WORKDAY($F132, 22,Holiday!$A$1:$A$30)&gt;AI$3)), 1, 0)+IF(AND((AI$3-$B$2)&gt;=0,(AI$3-$B$2)&lt;30), 2,0)</f>
        <v>0</v>
      </c>
      <c r="AJ132" s="113">
        <f>IF(OR(AND($F131&lt;=AJ$3, $F132 &gt;= AJ$3), AND($F132&lt;AJ$3, WORKDAY($F132, 22,Holiday!$A$1:$A$30)&gt;AJ$3)), 1, 0)+IF(AND((AJ$3-$B$2)&gt;=0,(AJ$3-$B$2)&lt;30), 2,0)</f>
        <v>0</v>
      </c>
      <c r="AK132" s="113">
        <f>IF(OR(AND($F131&lt;=AK$3, $F132 &gt;= AK$3), AND($F132&lt;AK$3, WORKDAY($F132, 22,Holiday!$A$1:$A$30)&gt;AK$3)), 1, 0)+IF(AND((AK$3-$B$2)&gt;=0,(AK$3-$B$2)&lt;30), 2,0)</f>
        <v>0</v>
      </c>
      <c r="AL132" s="113">
        <f>IF(OR(AND($F131&lt;=AL$3, $F132 &gt;= AL$3), AND($F132&lt;AL$3, WORKDAY($F132, 22,Holiday!$A$1:$A$30)&gt;AL$3)), 1, 0)+IF(AND((AL$3-$B$2)&gt;=0,(AL$3-$B$2)&lt;30), 2,0)</f>
        <v>0</v>
      </c>
      <c r="AM132" s="113">
        <f>IF(OR(AND($F131&lt;=AM$3, $F132 &gt;= AM$3), AND($F132&lt;AM$3, WORKDAY($F132, 22,Holiday!$A$1:$A$30)&gt;AM$3)), 1, 0)+IF(AND((AM$3-$B$2)&gt;=0,(AM$3-$B$2)&lt;30), 2,0)</f>
        <v>0</v>
      </c>
      <c r="AN132" s="113">
        <f>IF(OR(AND($F131&lt;=AN$3, $F132 &gt;= AN$3), AND($F132&lt;AN$3, WORKDAY($F132, 22,Holiday!$A$1:$A$30)&gt;AN$3)), 1, 0)+IF(AND((AN$3-$B$2)&gt;=0,(AN$3-$B$2)&lt;30), 2,0)</f>
        <v>0</v>
      </c>
      <c r="AO132" s="113">
        <f>IF(OR(AND($F131&lt;=AO$3, $F132 &gt;= AO$3), AND($F132&lt;AO$3, WORKDAY($F132, 22,Holiday!$A$1:$A$30)&gt;AO$3)), 1, 0)+IF(AND((AO$3-$B$2)&gt;=0,(AO$3-$B$2)&lt;30), 2,0)</f>
        <v>0</v>
      </c>
    </row>
    <row r="133" spans="2:41" ht="14.4" x14ac:dyDescent="0.25">
      <c r="B133" t="s">
        <v>166</v>
      </c>
      <c r="C133" s="112" t="s">
        <v>282</v>
      </c>
      <c r="D133" s="111">
        <v>6</v>
      </c>
      <c r="E133" s="86">
        <f t="shared" si="3"/>
        <v>9</v>
      </c>
      <c r="F133" s="121">
        <f>WORKDAY(F132,E133,Holiday!A127:A156)</f>
        <v>46128</v>
      </c>
      <c r="G133" s="113">
        <f>IF(OR(AND($F132&lt;=G$3, $F133 &gt;= G$3), AND($F133&lt;G$3, WORKDAY($F133, 22,Holiday!$A$1:$A$30)&gt;G$3)), 1, 0)+IF(AND((G$3-$B$2)&gt;=0,(G$3-$B$2)&lt;30), 2,0)</f>
        <v>0</v>
      </c>
      <c r="H133" s="113">
        <f>IF(OR(AND($F132&lt;=H$3, $F133 &gt;= H$3), AND($F133&lt;H$3, WORKDAY($F133, 22,Holiday!$A$1:$A$30)&gt;H$3)), 1, 0)+IF(AND((H$3-$B$2)&gt;=0,(H$3-$B$2)&lt;30), 2,0)</f>
        <v>0</v>
      </c>
      <c r="I133" s="113">
        <f>IF(OR(AND($F132&lt;=I$3, $F133 &gt;= I$3), AND($F133&lt;I$3, WORKDAY($F133, 22,Holiday!$A$1:$A$30)&gt;I$3)), 1, 0)+IF(AND((I$3-$B$2)&gt;=0,(I$3-$B$2)&lt;30), 2,0)</f>
        <v>1</v>
      </c>
      <c r="J133" s="113">
        <f>IF(OR(AND($F132&lt;=J$3, $F133 &gt;= J$3), AND($F133&lt;J$3, WORKDAY($F133, 22,Holiday!$A$1:$A$30)&gt;J$3)), 1, 0)+IF(AND((J$3-$B$2)&gt;=0,(J$3-$B$2)&lt;30), 2,0)</f>
        <v>1</v>
      </c>
      <c r="K133" s="113">
        <f>IF(OR(AND($F132&lt;=K$3, $F133 &gt;= K$3), AND($F133&lt;K$3, WORKDAY($F133, 22,Holiday!$A$1:$A$30)&gt;K$3)), 1, 0)+IF(AND((K$3-$B$2)&gt;=0,(K$3-$B$2)&lt;30), 2,0)</f>
        <v>0</v>
      </c>
      <c r="L133" s="113">
        <f>IF(OR(AND($F132&lt;=L$3, $F133 &gt;= L$3), AND($F133&lt;L$3, WORKDAY($F133, 22,Holiday!$A$1:$A$30)&gt;L$3)), 1, 0)+IF(AND((L$3-$B$2)&gt;=0,(L$3-$B$2)&lt;30), 2,0)</f>
        <v>0</v>
      </c>
      <c r="M133" s="113">
        <f>IF(OR(AND($F132&lt;=M$3, $F133 &gt;= M$3), AND($F133&lt;M$3, WORKDAY($F133, 22,Holiday!$A$1:$A$30)&gt;M$3)), 1, 0)+IF(AND((M$3-$B$2)&gt;=0,(M$3-$B$2)&lt;30), 2,0)</f>
        <v>0</v>
      </c>
      <c r="N133" s="113">
        <f>IF(OR(AND($F132&lt;=N$3, $F133 &gt;= N$3), AND($F133&lt;N$3, WORKDAY($F133, 22,Holiday!$A$1:$A$30)&gt;N$3)), 1, 0)+IF(AND((N$3-$B$2)&gt;=0,(N$3-$B$2)&lt;30), 2,0)</f>
        <v>0</v>
      </c>
      <c r="O133" s="113">
        <f>IF(OR(AND($F132&lt;=O$3, $F133 &gt;= O$3), AND($F133&lt;O$3, WORKDAY($F133, 22,Holiday!$A$1:$A$30)&gt;O$3)), 1, 0)+IF(AND((O$3-$B$2)&gt;=0,(O$3-$B$2)&lt;30), 2,0)</f>
        <v>0</v>
      </c>
      <c r="P133" s="113">
        <f>IF(OR(AND($F132&lt;=P$3, $F133 &gt;= P$3), AND($F133&lt;P$3, WORKDAY($F133, 22,Holiday!$A$1:$A$30)&gt;P$3)), 1, 0)+IF(AND((P$3-$B$2)&gt;=0,(P$3-$B$2)&lt;30), 2,0)</f>
        <v>0</v>
      </c>
      <c r="Q133" s="113">
        <f>IF(OR(AND($F132&lt;=Q$3, $F133 &gt;= Q$3), AND($F133&lt;Q$3, WORKDAY($F133, 22,Holiday!$A$1:$A$30)&gt;Q$3)), 1, 0)+IF(AND((Q$3-$B$2)&gt;=0,(Q$3-$B$2)&lt;30), 2,0)</f>
        <v>2</v>
      </c>
      <c r="R133" s="113">
        <f>IF(OR(AND($F132&lt;=R$3, $F133 &gt;= R$3), AND($F133&lt;R$3, WORKDAY($F133, 22,Holiday!$A$1:$A$30)&gt;R$3)), 1, 0)+IF(AND((R$3-$B$2)&gt;=0,(R$3-$B$2)&lt;30), 2,0)</f>
        <v>0</v>
      </c>
      <c r="S133" s="113">
        <f>IF(OR(AND($F132&lt;=S$3, $F133 &gt;= S$3), AND($F133&lt;S$3, WORKDAY($F133, 22,Holiday!$A$1:$A$30)&gt;S$3)), 1, 0)+IF(AND((S$3-$B$2)&gt;=0,(S$3-$B$2)&lt;30), 2,0)</f>
        <v>0</v>
      </c>
      <c r="T133" s="113">
        <f>IF(OR(AND($F132&lt;=T$3, $F133 &gt;= T$3), AND($F133&lt;T$3, WORKDAY($F133, 22,Holiday!$A$1:$A$30)&gt;T$3)), 1, 0)+IF(AND((T$3-$B$2)&gt;=0,(T$3-$B$2)&lt;30), 2,0)</f>
        <v>0</v>
      </c>
      <c r="U133" s="113">
        <f>IF(OR(AND($F132&lt;=U$3, $F133 &gt;= U$3), AND($F133&lt;U$3, WORKDAY($F133, 22,Holiday!$A$1:$A$30)&gt;U$3)), 1, 0)+IF(AND((U$3-$B$2)&gt;=0,(U$3-$B$2)&lt;30), 2,0)</f>
        <v>0</v>
      </c>
      <c r="V133" s="113">
        <f>IF(OR(AND($F132&lt;=V$3, $F133 &gt;= V$3), AND($F133&lt;V$3, WORKDAY($F133, 22,Holiday!$A$1:$A$30)&gt;V$3)), 1, 0)+IF(AND((V$3-$B$2)&gt;=0,(V$3-$B$2)&lt;30), 2,0)</f>
        <v>0</v>
      </c>
      <c r="W133" s="113">
        <f>IF(OR(AND($F132&lt;=W$3, $F133 &gt;= W$3), AND($F133&lt;W$3, WORKDAY($F133, 22,Holiday!$A$1:$A$30)&gt;W$3)), 1, 0)+IF(AND((W$3-$B$2)&gt;=0,(W$3-$B$2)&lt;30), 2,0)</f>
        <v>0</v>
      </c>
      <c r="X133" s="113">
        <f>IF(OR(AND($F132&lt;=X$3, $F133 &gt;= X$3), AND($F133&lt;X$3, WORKDAY($F133, 22,Holiday!$A$1:$A$30)&gt;X$3)), 1, 0)+IF(AND((X$3-$B$2)&gt;=0,(X$3-$B$2)&lt;30), 2,0)</f>
        <v>0</v>
      </c>
      <c r="Y133" s="113">
        <f>IF(OR(AND($F132&lt;=Y$3, $F133 &gt;= Y$3), AND($F133&lt;Y$3, WORKDAY($F133, 22,Holiday!$A$1:$A$30)&gt;Y$3)), 1, 0)+IF(AND((Y$3-$B$2)&gt;=0,(Y$3-$B$2)&lt;30), 2,0)</f>
        <v>0</v>
      </c>
      <c r="Z133" s="113">
        <f>IF(OR(AND($F132&lt;=Z$3, $F133 &gt;= Z$3), AND($F133&lt;Z$3, WORKDAY($F133, 22,Holiday!$A$1:$A$30)&gt;Z$3)), 1, 0)+IF(AND((Z$3-$B$2)&gt;=0,(Z$3-$B$2)&lt;30), 2,0)</f>
        <v>0</v>
      </c>
      <c r="AA133" s="113">
        <f>IF(OR(AND($F132&lt;=AA$3, $F133 &gt;= AA$3), AND($F133&lt;AA$3, WORKDAY($F133, 22,Holiday!$A$1:$A$30)&gt;AA$3)), 1, 0)+IF(AND((AA$3-$B$2)&gt;=0,(AA$3-$B$2)&lt;30), 2,0)</f>
        <v>0</v>
      </c>
      <c r="AB133" s="113">
        <f>IF(OR(AND($F132&lt;=AB$3, $F133 &gt;= AB$3), AND($F133&lt;AB$3, WORKDAY($F133, 22,Holiday!$A$1:$A$30)&gt;AB$3)), 1, 0)+IF(AND((AB$3-$B$2)&gt;=0,(AB$3-$B$2)&lt;30), 2,0)</f>
        <v>0</v>
      </c>
      <c r="AC133" s="113">
        <f>IF(OR(AND($F132&lt;=AC$3, $F133 &gt;= AC$3), AND($F133&lt;AC$3, WORKDAY($F133, 22,Holiday!$A$1:$A$30)&gt;AC$3)), 1, 0)+IF(AND((AC$3-$B$2)&gt;=0,(AC$3-$B$2)&lt;30), 2,0)</f>
        <v>0</v>
      </c>
      <c r="AD133" s="113">
        <f>IF(OR(AND($F132&lt;=AD$3, $F133 &gt;= AD$3), AND($F133&lt;AD$3, WORKDAY($F133, 22,Holiday!$A$1:$A$30)&gt;AD$3)), 1, 0)+IF(AND((AD$3-$B$2)&gt;=0,(AD$3-$B$2)&lt;30), 2,0)</f>
        <v>0</v>
      </c>
      <c r="AE133" s="113">
        <f>IF(OR(AND($F132&lt;=AE$3, $F133 &gt;= AE$3), AND($F133&lt;AE$3, WORKDAY($F133, 22,Holiday!$A$1:$A$30)&gt;AE$3)), 1, 0)+IF(AND((AE$3-$B$2)&gt;=0,(AE$3-$B$2)&lt;30), 2,0)</f>
        <v>0</v>
      </c>
      <c r="AF133" s="113">
        <f>IF(OR(AND($F132&lt;=AF$3, $F133 &gt;= AF$3), AND($F133&lt;AF$3, WORKDAY($F133, 22,Holiday!$A$1:$A$30)&gt;AF$3)), 1, 0)+IF(AND((AF$3-$B$2)&gt;=0,(AF$3-$B$2)&lt;30), 2,0)</f>
        <v>0</v>
      </c>
      <c r="AG133" s="113">
        <f>IF(OR(AND($F132&lt;=AG$3, $F133 &gt;= AG$3), AND($F133&lt;AG$3, WORKDAY($F133, 22,Holiday!$A$1:$A$30)&gt;AG$3)), 1, 0)+IF(AND((AG$3-$B$2)&gt;=0,(AG$3-$B$2)&lt;30), 2,0)</f>
        <v>0</v>
      </c>
      <c r="AH133" s="113">
        <f>IF(OR(AND($F132&lt;=AH$3, $F133 &gt;= AH$3), AND($F133&lt;AH$3, WORKDAY($F133, 22,Holiday!$A$1:$A$30)&gt;AH$3)), 1, 0)+IF(AND((AH$3-$B$2)&gt;=0,(AH$3-$B$2)&lt;30), 2,0)</f>
        <v>0</v>
      </c>
      <c r="AI133" s="113">
        <f>IF(OR(AND($F132&lt;=AI$3, $F133 &gt;= AI$3), AND($F133&lt;AI$3, WORKDAY($F133, 22,Holiday!$A$1:$A$30)&gt;AI$3)), 1, 0)+IF(AND((AI$3-$B$2)&gt;=0,(AI$3-$B$2)&lt;30), 2,0)</f>
        <v>0</v>
      </c>
      <c r="AJ133" s="113">
        <f>IF(OR(AND($F132&lt;=AJ$3, $F133 &gt;= AJ$3), AND($F133&lt;AJ$3, WORKDAY($F133, 22,Holiday!$A$1:$A$30)&gt;AJ$3)), 1, 0)+IF(AND((AJ$3-$B$2)&gt;=0,(AJ$3-$B$2)&lt;30), 2,0)</f>
        <v>0</v>
      </c>
      <c r="AK133" s="113">
        <f>IF(OR(AND($F132&lt;=AK$3, $F133 &gt;= AK$3), AND($F133&lt;AK$3, WORKDAY($F133, 22,Holiday!$A$1:$A$30)&gt;AK$3)), 1, 0)+IF(AND((AK$3-$B$2)&gt;=0,(AK$3-$B$2)&lt;30), 2,0)</f>
        <v>0</v>
      </c>
      <c r="AL133" s="113">
        <f>IF(OR(AND($F132&lt;=AL$3, $F133 &gt;= AL$3), AND($F133&lt;AL$3, WORKDAY($F133, 22,Holiday!$A$1:$A$30)&gt;AL$3)), 1, 0)+IF(AND((AL$3-$B$2)&gt;=0,(AL$3-$B$2)&lt;30), 2,0)</f>
        <v>0</v>
      </c>
      <c r="AM133" s="113">
        <f>IF(OR(AND($F132&lt;=AM$3, $F133 &gt;= AM$3), AND($F133&lt;AM$3, WORKDAY($F133, 22,Holiday!$A$1:$A$30)&gt;AM$3)), 1, 0)+IF(AND((AM$3-$B$2)&gt;=0,(AM$3-$B$2)&lt;30), 2,0)</f>
        <v>0</v>
      </c>
      <c r="AN133" s="113">
        <f>IF(OR(AND($F132&lt;=AN$3, $F133 &gt;= AN$3), AND($F133&lt;AN$3, WORKDAY($F133, 22,Holiday!$A$1:$A$30)&gt;AN$3)), 1, 0)+IF(AND((AN$3-$B$2)&gt;=0,(AN$3-$B$2)&lt;30), 2,0)</f>
        <v>0</v>
      </c>
      <c r="AO133" s="113">
        <f>IF(OR(AND($F132&lt;=AO$3, $F133 &gt;= AO$3), AND($F133&lt;AO$3, WORKDAY($F133, 22,Holiday!$A$1:$A$30)&gt;AO$3)), 1, 0)+IF(AND((AO$3-$B$2)&gt;=0,(AO$3-$B$2)&lt;30), 2,0)</f>
        <v>0</v>
      </c>
    </row>
    <row r="134" spans="2:41" ht="14.4" x14ac:dyDescent="0.25">
      <c r="B134" t="s">
        <v>155</v>
      </c>
      <c r="C134" s="112" t="s">
        <v>282</v>
      </c>
      <c r="D134" s="111">
        <v>6</v>
      </c>
      <c r="E134" s="86">
        <f t="shared" si="3"/>
        <v>9</v>
      </c>
      <c r="F134" s="121">
        <f>WORKDAY(F133,E134,Holiday!A128:A157)</f>
        <v>46141</v>
      </c>
      <c r="G134" s="113">
        <f>IF(OR(AND($F133&lt;=G$3, $F134 &gt;= G$3), AND($F134&lt;G$3, WORKDAY($F134, 22,Holiday!$A$1:$A$30)&gt;G$3)), 1, 0)+IF(AND((G$3-$B$2)&gt;=0,(G$3-$B$2)&lt;30), 2,0)</f>
        <v>0</v>
      </c>
      <c r="H134" s="113">
        <f>IF(OR(AND($F133&lt;=H$3, $F134 &gt;= H$3), AND($F134&lt;H$3, WORKDAY($F134, 22,Holiday!$A$1:$A$30)&gt;H$3)), 1, 0)+IF(AND((H$3-$B$2)&gt;=0,(H$3-$B$2)&lt;30), 2,0)</f>
        <v>0</v>
      </c>
      <c r="I134" s="113">
        <f>IF(OR(AND($F133&lt;=I$3, $F134 &gt;= I$3), AND($F134&lt;I$3, WORKDAY($F134, 22,Holiday!$A$1:$A$30)&gt;I$3)), 1, 0)+IF(AND((I$3-$B$2)&gt;=0,(I$3-$B$2)&lt;30), 2,0)</f>
        <v>0</v>
      </c>
      <c r="J134" s="113">
        <f>IF(OR(AND($F133&lt;=J$3, $F134 &gt;= J$3), AND($F134&lt;J$3, WORKDAY($F134, 22,Holiday!$A$1:$A$30)&gt;J$3)), 1, 0)+IF(AND((J$3-$B$2)&gt;=0,(J$3-$B$2)&lt;30), 2,0)</f>
        <v>1</v>
      </c>
      <c r="K134" s="113">
        <f>IF(OR(AND($F133&lt;=K$3, $F134 &gt;= K$3), AND($F134&lt;K$3, WORKDAY($F134, 22,Holiday!$A$1:$A$30)&gt;K$3)), 1, 0)+IF(AND((K$3-$B$2)&gt;=0,(K$3-$B$2)&lt;30), 2,0)</f>
        <v>0</v>
      </c>
      <c r="L134" s="113">
        <f>IF(OR(AND($F133&lt;=L$3, $F134 &gt;= L$3), AND($F134&lt;L$3, WORKDAY($F134, 22,Holiday!$A$1:$A$30)&gt;L$3)), 1, 0)+IF(AND((L$3-$B$2)&gt;=0,(L$3-$B$2)&lt;30), 2,0)</f>
        <v>0</v>
      </c>
      <c r="M134" s="113">
        <f>IF(OR(AND($F133&lt;=M$3, $F134 &gt;= M$3), AND($F134&lt;M$3, WORKDAY($F134, 22,Holiday!$A$1:$A$30)&gt;M$3)), 1, 0)+IF(AND((M$3-$B$2)&gt;=0,(M$3-$B$2)&lt;30), 2,0)</f>
        <v>0</v>
      </c>
      <c r="N134" s="113">
        <f>IF(OR(AND($F133&lt;=N$3, $F134 &gt;= N$3), AND($F134&lt;N$3, WORKDAY($F134, 22,Holiday!$A$1:$A$30)&gt;N$3)), 1, 0)+IF(AND((N$3-$B$2)&gt;=0,(N$3-$B$2)&lt;30), 2,0)</f>
        <v>0</v>
      </c>
      <c r="O134" s="113">
        <f>IF(OR(AND($F133&lt;=O$3, $F134 &gt;= O$3), AND($F134&lt;O$3, WORKDAY($F134, 22,Holiday!$A$1:$A$30)&gt;O$3)), 1, 0)+IF(AND((O$3-$B$2)&gt;=0,(O$3-$B$2)&lt;30), 2,0)</f>
        <v>0</v>
      </c>
      <c r="P134" s="113">
        <f>IF(OR(AND($F133&lt;=P$3, $F134 &gt;= P$3), AND($F134&lt;P$3, WORKDAY($F134, 22,Holiday!$A$1:$A$30)&gt;P$3)), 1, 0)+IF(AND((P$3-$B$2)&gt;=0,(P$3-$B$2)&lt;30), 2,0)</f>
        <v>0</v>
      </c>
      <c r="Q134" s="113">
        <f>IF(OR(AND($F133&lt;=Q$3, $F134 &gt;= Q$3), AND($F134&lt;Q$3, WORKDAY($F134, 22,Holiday!$A$1:$A$30)&gt;Q$3)), 1, 0)+IF(AND((Q$3-$B$2)&gt;=0,(Q$3-$B$2)&lt;30), 2,0)</f>
        <v>2</v>
      </c>
      <c r="R134" s="113">
        <f>IF(OR(AND($F133&lt;=R$3, $F134 &gt;= R$3), AND($F134&lt;R$3, WORKDAY($F134, 22,Holiday!$A$1:$A$30)&gt;R$3)), 1, 0)+IF(AND((R$3-$B$2)&gt;=0,(R$3-$B$2)&lt;30), 2,0)</f>
        <v>0</v>
      </c>
      <c r="S134" s="113">
        <f>IF(OR(AND($F133&lt;=S$3, $F134 &gt;= S$3), AND($F134&lt;S$3, WORKDAY($F134, 22,Holiday!$A$1:$A$30)&gt;S$3)), 1, 0)+IF(AND((S$3-$B$2)&gt;=0,(S$3-$B$2)&lt;30), 2,0)</f>
        <v>0</v>
      </c>
      <c r="T134" s="113">
        <f>IF(OR(AND($F133&lt;=T$3, $F134 &gt;= T$3), AND($F134&lt;T$3, WORKDAY($F134, 22,Holiday!$A$1:$A$30)&gt;T$3)), 1, 0)+IF(AND((T$3-$B$2)&gt;=0,(T$3-$B$2)&lt;30), 2,0)</f>
        <v>0</v>
      </c>
      <c r="U134" s="113">
        <f>IF(OR(AND($F133&lt;=U$3, $F134 &gt;= U$3), AND($F134&lt;U$3, WORKDAY($F134, 22,Holiday!$A$1:$A$30)&gt;U$3)), 1, 0)+IF(AND((U$3-$B$2)&gt;=0,(U$3-$B$2)&lt;30), 2,0)</f>
        <v>0</v>
      </c>
      <c r="V134" s="113">
        <f>IF(OR(AND($F133&lt;=V$3, $F134 &gt;= V$3), AND($F134&lt;V$3, WORKDAY($F134, 22,Holiday!$A$1:$A$30)&gt;V$3)), 1, 0)+IF(AND((V$3-$B$2)&gt;=0,(V$3-$B$2)&lt;30), 2,0)</f>
        <v>0</v>
      </c>
      <c r="W134" s="113">
        <f>IF(OR(AND($F133&lt;=W$3, $F134 &gt;= W$3), AND($F134&lt;W$3, WORKDAY($F134, 22,Holiday!$A$1:$A$30)&gt;W$3)), 1, 0)+IF(AND((W$3-$B$2)&gt;=0,(W$3-$B$2)&lt;30), 2,0)</f>
        <v>0</v>
      </c>
      <c r="X134" s="113">
        <f>IF(OR(AND($F133&lt;=X$3, $F134 &gt;= X$3), AND($F134&lt;X$3, WORKDAY($F134, 22,Holiday!$A$1:$A$30)&gt;X$3)), 1, 0)+IF(AND((X$3-$B$2)&gt;=0,(X$3-$B$2)&lt;30), 2,0)</f>
        <v>0</v>
      </c>
      <c r="Y134" s="113">
        <f>IF(OR(AND($F133&lt;=Y$3, $F134 &gt;= Y$3), AND($F134&lt;Y$3, WORKDAY($F134, 22,Holiday!$A$1:$A$30)&gt;Y$3)), 1, 0)+IF(AND((Y$3-$B$2)&gt;=0,(Y$3-$B$2)&lt;30), 2,0)</f>
        <v>0</v>
      </c>
      <c r="Z134" s="113">
        <f>IF(OR(AND($F133&lt;=Z$3, $F134 &gt;= Z$3), AND($F134&lt;Z$3, WORKDAY($F134, 22,Holiday!$A$1:$A$30)&gt;Z$3)), 1, 0)+IF(AND((Z$3-$B$2)&gt;=0,(Z$3-$B$2)&lt;30), 2,0)</f>
        <v>0</v>
      </c>
      <c r="AA134" s="113">
        <f>IF(OR(AND($F133&lt;=AA$3, $F134 &gt;= AA$3), AND($F134&lt;AA$3, WORKDAY($F134, 22,Holiday!$A$1:$A$30)&gt;AA$3)), 1, 0)+IF(AND((AA$3-$B$2)&gt;=0,(AA$3-$B$2)&lt;30), 2,0)</f>
        <v>0</v>
      </c>
      <c r="AB134" s="113">
        <f>IF(OR(AND($F133&lt;=AB$3, $F134 &gt;= AB$3), AND($F134&lt;AB$3, WORKDAY($F134, 22,Holiday!$A$1:$A$30)&gt;AB$3)), 1, 0)+IF(AND((AB$3-$B$2)&gt;=0,(AB$3-$B$2)&lt;30), 2,0)</f>
        <v>0</v>
      </c>
      <c r="AC134" s="113">
        <f>IF(OR(AND($F133&lt;=AC$3, $F134 &gt;= AC$3), AND($F134&lt;AC$3, WORKDAY($F134, 22,Holiday!$A$1:$A$30)&gt;AC$3)), 1, 0)+IF(AND((AC$3-$B$2)&gt;=0,(AC$3-$B$2)&lt;30), 2,0)</f>
        <v>0</v>
      </c>
      <c r="AD134" s="113">
        <f>IF(OR(AND($F133&lt;=AD$3, $F134 &gt;= AD$3), AND($F134&lt;AD$3, WORKDAY($F134, 22,Holiday!$A$1:$A$30)&gt;AD$3)), 1, 0)+IF(AND((AD$3-$B$2)&gt;=0,(AD$3-$B$2)&lt;30), 2,0)</f>
        <v>0</v>
      </c>
      <c r="AE134" s="113">
        <f>IF(OR(AND($F133&lt;=AE$3, $F134 &gt;= AE$3), AND($F134&lt;AE$3, WORKDAY($F134, 22,Holiday!$A$1:$A$30)&gt;AE$3)), 1, 0)+IF(AND((AE$3-$B$2)&gt;=0,(AE$3-$B$2)&lt;30), 2,0)</f>
        <v>0</v>
      </c>
      <c r="AF134" s="113">
        <f>IF(OR(AND($F133&lt;=AF$3, $F134 &gt;= AF$3), AND($F134&lt;AF$3, WORKDAY($F134, 22,Holiday!$A$1:$A$30)&gt;AF$3)), 1, 0)+IF(AND((AF$3-$B$2)&gt;=0,(AF$3-$B$2)&lt;30), 2,0)</f>
        <v>0</v>
      </c>
      <c r="AG134" s="113">
        <f>IF(OR(AND($F133&lt;=AG$3, $F134 &gt;= AG$3), AND($F134&lt;AG$3, WORKDAY($F134, 22,Holiday!$A$1:$A$30)&gt;AG$3)), 1, 0)+IF(AND((AG$3-$B$2)&gt;=0,(AG$3-$B$2)&lt;30), 2,0)</f>
        <v>0</v>
      </c>
      <c r="AH134" s="113">
        <f>IF(OR(AND($F133&lt;=AH$3, $F134 &gt;= AH$3), AND($F134&lt;AH$3, WORKDAY($F134, 22,Holiday!$A$1:$A$30)&gt;AH$3)), 1, 0)+IF(AND((AH$3-$B$2)&gt;=0,(AH$3-$B$2)&lt;30), 2,0)</f>
        <v>0</v>
      </c>
      <c r="AI134" s="113">
        <f>IF(OR(AND($F133&lt;=AI$3, $F134 &gt;= AI$3), AND($F134&lt;AI$3, WORKDAY($F134, 22,Holiday!$A$1:$A$30)&gt;AI$3)), 1, 0)+IF(AND((AI$3-$B$2)&gt;=0,(AI$3-$B$2)&lt;30), 2,0)</f>
        <v>0</v>
      </c>
      <c r="AJ134" s="113">
        <f>IF(OR(AND($F133&lt;=AJ$3, $F134 &gt;= AJ$3), AND($F134&lt;AJ$3, WORKDAY($F134, 22,Holiday!$A$1:$A$30)&gt;AJ$3)), 1, 0)+IF(AND((AJ$3-$B$2)&gt;=0,(AJ$3-$B$2)&lt;30), 2,0)</f>
        <v>0</v>
      </c>
      <c r="AK134" s="113">
        <f>IF(OR(AND($F133&lt;=AK$3, $F134 &gt;= AK$3), AND($F134&lt;AK$3, WORKDAY($F134, 22,Holiday!$A$1:$A$30)&gt;AK$3)), 1, 0)+IF(AND((AK$3-$B$2)&gt;=0,(AK$3-$B$2)&lt;30), 2,0)</f>
        <v>0</v>
      </c>
      <c r="AL134" s="113">
        <f>IF(OR(AND($F133&lt;=AL$3, $F134 &gt;= AL$3), AND($F134&lt;AL$3, WORKDAY($F134, 22,Holiday!$A$1:$A$30)&gt;AL$3)), 1, 0)+IF(AND((AL$3-$B$2)&gt;=0,(AL$3-$B$2)&lt;30), 2,0)</f>
        <v>0</v>
      </c>
      <c r="AM134" s="113">
        <f>IF(OR(AND($F133&lt;=AM$3, $F134 &gt;= AM$3), AND($F134&lt;AM$3, WORKDAY($F134, 22,Holiday!$A$1:$A$30)&gt;AM$3)), 1, 0)+IF(AND((AM$3-$B$2)&gt;=0,(AM$3-$B$2)&lt;30), 2,0)</f>
        <v>0</v>
      </c>
      <c r="AN134" s="113">
        <f>IF(OR(AND($F133&lt;=AN$3, $F134 &gt;= AN$3), AND($F134&lt;AN$3, WORKDAY($F134, 22,Holiday!$A$1:$A$30)&gt;AN$3)), 1, 0)+IF(AND((AN$3-$B$2)&gt;=0,(AN$3-$B$2)&lt;30), 2,0)</f>
        <v>0</v>
      </c>
      <c r="AO134" s="113">
        <f>IF(OR(AND($F133&lt;=AO$3, $F134 &gt;= AO$3), AND($F134&lt;AO$3, WORKDAY($F134, 22,Holiday!$A$1:$A$30)&gt;AO$3)), 1, 0)+IF(AND((AO$3-$B$2)&gt;=0,(AO$3-$B$2)&lt;30), 2,0)</f>
        <v>0</v>
      </c>
    </row>
    <row r="135" spans="2:41" ht="14.4" x14ac:dyDescent="0.25">
      <c r="B135" t="s">
        <v>181</v>
      </c>
      <c r="C135" s="112" t="s">
        <v>282</v>
      </c>
      <c r="D135" s="111">
        <v>6</v>
      </c>
      <c r="E135" s="86">
        <f t="shared" si="3"/>
        <v>9</v>
      </c>
      <c r="F135" s="121">
        <f>WORKDAY(F134,E135,Holiday!A129:A158)</f>
        <v>46154</v>
      </c>
      <c r="G135" s="113">
        <f>IF(OR(AND($F134&lt;=G$3, $F135 &gt;= G$3), AND($F135&lt;G$3, WORKDAY($F135, 22,Holiday!$A$1:$A$30)&gt;G$3)), 1, 0)+IF(AND((G$3-$B$2)&gt;=0,(G$3-$B$2)&lt;30), 2,0)</f>
        <v>0</v>
      </c>
      <c r="H135" s="113">
        <f>IF(OR(AND($F134&lt;=H$3, $F135 &gt;= H$3), AND($F135&lt;H$3, WORKDAY($F135, 22,Holiday!$A$1:$A$30)&gt;H$3)), 1, 0)+IF(AND((H$3-$B$2)&gt;=0,(H$3-$B$2)&lt;30), 2,0)</f>
        <v>0</v>
      </c>
      <c r="I135" s="113">
        <f>IF(OR(AND($F134&lt;=I$3, $F135 &gt;= I$3), AND($F135&lt;I$3, WORKDAY($F135, 22,Holiday!$A$1:$A$30)&gt;I$3)), 1, 0)+IF(AND((I$3-$B$2)&gt;=0,(I$3-$B$2)&lt;30), 2,0)</f>
        <v>0</v>
      </c>
      <c r="J135" s="113">
        <f>IF(OR(AND($F134&lt;=J$3, $F135 &gt;= J$3), AND($F135&lt;J$3, WORKDAY($F135, 22,Holiday!$A$1:$A$30)&gt;J$3)), 1, 0)+IF(AND((J$3-$B$2)&gt;=0,(J$3-$B$2)&lt;30), 2,0)</f>
        <v>1</v>
      </c>
      <c r="K135" s="113">
        <f>IF(OR(AND($F134&lt;=K$3, $F135 &gt;= K$3), AND($F135&lt;K$3, WORKDAY($F135, 22,Holiday!$A$1:$A$30)&gt;K$3)), 1, 0)+IF(AND((K$3-$B$2)&gt;=0,(K$3-$B$2)&lt;30), 2,0)</f>
        <v>1</v>
      </c>
      <c r="L135" s="113">
        <f>IF(OR(AND($F134&lt;=L$3, $F135 &gt;= L$3), AND($F135&lt;L$3, WORKDAY($F135, 22,Holiday!$A$1:$A$30)&gt;L$3)), 1, 0)+IF(AND((L$3-$B$2)&gt;=0,(L$3-$B$2)&lt;30), 2,0)</f>
        <v>0</v>
      </c>
      <c r="M135" s="113">
        <f>IF(OR(AND($F134&lt;=M$3, $F135 &gt;= M$3), AND($F135&lt;M$3, WORKDAY($F135, 22,Holiday!$A$1:$A$30)&gt;M$3)), 1, 0)+IF(AND((M$3-$B$2)&gt;=0,(M$3-$B$2)&lt;30), 2,0)</f>
        <v>0</v>
      </c>
      <c r="N135" s="113">
        <f>IF(OR(AND($F134&lt;=N$3, $F135 &gt;= N$3), AND($F135&lt;N$3, WORKDAY($F135, 22,Holiday!$A$1:$A$30)&gt;N$3)), 1, 0)+IF(AND((N$3-$B$2)&gt;=0,(N$3-$B$2)&lt;30), 2,0)</f>
        <v>0</v>
      </c>
      <c r="O135" s="113">
        <f>IF(OR(AND($F134&lt;=O$3, $F135 &gt;= O$3), AND($F135&lt;O$3, WORKDAY($F135, 22,Holiday!$A$1:$A$30)&gt;O$3)), 1, 0)+IF(AND((O$3-$B$2)&gt;=0,(O$3-$B$2)&lt;30), 2,0)</f>
        <v>0</v>
      </c>
      <c r="P135" s="113">
        <f>IF(OR(AND($F134&lt;=P$3, $F135 &gt;= P$3), AND($F135&lt;P$3, WORKDAY($F135, 22,Holiday!$A$1:$A$30)&gt;P$3)), 1, 0)+IF(AND((P$3-$B$2)&gt;=0,(P$3-$B$2)&lt;30), 2,0)</f>
        <v>0</v>
      </c>
      <c r="Q135" s="113">
        <f>IF(OR(AND($F134&lt;=Q$3, $F135 &gt;= Q$3), AND($F135&lt;Q$3, WORKDAY($F135, 22,Holiday!$A$1:$A$30)&gt;Q$3)), 1, 0)+IF(AND((Q$3-$B$2)&gt;=0,(Q$3-$B$2)&lt;30), 2,0)</f>
        <v>2</v>
      </c>
      <c r="R135" s="113">
        <f>IF(OR(AND($F134&lt;=R$3, $F135 &gt;= R$3), AND($F135&lt;R$3, WORKDAY($F135, 22,Holiday!$A$1:$A$30)&gt;R$3)), 1, 0)+IF(AND((R$3-$B$2)&gt;=0,(R$3-$B$2)&lt;30), 2,0)</f>
        <v>0</v>
      </c>
      <c r="S135" s="113">
        <f>IF(OR(AND($F134&lt;=S$3, $F135 &gt;= S$3), AND($F135&lt;S$3, WORKDAY($F135, 22,Holiday!$A$1:$A$30)&gt;S$3)), 1, 0)+IF(AND((S$3-$B$2)&gt;=0,(S$3-$B$2)&lt;30), 2,0)</f>
        <v>0</v>
      </c>
      <c r="T135" s="113">
        <f>IF(OR(AND($F134&lt;=T$3, $F135 &gt;= T$3), AND($F135&lt;T$3, WORKDAY($F135, 22,Holiday!$A$1:$A$30)&gt;T$3)), 1, 0)+IF(AND((T$3-$B$2)&gt;=0,(T$3-$B$2)&lt;30), 2,0)</f>
        <v>0</v>
      </c>
      <c r="U135" s="113">
        <f>IF(OR(AND($F134&lt;=U$3, $F135 &gt;= U$3), AND($F135&lt;U$3, WORKDAY($F135, 22,Holiday!$A$1:$A$30)&gt;U$3)), 1, 0)+IF(AND((U$3-$B$2)&gt;=0,(U$3-$B$2)&lt;30), 2,0)</f>
        <v>0</v>
      </c>
      <c r="V135" s="113">
        <f>IF(OR(AND($F134&lt;=V$3, $F135 &gt;= V$3), AND($F135&lt;V$3, WORKDAY($F135, 22,Holiday!$A$1:$A$30)&gt;V$3)), 1, 0)+IF(AND((V$3-$B$2)&gt;=0,(V$3-$B$2)&lt;30), 2,0)</f>
        <v>0</v>
      </c>
      <c r="W135" s="113">
        <f>IF(OR(AND($F134&lt;=W$3, $F135 &gt;= W$3), AND($F135&lt;W$3, WORKDAY($F135, 22,Holiday!$A$1:$A$30)&gt;W$3)), 1, 0)+IF(AND((W$3-$B$2)&gt;=0,(W$3-$B$2)&lt;30), 2,0)</f>
        <v>0</v>
      </c>
      <c r="X135" s="113">
        <f>IF(OR(AND($F134&lt;=X$3, $F135 &gt;= X$3), AND($F135&lt;X$3, WORKDAY($F135, 22,Holiday!$A$1:$A$30)&gt;X$3)), 1, 0)+IF(AND((X$3-$B$2)&gt;=0,(X$3-$B$2)&lt;30), 2,0)</f>
        <v>0</v>
      </c>
      <c r="Y135" s="113">
        <f>IF(OR(AND($F134&lt;=Y$3, $F135 &gt;= Y$3), AND($F135&lt;Y$3, WORKDAY($F135, 22,Holiday!$A$1:$A$30)&gt;Y$3)), 1, 0)+IF(AND((Y$3-$B$2)&gt;=0,(Y$3-$B$2)&lt;30), 2,0)</f>
        <v>0</v>
      </c>
      <c r="Z135" s="113">
        <f>IF(OR(AND($F134&lt;=Z$3, $F135 &gt;= Z$3), AND($F135&lt;Z$3, WORKDAY($F135, 22,Holiday!$A$1:$A$30)&gt;Z$3)), 1, 0)+IF(AND((Z$3-$B$2)&gt;=0,(Z$3-$B$2)&lt;30), 2,0)</f>
        <v>0</v>
      </c>
      <c r="AA135" s="113">
        <f>IF(OR(AND($F134&lt;=AA$3, $F135 &gt;= AA$3), AND($F135&lt;AA$3, WORKDAY($F135, 22,Holiday!$A$1:$A$30)&gt;AA$3)), 1, 0)+IF(AND((AA$3-$B$2)&gt;=0,(AA$3-$B$2)&lt;30), 2,0)</f>
        <v>0</v>
      </c>
      <c r="AB135" s="113">
        <f>IF(OR(AND($F134&lt;=AB$3, $F135 &gt;= AB$3), AND($F135&lt;AB$3, WORKDAY($F135, 22,Holiday!$A$1:$A$30)&gt;AB$3)), 1, 0)+IF(AND((AB$3-$B$2)&gt;=0,(AB$3-$B$2)&lt;30), 2,0)</f>
        <v>0</v>
      </c>
      <c r="AC135" s="113">
        <f>IF(OR(AND($F134&lt;=AC$3, $F135 &gt;= AC$3), AND($F135&lt;AC$3, WORKDAY($F135, 22,Holiday!$A$1:$A$30)&gt;AC$3)), 1, 0)+IF(AND((AC$3-$B$2)&gt;=0,(AC$3-$B$2)&lt;30), 2,0)</f>
        <v>0</v>
      </c>
      <c r="AD135" s="113">
        <f>IF(OR(AND($F134&lt;=AD$3, $F135 &gt;= AD$3), AND($F135&lt;AD$3, WORKDAY($F135, 22,Holiday!$A$1:$A$30)&gt;AD$3)), 1, 0)+IF(AND((AD$3-$B$2)&gt;=0,(AD$3-$B$2)&lt;30), 2,0)</f>
        <v>0</v>
      </c>
      <c r="AE135" s="113">
        <f>IF(OR(AND($F134&lt;=AE$3, $F135 &gt;= AE$3), AND($F135&lt;AE$3, WORKDAY($F135, 22,Holiday!$A$1:$A$30)&gt;AE$3)), 1, 0)+IF(AND((AE$3-$B$2)&gt;=0,(AE$3-$B$2)&lt;30), 2,0)</f>
        <v>0</v>
      </c>
      <c r="AF135" s="113">
        <f>IF(OR(AND($F134&lt;=AF$3, $F135 &gt;= AF$3), AND($F135&lt;AF$3, WORKDAY($F135, 22,Holiday!$A$1:$A$30)&gt;AF$3)), 1, 0)+IF(AND((AF$3-$B$2)&gt;=0,(AF$3-$B$2)&lt;30), 2,0)</f>
        <v>0</v>
      </c>
      <c r="AG135" s="113">
        <f>IF(OR(AND($F134&lt;=AG$3, $F135 &gt;= AG$3), AND($F135&lt;AG$3, WORKDAY($F135, 22,Holiday!$A$1:$A$30)&gt;AG$3)), 1, 0)+IF(AND((AG$3-$B$2)&gt;=0,(AG$3-$B$2)&lt;30), 2,0)</f>
        <v>0</v>
      </c>
      <c r="AH135" s="113">
        <f>IF(OR(AND($F134&lt;=AH$3, $F135 &gt;= AH$3), AND($F135&lt;AH$3, WORKDAY($F135, 22,Holiday!$A$1:$A$30)&gt;AH$3)), 1, 0)+IF(AND((AH$3-$B$2)&gt;=0,(AH$3-$B$2)&lt;30), 2,0)</f>
        <v>0</v>
      </c>
      <c r="AI135" s="113">
        <f>IF(OR(AND($F134&lt;=AI$3, $F135 &gt;= AI$3), AND($F135&lt;AI$3, WORKDAY($F135, 22,Holiday!$A$1:$A$30)&gt;AI$3)), 1, 0)+IF(AND((AI$3-$B$2)&gt;=0,(AI$3-$B$2)&lt;30), 2,0)</f>
        <v>0</v>
      </c>
      <c r="AJ135" s="113">
        <f>IF(OR(AND($F134&lt;=AJ$3, $F135 &gt;= AJ$3), AND($F135&lt;AJ$3, WORKDAY($F135, 22,Holiday!$A$1:$A$30)&gt;AJ$3)), 1, 0)+IF(AND((AJ$3-$B$2)&gt;=0,(AJ$3-$B$2)&lt;30), 2,0)</f>
        <v>0</v>
      </c>
      <c r="AK135" s="113">
        <f>IF(OR(AND($F134&lt;=AK$3, $F135 &gt;= AK$3), AND($F135&lt;AK$3, WORKDAY($F135, 22,Holiday!$A$1:$A$30)&gt;AK$3)), 1, 0)+IF(AND((AK$3-$B$2)&gt;=0,(AK$3-$B$2)&lt;30), 2,0)</f>
        <v>0</v>
      </c>
      <c r="AL135" s="113">
        <f>IF(OR(AND($F134&lt;=AL$3, $F135 &gt;= AL$3), AND($F135&lt;AL$3, WORKDAY($F135, 22,Holiday!$A$1:$A$30)&gt;AL$3)), 1, 0)+IF(AND((AL$3-$B$2)&gt;=0,(AL$3-$B$2)&lt;30), 2,0)</f>
        <v>0</v>
      </c>
      <c r="AM135" s="113">
        <f>IF(OR(AND($F134&lt;=AM$3, $F135 &gt;= AM$3), AND($F135&lt;AM$3, WORKDAY($F135, 22,Holiday!$A$1:$A$30)&gt;AM$3)), 1, 0)+IF(AND((AM$3-$B$2)&gt;=0,(AM$3-$B$2)&lt;30), 2,0)</f>
        <v>0</v>
      </c>
      <c r="AN135" s="113">
        <f>IF(OR(AND($F134&lt;=AN$3, $F135 &gt;= AN$3), AND($F135&lt;AN$3, WORKDAY($F135, 22,Holiday!$A$1:$A$30)&gt;AN$3)), 1, 0)+IF(AND((AN$3-$B$2)&gt;=0,(AN$3-$B$2)&lt;30), 2,0)</f>
        <v>0</v>
      </c>
      <c r="AO135" s="113">
        <f>IF(OR(AND($F134&lt;=AO$3, $F135 &gt;= AO$3), AND($F135&lt;AO$3, WORKDAY($F135, 22,Holiday!$A$1:$A$30)&gt;AO$3)), 1, 0)+IF(AND((AO$3-$B$2)&gt;=0,(AO$3-$B$2)&lt;30), 2,0)</f>
        <v>0</v>
      </c>
    </row>
    <row r="136" spans="2:41" ht="14.4" x14ac:dyDescent="0.25">
      <c r="B136" t="s">
        <v>183</v>
      </c>
      <c r="C136" s="112" t="s">
        <v>282</v>
      </c>
      <c r="D136" s="111">
        <v>6</v>
      </c>
      <c r="E136" s="86">
        <f t="shared" si="3"/>
        <v>9</v>
      </c>
      <c r="F136" s="121">
        <f>WORKDAY(F135,E136,Holiday!A130:A159)</f>
        <v>46167</v>
      </c>
      <c r="G136" s="113">
        <f>IF(OR(AND($F135&lt;=G$3, $F136 &gt;= G$3), AND($F136&lt;G$3, WORKDAY($F136, 22,Holiday!$A$1:$A$30)&gt;G$3)), 1, 0)+IF(AND((G$3-$B$2)&gt;=0,(G$3-$B$2)&lt;30), 2,0)</f>
        <v>0</v>
      </c>
      <c r="H136" s="113">
        <f>IF(OR(AND($F135&lt;=H$3, $F136 &gt;= H$3), AND($F136&lt;H$3, WORKDAY($F136, 22,Holiday!$A$1:$A$30)&gt;H$3)), 1, 0)+IF(AND((H$3-$B$2)&gt;=0,(H$3-$B$2)&lt;30), 2,0)</f>
        <v>0</v>
      </c>
      <c r="I136" s="113">
        <f>IF(OR(AND($F135&lt;=I$3, $F136 &gt;= I$3), AND($F136&lt;I$3, WORKDAY($F136, 22,Holiday!$A$1:$A$30)&gt;I$3)), 1, 0)+IF(AND((I$3-$B$2)&gt;=0,(I$3-$B$2)&lt;30), 2,0)</f>
        <v>0</v>
      </c>
      <c r="J136" s="113">
        <f>IF(OR(AND($F135&lt;=J$3, $F136 &gt;= J$3), AND($F136&lt;J$3, WORKDAY($F136, 22,Holiday!$A$1:$A$30)&gt;J$3)), 1, 0)+IF(AND((J$3-$B$2)&gt;=0,(J$3-$B$2)&lt;30), 2,0)</f>
        <v>0</v>
      </c>
      <c r="K136" s="113">
        <f>IF(OR(AND($F135&lt;=K$3, $F136 &gt;= K$3), AND($F136&lt;K$3, WORKDAY($F136, 22,Holiday!$A$1:$A$30)&gt;K$3)), 1, 0)+IF(AND((K$3-$B$2)&gt;=0,(K$3-$B$2)&lt;30), 2,0)</f>
        <v>1</v>
      </c>
      <c r="L136" s="113">
        <f>IF(OR(AND($F135&lt;=L$3, $F136 &gt;= L$3), AND($F136&lt;L$3, WORKDAY($F136, 22,Holiday!$A$1:$A$30)&gt;L$3)), 1, 0)+IF(AND((L$3-$B$2)&gt;=0,(L$3-$B$2)&lt;30), 2,0)</f>
        <v>0</v>
      </c>
      <c r="M136" s="113">
        <f>IF(OR(AND($F135&lt;=M$3, $F136 &gt;= M$3), AND($F136&lt;M$3, WORKDAY($F136, 22,Holiday!$A$1:$A$30)&gt;M$3)), 1, 0)+IF(AND((M$3-$B$2)&gt;=0,(M$3-$B$2)&lt;30), 2,0)</f>
        <v>0</v>
      </c>
      <c r="N136" s="113">
        <f>IF(OR(AND($F135&lt;=N$3, $F136 &gt;= N$3), AND($F136&lt;N$3, WORKDAY($F136, 22,Holiday!$A$1:$A$30)&gt;N$3)), 1, 0)+IF(AND((N$3-$B$2)&gt;=0,(N$3-$B$2)&lt;30), 2,0)</f>
        <v>0</v>
      </c>
      <c r="O136" s="113">
        <f>IF(OR(AND($F135&lt;=O$3, $F136 &gt;= O$3), AND($F136&lt;O$3, WORKDAY($F136, 22,Holiday!$A$1:$A$30)&gt;O$3)), 1, 0)+IF(AND((O$3-$B$2)&gt;=0,(O$3-$B$2)&lt;30), 2,0)</f>
        <v>0</v>
      </c>
      <c r="P136" s="113">
        <f>IF(OR(AND($F135&lt;=P$3, $F136 &gt;= P$3), AND($F136&lt;P$3, WORKDAY($F136, 22,Holiday!$A$1:$A$30)&gt;P$3)), 1, 0)+IF(AND((P$3-$B$2)&gt;=0,(P$3-$B$2)&lt;30), 2,0)</f>
        <v>0</v>
      </c>
      <c r="Q136" s="113">
        <f>IF(OR(AND($F135&lt;=Q$3, $F136 &gt;= Q$3), AND($F136&lt;Q$3, WORKDAY($F136, 22,Holiday!$A$1:$A$30)&gt;Q$3)), 1, 0)+IF(AND((Q$3-$B$2)&gt;=0,(Q$3-$B$2)&lt;30), 2,0)</f>
        <v>2</v>
      </c>
      <c r="R136" s="113">
        <f>IF(OR(AND($F135&lt;=R$3, $F136 &gt;= R$3), AND($F136&lt;R$3, WORKDAY($F136, 22,Holiday!$A$1:$A$30)&gt;R$3)), 1, 0)+IF(AND((R$3-$B$2)&gt;=0,(R$3-$B$2)&lt;30), 2,0)</f>
        <v>0</v>
      </c>
      <c r="S136" s="113">
        <f>IF(OR(AND($F135&lt;=S$3, $F136 &gt;= S$3), AND($F136&lt;S$3, WORKDAY($F136, 22,Holiday!$A$1:$A$30)&gt;S$3)), 1, 0)+IF(AND((S$3-$B$2)&gt;=0,(S$3-$B$2)&lt;30), 2,0)</f>
        <v>0</v>
      </c>
      <c r="T136" s="113">
        <f>IF(OR(AND($F135&lt;=T$3, $F136 &gt;= T$3), AND($F136&lt;T$3, WORKDAY($F136, 22,Holiday!$A$1:$A$30)&gt;T$3)), 1, 0)+IF(AND((T$3-$B$2)&gt;=0,(T$3-$B$2)&lt;30), 2,0)</f>
        <v>0</v>
      </c>
      <c r="U136" s="113">
        <f>IF(OR(AND($F135&lt;=U$3, $F136 &gt;= U$3), AND($F136&lt;U$3, WORKDAY($F136, 22,Holiday!$A$1:$A$30)&gt;U$3)), 1, 0)+IF(AND((U$3-$B$2)&gt;=0,(U$3-$B$2)&lt;30), 2,0)</f>
        <v>0</v>
      </c>
      <c r="V136" s="113">
        <f>IF(OR(AND($F135&lt;=V$3, $F136 &gt;= V$3), AND($F136&lt;V$3, WORKDAY($F136, 22,Holiday!$A$1:$A$30)&gt;V$3)), 1, 0)+IF(AND((V$3-$B$2)&gt;=0,(V$3-$B$2)&lt;30), 2,0)</f>
        <v>0</v>
      </c>
      <c r="W136" s="113">
        <f>IF(OR(AND($F135&lt;=W$3, $F136 &gt;= W$3), AND($F136&lt;W$3, WORKDAY($F136, 22,Holiday!$A$1:$A$30)&gt;W$3)), 1, 0)+IF(AND((W$3-$B$2)&gt;=0,(W$3-$B$2)&lt;30), 2,0)</f>
        <v>0</v>
      </c>
      <c r="X136" s="113">
        <f>IF(OR(AND($F135&lt;=X$3, $F136 &gt;= X$3), AND($F136&lt;X$3, WORKDAY($F136, 22,Holiday!$A$1:$A$30)&gt;X$3)), 1, 0)+IF(AND((X$3-$B$2)&gt;=0,(X$3-$B$2)&lt;30), 2,0)</f>
        <v>0</v>
      </c>
      <c r="Y136" s="113">
        <f>IF(OR(AND($F135&lt;=Y$3, $F136 &gt;= Y$3), AND($F136&lt;Y$3, WORKDAY($F136, 22,Holiday!$A$1:$A$30)&gt;Y$3)), 1, 0)+IF(AND((Y$3-$B$2)&gt;=0,(Y$3-$B$2)&lt;30), 2,0)</f>
        <v>0</v>
      </c>
      <c r="Z136" s="113">
        <f>IF(OR(AND($F135&lt;=Z$3, $F136 &gt;= Z$3), AND($F136&lt;Z$3, WORKDAY($F136, 22,Holiday!$A$1:$A$30)&gt;Z$3)), 1, 0)+IF(AND((Z$3-$B$2)&gt;=0,(Z$3-$B$2)&lt;30), 2,0)</f>
        <v>0</v>
      </c>
      <c r="AA136" s="113">
        <f>IF(OR(AND($F135&lt;=AA$3, $F136 &gt;= AA$3), AND($F136&lt;AA$3, WORKDAY($F136, 22,Holiday!$A$1:$A$30)&gt;AA$3)), 1, 0)+IF(AND((AA$3-$B$2)&gt;=0,(AA$3-$B$2)&lt;30), 2,0)</f>
        <v>0</v>
      </c>
      <c r="AB136" s="113">
        <f>IF(OR(AND($F135&lt;=AB$3, $F136 &gt;= AB$3), AND($F136&lt;AB$3, WORKDAY($F136, 22,Holiday!$A$1:$A$30)&gt;AB$3)), 1, 0)+IF(AND((AB$3-$B$2)&gt;=0,(AB$3-$B$2)&lt;30), 2,0)</f>
        <v>0</v>
      </c>
      <c r="AC136" s="113">
        <f>IF(OR(AND($F135&lt;=AC$3, $F136 &gt;= AC$3), AND($F136&lt;AC$3, WORKDAY($F136, 22,Holiday!$A$1:$A$30)&gt;AC$3)), 1, 0)+IF(AND((AC$3-$B$2)&gt;=0,(AC$3-$B$2)&lt;30), 2,0)</f>
        <v>0</v>
      </c>
      <c r="AD136" s="113">
        <f>IF(OR(AND($F135&lt;=AD$3, $F136 &gt;= AD$3), AND($F136&lt;AD$3, WORKDAY($F136, 22,Holiday!$A$1:$A$30)&gt;AD$3)), 1, 0)+IF(AND((AD$3-$B$2)&gt;=0,(AD$3-$B$2)&lt;30), 2,0)</f>
        <v>0</v>
      </c>
      <c r="AE136" s="113">
        <f>IF(OR(AND($F135&lt;=AE$3, $F136 &gt;= AE$3), AND($F136&lt;AE$3, WORKDAY($F136, 22,Holiday!$A$1:$A$30)&gt;AE$3)), 1, 0)+IF(AND((AE$3-$B$2)&gt;=0,(AE$3-$B$2)&lt;30), 2,0)</f>
        <v>0</v>
      </c>
      <c r="AF136" s="113">
        <f>IF(OR(AND($F135&lt;=AF$3, $F136 &gt;= AF$3), AND($F136&lt;AF$3, WORKDAY($F136, 22,Holiday!$A$1:$A$30)&gt;AF$3)), 1, 0)+IF(AND((AF$3-$B$2)&gt;=0,(AF$3-$B$2)&lt;30), 2,0)</f>
        <v>0</v>
      </c>
      <c r="AG136" s="113">
        <f>IF(OR(AND($F135&lt;=AG$3, $F136 &gt;= AG$3), AND($F136&lt;AG$3, WORKDAY($F136, 22,Holiday!$A$1:$A$30)&gt;AG$3)), 1, 0)+IF(AND((AG$3-$B$2)&gt;=0,(AG$3-$B$2)&lt;30), 2,0)</f>
        <v>0</v>
      </c>
      <c r="AH136" s="113">
        <f>IF(OR(AND($F135&lt;=AH$3, $F136 &gt;= AH$3), AND($F136&lt;AH$3, WORKDAY($F136, 22,Holiday!$A$1:$A$30)&gt;AH$3)), 1, 0)+IF(AND((AH$3-$B$2)&gt;=0,(AH$3-$B$2)&lt;30), 2,0)</f>
        <v>0</v>
      </c>
      <c r="AI136" s="113">
        <f>IF(OR(AND($F135&lt;=AI$3, $F136 &gt;= AI$3), AND($F136&lt;AI$3, WORKDAY($F136, 22,Holiday!$A$1:$A$30)&gt;AI$3)), 1, 0)+IF(AND((AI$3-$B$2)&gt;=0,(AI$3-$B$2)&lt;30), 2,0)</f>
        <v>0</v>
      </c>
      <c r="AJ136" s="113">
        <f>IF(OR(AND($F135&lt;=AJ$3, $F136 &gt;= AJ$3), AND($F136&lt;AJ$3, WORKDAY($F136, 22,Holiday!$A$1:$A$30)&gt;AJ$3)), 1, 0)+IF(AND((AJ$3-$B$2)&gt;=0,(AJ$3-$B$2)&lt;30), 2,0)</f>
        <v>0</v>
      </c>
      <c r="AK136" s="113">
        <f>IF(OR(AND($F135&lt;=AK$3, $F136 &gt;= AK$3), AND($F136&lt;AK$3, WORKDAY($F136, 22,Holiday!$A$1:$A$30)&gt;AK$3)), 1, 0)+IF(AND((AK$3-$B$2)&gt;=0,(AK$3-$B$2)&lt;30), 2,0)</f>
        <v>0</v>
      </c>
      <c r="AL136" s="113">
        <f>IF(OR(AND($F135&lt;=AL$3, $F136 &gt;= AL$3), AND($F136&lt;AL$3, WORKDAY($F136, 22,Holiday!$A$1:$A$30)&gt;AL$3)), 1, 0)+IF(AND((AL$3-$B$2)&gt;=0,(AL$3-$B$2)&lt;30), 2,0)</f>
        <v>0</v>
      </c>
      <c r="AM136" s="113">
        <f>IF(OR(AND($F135&lt;=AM$3, $F136 &gt;= AM$3), AND($F136&lt;AM$3, WORKDAY($F136, 22,Holiday!$A$1:$A$30)&gt;AM$3)), 1, 0)+IF(AND((AM$3-$B$2)&gt;=0,(AM$3-$B$2)&lt;30), 2,0)</f>
        <v>0</v>
      </c>
      <c r="AN136" s="113">
        <f>IF(OR(AND($F135&lt;=AN$3, $F136 &gt;= AN$3), AND($F136&lt;AN$3, WORKDAY($F136, 22,Holiday!$A$1:$A$30)&gt;AN$3)), 1, 0)+IF(AND((AN$3-$B$2)&gt;=0,(AN$3-$B$2)&lt;30), 2,0)</f>
        <v>0</v>
      </c>
      <c r="AO136" s="113">
        <f>IF(OR(AND($F135&lt;=AO$3, $F136 &gt;= AO$3), AND($F136&lt;AO$3, WORKDAY($F136, 22,Holiday!$A$1:$A$30)&gt;AO$3)), 1, 0)+IF(AND((AO$3-$B$2)&gt;=0,(AO$3-$B$2)&lt;30), 2,0)</f>
        <v>0</v>
      </c>
    </row>
    <row r="137" spans="2:41" ht="14.4" x14ac:dyDescent="0.25">
      <c r="B137" t="s">
        <v>177</v>
      </c>
      <c r="C137" s="112" t="s">
        <v>282</v>
      </c>
      <c r="D137" s="111">
        <v>6</v>
      </c>
      <c r="E137" s="86">
        <f t="shared" si="3"/>
        <v>9</v>
      </c>
      <c r="F137" s="121">
        <f>WORKDAY(F136,E137,Holiday!A131:A160)</f>
        <v>46178</v>
      </c>
      <c r="G137" s="113">
        <f>IF(OR(AND($F136&lt;=G$3, $F137 &gt;= G$3), AND($F137&lt;G$3, WORKDAY($F137, 22,Holiday!$A$1:$A$30)&gt;G$3)), 1, 0)+IF(AND((G$3-$B$2)&gt;=0,(G$3-$B$2)&lt;30), 2,0)</f>
        <v>0</v>
      </c>
      <c r="H137" s="113">
        <f>IF(OR(AND($F136&lt;=H$3, $F137 &gt;= H$3), AND($F137&lt;H$3, WORKDAY($F137, 22,Holiday!$A$1:$A$30)&gt;H$3)), 1, 0)+IF(AND((H$3-$B$2)&gt;=0,(H$3-$B$2)&lt;30), 2,0)</f>
        <v>0</v>
      </c>
      <c r="I137" s="113">
        <f>IF(OR(AND($F136&lt;=I$3, $F137 &gt;= I$3), AND($F137&lt;I$3, WORKDAY($F137, 22,Holiday!$A$1:$A$30)&gt;I$3)), 1, 0)+IF(AND((I$3-$B$2)&gt;=0,(I$3-$B$2)&lt;30), 2,0)</f>
        <v>0</v>
      </c>
      <c r="J137" s="113">
        <f>IF(OR(AND($F136&lt;=J$3, $F137 &gt;= J$3), AND($F137&lt;J$3, WORKDAY($F137, 22,Holiday!$A$1:$A$30)&gt;J$3)), 1, 0)+IF(AND((J$3-$B$2)&gt;=0,(J$3-$B$2)&lt;30), 2,0)</f>
        <v>0</v>
      </c>
      <c r="K137" s="113">
        <f>IF(OR(AND($F136&lt;=K$3, $F137 &gt;= K$3), AND($F137&lt;K$3, WORKDAY($F137, 22,Holiday!$A$1:$A$30)&gt;K$3)), 1, 0)+IF(AND((K$3-$B$2)&gt;=0,(K$3-$B$2)&lt;30), 2,0)</f>
        <v>1</v>
      </c>
      <c r="L137" s="113">
        <f>IF(OR(AND($F136&lt;=L$3, $F137 &gt;= L$3), AND($F137&lt;L$3, WORKDAY($F137, 22,Holiday!$A$1:$A$30)&gt;L$3)), 1, 0)+IF(AND((L$3-$B$2)&gt;=0,(L$3-$B$2)&lt;30), 2,0)</f>
        <v>0</v>
      </c>
      <c r="M137" s="113">
        <f>IF(OR(AND($F136&lt;=M$3, $F137 &gt;= M$3), AND($F137&lt;M$3, WORKDAY($F137, 22,Holiday!$A$1:$A$30)&gt;M$3)), 1, 0)+IF(AND((M$3-$B$2)&gt;=0,(M$3-$B$2)&lt;30), 2,0)</f>
        <v>0</v>
      </c>
      <c r="N137" s="113">
        <f>IF(OR(AND($F136&lt;=N$3, $F137 &gt;= N$3), AND($F137&lt;N$3, WORKDAY($F137, 22,Holiday!$A$1:$A$30)&gt;N$3)), 1, 0)+IF(AND((N$3-$B$2)&gt;=0,(N$3-$B$2)&lt;30), 2,0)</f>
        <v>0</v>
      </c>
      <c r="O137" s="113">
        <f>IF(OR(AND($F136&lt;=O$3, $F137 &gt;= O$3), AND($F137&lt;O$3, WORKDAY($F137, 22,Holiday!$A$1:$A$30)&gt;O$3)), 1, 0)+IF(AND((O$3-$B$2)&gt;=0,(O$3-$B$2)&lt;30), 2,0)</f>
        <v>0</v>
      </c>
      <c r="P137" s="113">
        <f>IF(OR(AND($F136&lt;=P$3, $F137 &gt;= P$3), AND($F137&lt;P$3, WORKDAY($F137, 22,Holiday!$A$1:$A$30)&gt;P$3)), 1, 0)+IF(AND((P$3-$B$2)&gt;=0,(P$3-$B$2)&lt;30), 2,0)</f>
        <v>0</v>
      </c>
      <c r="Q137" s="113">
        <f>IF(OR(AND($F136&lt;=Q$3, $F137 &gt;= Q$3), AND($F137&lt;Q$3, WORKDAY($F137, 22,Holiday!$A$1:$A$30)&gt;Q$3)), 1, 0)+IF(AND((Q$3-$B$2)&gt;=0,(Q$3-$B$2)&lt;30), 2,0)</f>
        <v>2</v>
      </c>
      <c r="R137" s="113">
        <f>IF(OR(AND($F136&lt;=R$3, $F137 &gt;= R$3), AND($F137&lt;R$3, WORKDAY($F137, 22,Holiday!$A$1:$A$30)&gt;R$3)), 1, 0)+IF(AND((R$3-$B$2)&gt;=0,(R$3-$B$2)&lt;30), 2,0)</f>
        <v>0</v>
      </c>
      <c r="S137" s="113">
        <f>IF(OR(AND($F136&lt;=S$3, $F137 &gt;= S$3), AND($F137&lt;S$3, WORKDAY($F137, 22,Holiday!$A$1:$A$30)&gt;S$3)), 1, 0)+IF(AND((S$3-$B$2)&gt;=0,(S$3-$B$2)&lt;30), 2,0)</f>
        <v>0</v>
      </c>
      <c r="T137" s="113">
        <f>IF(OR(AND($F136&lt;=T$3, $F137 &gt;= T$3), AND($F137&lt;T$3, WORKDAY($F137, 22,Holiday!$A$1:$A$30)&gt;T$3)), 1, 0)+IF(AND((T$3-$B$2)&gt;=0,(T$3-$B$2)&lt;30), 2,0)</f>
        <v>0</v>
      </c>
      <c r="U137" s="113">
        <f>IF(OR(AND($F136&lt;=U$3, $F137 &gt;= U$3), AND($F137&lt;U$3, WORKDAY($F137, 22,Holiday!$A$1:$A$30)&gt;U$3)), 1, 0)+IF(AND((U$3-$B$2)&gt;=0,(U$3-$B$2)&lt;30), 2,0)</f>
        <v>0</v>
      </c>
      <c r="V137" s="113">
        <f>IF(OR(AND($F136&lt;=V$3, $F137 &gt;= V$3), AND($F137&lt;V$3, WORKDAY($F137, 22,Holiday!$A$1:$A$30)&gt;V$3)), 1, 0)+IF(AND((V$3-$B$2)&gt;=0,(V$3-$B$2)&lt;30), 2,0)</f>
        <v>0</v>
      </c>
      <c r="W137" s="113">
        <f>IF(OR(AND($F136&lt;=W$3, $F137 &gt;= W$3), AND($F137&lt;W$3, WORKDAY($F137, 22,Holiday!$A$1:$A$30)&gt;W$3)), 1, 0)+IF(AND((W$3-$B$2)&gt;=0,(W$3-$B$2)&lt;30), 2,0)</f>
        <v>0</v>
      </c>
      <c r="X137" s="113">
        <f>IF(OR(AND($F136&lt;=X$3, $F137 &gt;= X$3), AND($F137&lt;X$3, WORKDAY($F137, 22,Holiday!$A$1:$A$30)&gt;X$3)), 1, 0)+IF(AND((X$3-$B$2)&gt;=0,(X$3-$B$2)&lt;30), 2,0)</f>
        <v>0</v>
      </c>
      <c r="Y137" s="113">
        <f>IF(OR(AND($F136&lt;=Y$3, $F137 &gt;= Y$3), AND($F137&lt;Y$3, WORKDAY($F137, 22,Holiday!$A$1:$A$30)&gt;Y$3)), 1, 0)+IF(AND((Y$3-$B$2)&gt;=0,(Y$3-$B$2)&lt;30), 2,0)</f>
        <v>0</v>
      </c>
      <c r="Z137" s="113">
        <f>IF(OR(AND($F136&lt;=Z$3, $F137 &gt;= Z$3), AND($F137&lt;Z$3, WORKDAY($F137, 22,Holiday!$A$1:$A$30)&gt;Z$3)), 1, 0)+IF(AND((Z$3-$B$2)&gt;=0,(Z$3-$B$2)&lt;30), 2,0)</f>
        <v>0</v>
      </c>
      <c r="AA137" s="113">
        <f>IF(OR(AND($F136&lt;=AA$3, $F137 &gt;= AA$3), AND($F137&lt;AA$3, WORKDAY($F137, 22,Holiday!$A$1:$A$30)&gt;AA$3)), 1, 0)+IF(AND((AA$3-$B$2)&gt;=0,(AA$3-$B$2)&lt;30), 2,0)</f>
        <v>0</v>
      </c>
      <c r="AB137" s="113">
        <f>IF(OR(AND($F136&lt;=AB$3, $F137 &gt;= AB$3), AND($F137&lt;AB$3, WORKDAY($F137, 22,Holiday!$A$1:$A$30)&gt;AB$3)), 1, 0)+IF(AND((AB$3-$B$2)&gt;=0,(AB$3-$B$2)&lt;30), 2,0)</f>
        <v>0</v>
      </c>
      <c r="AC137" s="113">
        <f>IF(OR(AND($F136&lt;=AC$3, $F137 &gt;= AC$3), AND($F137&lt;AC$3, WORKDAY($F137, 22,Holiday!$A$1:$A$30)&gt;AC$3)), 1, 0)+IF(AND((AC$3-$B$2)&gt;=0,(AC$3-$B$2)&lt;30), 2,0)</f>
        <v>0</v>
      </c>
      <c r="AD137" s="113">
        <f>IF(OR(AND($F136&lt;=AD$3, $F137 &gt;= AD$3), AND($F137&lt;AD$3, WORKDAY($F137, 22,Holiday!$A$1:$A$30)&gt;AD$3)), 1, 0)+IF(AND((AD$3-$B$2)&gt;=0,(AD$3-$B$2)&lt;30), 2,0)</f>
        <v>0</v>
      </c>
      <c r="AE137" s="113">
        <f>IF(OR(AND($F136&lt;=AE$3, $F137 &gt;= AE$3), AND($F137&lt;AE$3, WORKDAY($F137, 22,Holiday!$A$1:$A$30)&gt;AE$3)), 1, 0)+IF(AND((AE$3-$B$2)&gt;=0,(AE$3-$B$2)&lt;30), 2,0)</f>
        <v>0</v>
      </c>
      <c r="AF137" s="113">
        <f>IF(OR(AND($F136&lt;=AF$3, $F137 &gt;= AF$3), AND($F137&lt;AF$3, WORKDAY($F137, 22,Holiday!$A$1:$A$30)&gt;AF$3)), 1, 0)+IF(AND((AF$3-$B$2)&gt;=0,(AF$3-$B$2)&lt;30), 2,0)</f>
        <v>0</v>
      </c>
      <c r="AG137" s="113">
        <f>IF(OR(AND($F136&lt;=AG$3, $F137 &gt;= AG$3), AND($F137&lt;AG$3, WORKDAY($F137, 22,Holiday!$A$1:$A$30)&gt;AG$3)), 1, 0)+IF(AND((AG$3-$B$2)&gt;=0,(AG$3-$B$2)&lt;30), 2,0)</f>
        <v>0</v>
      </c>
      <c r="AH137" s="113">
        <f>IF(OR(AND($F136&lt;=AH$3, $F137 &gt;= AH$3), AND($F137&lt;AH$3, WORKDAY($F137, 22,Holiday!$A$1:$A$30)&gt;AH$3)), 1, 0)+IF(AND((AH$3-$B$2)&gt;=0,(AH$3-$B$2)&lt;30), 2,0)</f>
        <v>0</v>
      </c>
      <c r="AI137" s="113">
        <f>IF(OR(AND($F136&lt;=AI$3, $F137 &gt;= AI$3), AND($F137&lt;AI$3, WORKDAY($F137, 22,Holiday!$A$1:$A$30)&gt;AI$3)), 1, 0)+IF(AND((AI$3-$B$2)&gt;=0,(AI$3-$B$2)&lt;30), 2,0)</f>
        <v>0</v>
      </c>
      <c r="AJ137" s="113">
        <f>IF(OR(AND($F136&lt;=AJ$3, $F137 &gt;= AJ$3), AND($F137&lt;AJ$3, WORKDAY($F137, 22,Holiday!$A$1:$A$30)&gt;AJ$3)), 1, 0)+IF(AND((AJ$3-$B$2)&gt;=0,(AJ$3-$B$2)&lt;30), 2,0)</f>
        <v>0</v>
      </c>
      <c r="AK137" s="113">
        <f>IF(OR(AND($F136&lt;=AK$3, $F137 &gt;= AK$3), AND($F137&lt;AK$3, WORKDAY($F137, 22,Holiday!$A$1:$A$30)&gt;AK$3)), 1, 0)+IF(AND((AK$3-$B$2)&gt;=0,(AK$3-$B$2)&lt;30), 2,0)</f>
        <v>0</v>
      </c>
      <c r="AL137" s="113">
        <f>IF(OR(AND($F136&lt;=AL$3, $F137 &gt;= AL$3), AND($F137&lt;AL$3, WORKDAY($F137, 22,Holiday!$A$1:$A$30)&gt;AL$3)), 1, 0)+IF(AND((AL$3-$B$2)&gt;=0,(AL$3-$B$2)&lt;30), 2,0)</f>
        <v>0</v>
      </c>
      <c r="AM137" s="113">
        <f>IF(OR(AND($F136&lt;=AM$3, $F137 &gt;= AM$3), AND($F137&lt;AM$3, WORKDAY($F137, 22,Holiday!$A$1:$A$30)&gt;AM$3)), 1, 0)+IF(AND((AM$3-$B$2)&gt;=0,(AM$3-$B$2)&lt;30), 2,0)</f>
        <v>0</v>
      </c>
      <c r="AN137" s="113">
        <f>IF(OR(AND($F136&lt;=AN$3, $F137 &gt;= AN$3), AND($F137&lt;AN$3, WORKDAY($F137, 22,Holiday!$A$1:$A$30)&gt;AN$3)), 1, 0)+IF(AND((AN$3-$B$2)&gt;=0,(AN$3-$B$2)&lt;30), 2,0)</f>
        <v>0</v>
      </c>
      <c r="AO137" s="113">
        <f>IF(OR(AND($F136&lt;=AO$3, $F137 &gt;= AO$3), AND($F137&lt;AO$3, WORKDAY($F137, 22,Holiday!$A$1:$A$30)&gt;AO$3)), 1, 0)+IF(AND((AO$3-$B$2)&gt;=0,(AO$3-$B$2)&lt;30), 2,0)</f>
        <v>0</v>
      </c>
    </row>
    <row r="138" spans="2:41" ht="14.4" x14ac:dyDescent="0.25">
      <c r="B138" t="s">
        <v>176</v>
      </c>
      <c r="C138" s="112" t="s">
        <v>282</v>
      </c>
      <c r="D138" s="111">
        <v>6</v>
      </c>
      <c r="E138" s="86">
        <f t="shared" si="3"/>
        <v>9</v>
      </c>
      <c r="F138" s="121">
        <f>WORKDAY(F137,E138,Holiday!A132:A161)</f>
        <v>46191</v>
      </c>
      <c r="G138" s="113">
        <f>IF(OR(AND($F137&lt;=G$3, $F138 &gt;= G$3), AND($F138&lt;G$3, WORKDAY($F138, 22,Holiday!$A$1:$A$30)&gt;G$3)), 1, 0)+IF(AND((G$3-$B$2)&gt;=0,(G$3-$B$2)&lt;30), 2,0)</f>
        <v>0</v>
      </c>
      <c r="H138" s="113">
        <f>IF(OR(AND($F137&lt;=H$3, $F138 &gt;= H$3), AND($F138&lt;H$3, WORKDAY($F138, 22,Holiday!$A$1:$A$30)&gt;H$3)), 1, 0)+IF(AND((H$3-$B$2)&gt;=0,(H$3-$B$2)&lt;30), 2,0)</f>
        <v>0</v>
      </c>
      <c r="I138" s="113">
        <f>IF(OR(AND($F137&lt;=I$3, $F138 &gt;= I$3), AND($F138&lt;I$3, WORKDAY($F138, 22,Holiday!$A$1:$A$30)&gt;I$3)), 1, 0)+IF(AND((I$3-$B$2)&gt;=0,(I$3-$B$2)&lt;30), 2,0)</f>
        <v>0</v>
      </c>
      <c r="J138" s="113">
        <f>IF(OR(AND($F137&lt;=J$3, $F138 &gt;= J$3), AND($F138&lt;J$3, WORKDAY($F138, 22,Holiday!$A$1:$A$30)&gt;J$3)), 1, 0)+IF(AND((J$3-$B$2)&gt;=0,(J$3-$B$2)&lt;30), 2,0)</f>
        <v>0</v>
      </c>
      <c r="K138" s="113">
        <f>IF(OR(AND($F137&lt;=K$3, $F138 &gt;= K$3), AND($F138&lt;K$3, WORKDAY($F138, 22,Holiday!$A$1:$A$30)&gt;K$3)), 1, 0)+IF(AND((K$3-$B$2)&gt;=0,(K$3-$B$2)&lt;30), 2,0)</f>
        <v>1</v>
      </c>
      <c r="L138" s="113">
        <f>IF(OR(AND($F137&lt;=L$3, $F138 &gt;= L$3), AND($F138&lt;L$3, WORKDAY($F138, 22,Holiday!$A$1:$A$30)&gt;L$3)), 1, 0)+IF(AND((L$3-$B$2)&gt;=0,(L$3-$B$2)&lt;30), 2,0)</f>
        <v>1</v>
      </c>
      <c r="M138" s="113">
        <f>IF(OR(AND($F137&lt;=M$3, $F138 &gt;= M$3), AND($F138&lt;M$3, WORKDAY($F138, 22,Holiday!$A$1:$A$30)&gt;M$3)), 1, 0)+IF(AND((M$3-$B$2)&gt;=0,(M$3-$B$2)&lt;30), 2,0)</f>
        <v>0</v>
      </c>
      <c r="N138" s="113">
        <f>IF(OR(AND($F137&lt;=N$3, $F138 &gt;= N$3), AND($F138&lt;N$3, WORKDAY($F138, 22,Holiday!$A$1:$A$30)&gt;N$3)), 1, 0)+IF(AND((N$3-$B$2)&gt;=0,(N$3-$B$2)&lt;30), 2,0)</f>
        <v>0</v>
      </c>
      <c r="O138" s="113">
        <f>IF(OR(AND($F137&lt;=O$3, $F138 &gt;= O$3), AND($F138&lt;O$3, WORKDAY($F138, 22,Holiday!$A$1:$A$30)&gt;O$3)), 1, 0)+IF(AND((O$3-$B$2)&gt;=0,(O$3-$B$2)&lt;30), 2,0)</f>
        <v>0</v>
      </c>
      <c r="P138" s="113">
        <f>IF(OR(AND($F137&lt;=P$3, $F138 &gt;= P$3), AND($F138&lt;P$3, WORKDAY($F138, 22,Holiday!$A$1:$A$30)&gt;P$3)), 1, 0)+IF(AND((P$3-$B$2)&gt;=0,(P$3-$B$2)&lt;30), 2,0)</f>
        <v>0</v>
      </c>
      <c r="Q138" s="113">
        <f>IF(OR(AND($F137&lt;=Q$3, $F138 &gt;= Q$3), AND($F138&lt;Q$3, WORKDAY($F138, 22,Holiday!$A$1:$A$30)&gt;Q$3)), 1, 0)+IF(AND((Q$3-$B$2)&gt;=0,(Q$3-$B$2)&lt;30), 2,0)</f>
        <v>2</v>
      </c>
      <c r="R138" s="113">
        <f>IF(OR(AND($F137&lt;=R$3, $F138 &gt;= R$3), AND($F138&lt;R$3, WORKDAY($F138, 22,Holiday!$A$1:$A$30)&gt;R$3)), 1, 0)+IF(AND((R$3-$B$2)&gt;=0,(R$3-$B$2)&lt;30), 2,0)</f>
        <v>0</v>
      </c>
      <c r="S138" s="113">
        <f>IF(OR(AND($F137&lt;=S$3, $F138 &gt;= S$3), AND($F138&lt;S$3, WORKDAY($F138, 22,Holiday!$A$1:$A$30)&gt;S$3)), 1, 0)+IF(AND((S$3-$B$2)&gt;=0,(S$3-$B$2)&lt;30), 2,0)</f>
        <v>0</v>
      </c>
      <c r="T138" s="113">
        <f>IF(OR(AND($F137&lt;=T$3, $F138 &gt;= T$3), AND($F138&lt;T$3, WORKDAY($F138, 22,Holiday!$A$1:$A$30)&gt;T$3)), 1, 0)+IF(AND((T$3-$B$2)&gt;=0,(T$3-$B$2)&lt;30), 2,0)</f>
        <v>0</v>
      </c>
      <c r="U138" s="113">
        <f>IF(OR(AND($F137&lt;=U$3, $F138 &gt;= U$3), AND($F138&lt;U$3, WORKDAY($F138, 22,Holiday!$A$1:$A$30)&gt;U$3)), 1, 0)+IF(AND((U$3-$B$2)&gt;=0,(U$3-$B$2)&lt;30), 2,0)</f>
        <v>0</v>
      </c>
      <c r="V138" s="113">
        <f>IF(OR(AND($F137&lt;=V$3, $F138 &gt;= V$3), AND($F138&lt;V$3, WORKDAY($F138, 22,Holiday!$A$1:$A$30)&gt;V$3)), 1, 0)+IF(AND((V$3-$B$2)&gt;=0,(V$3-$B$2)&lt;30), 2,0)</f>
        <v>0</v>
      </c>
      <c r="W138" s="113">
        <f>IF(OR(AND($F137&lt;=W$3, $F138 &gt;= W$3), AND($F138&lt;W$3, WORKDAY($F138, 22,Holiday!$A$1:$A$30)&gt;W$3)), 1, 0)+IF(AND((W$3-$B$2)&gt;=0,(W$3-$B$2)&lt;30), 2,0)</f>
        <v>0</v>
      </c>
      <c r="X138" s="113">
        <f>IF(OR(AND($F137&lt;=X$3, $F138 &gt;= X$3), AND($F138&lt;X$3, WORKDAY($F138, 22,Holiday!$A$1:$A$30)&gt;X$3)), 1, 0)+IF(AND((X$3-$B$2)&gt;=0,(X$3-$B$2)&lt;30), 2,0)</f>
        <v>0</v>
      </c>
      <c r="Y138" s="113">
        <f>IF(OR(AND($F137&lt;=Y$3, $F138 &gt;= Y$3), AND($F138&lt;Y$3, WORKDAY($F138, 22,Holiday!$A$1:$A$30)&gt;Y$3)), 1, 0)+IF(AND((Y$3-$B$2)&gt;=0,(Y$3-$B$2)&lt;30), 2,0)</f>
        <v>0</v>
      </c>
      <c r="Z138" s="113">
        <f>IF(OR(AND($F137&lt;=Z$3, $F138 &gt;= Z$3), AND($F138&lt;Z$3, WORKDAY($F138, 22,Holiday!$A$1:$A$30)&gt;Z$3)), 1, 0)+IF(AND((Z$3-$B$2)&gt;=0,(Z$3-$B$2)&lt;30), 2,0)</f>
        <v>0</v>
      </c>
      <c r="AA138" s="113">
        <f>IF(OR(AND($F137&lt;=AA$3, $F138 &gt;= AA$3), AND($F138&lt;AA$3, WORKDAY($F138, 22,Holiday!$A$1:$A$30)&gt;AA$3)), 1, 0)+IF(AND((AA$3-$B$2)&gt;=0,(AA$3-$B$2)&lt;30), 2,0)</f>
        <v>0</v>
      </c>
      <c r="AB138" s="113">
        <f>IF(OR(AND($F137&lt;=AB$3, $F138 &gt;= AB$3), AND($F138&lt;AB$3, WORKDAY($F138, 22,Holiday!$A$1:$A$30)&gt;AB$3)), 1, 0)+IF(AND((AB$3-$B$2)&gt;=0,(AB$3-$B$2)&lt;30), 2,0)</f>
        <v>0</v>
      </c>
      <c r="AC138" s="113">
        <f>IF(OR(AND($F137&lt;=AC$3, $F138 &gt;= AC$3), AND($F138&lt;AC$3, WORKDAY($F138, 22,Holiday!$A$1:$A$30)&gt;AC$3)), 1, 0)+IF(AND((AC$3-$B$2)&gt;=0,(AC$3-$B$2)&lt;30), 2,0)</f>
        <v>0</v>
      </c>
      <c r="AD138" s="113">
        <f>IF(OR(AND($F137&lt;=AD$3, $F138 &gt;= AD$3), AND($F138&lt;AD$3, WORKDAY($F138, 22,Holiday!$A$1:$A$30)&gt;AD$3)), 1, 0)+IF(AND((AD$3-$B$2)&gt;=0,(AD$3-$B$2)&lt;30), 2,0)</f>
        <v>0</v>
      </c>
      <c r="AE138" s="113">
        <f>IF(OR(AND($F137&lt;=AE$3, $F138 &gt;= AE$3), AND($F138&lt;AE$3, WORKDAY($F138, 22,Holiday!$A$1:$A$30)&gt;AE$3)), 1, 0)+IF(AND((AE$3-$B$2)&gt;=0,(AE$3-$B$2)&lt;30), 2,0)</f>
        <v>0</v>
      </c>
      <c r="AF138" s="113">
        <f>IF(OR(AND($F137&lt;=AF$3, $F138 &gt;= AF$3), AND($F138&lt;AF$3, WORKDAY($F138, 22,Holiday!$A$1:$A$30)&gt;AF$3)), 1, 0)+IF(AND((AF$3-$B$2)&gt;=0,(AF$3-$B$2)&lt;30), 2,0)</f>
        <v>0</v>
      </c>
      <c r="AG138" s="113">
        <f>IF(OR(AND($F137&lt;=AG$3, $F138 &gt;= AG$3), AND($F138&lt;AG$3, WORKDAY($F138, 22,Holiday!$A$1:$A$30)&gt;AG$3)), 1, 0)+IF(AND((AG$3-$B$2)&gt;=0,(AG$3-$B$2)&lt;30), 2,0)</f>
        <v>0</v>
      </c>
      <c r="AH138" s="113">
        <f>IF(OR(AND($F137&lt;=AH$3, $F138 &gt;= AH$3), AND($F138&lt;AH$3, WORKDAY($F138, 22,Holiday!$A$1:$A$30)&gt;AH$3)), 1, 0)+IF(AND((AH$3-$B$2)&gt;=0,(AH$3-$B$2)&lt;30), 2,0)</f>
        <v>0</v>
      </c>
      <c r="AI138" s="113">
        <f>IF(OR(AND($F137&lt;=AI$3, $F138 &gt;= AI$3), AND($F138&lt;AI$3, WORKDAY($F138, 22,Holiday!$A$1:$A$30)&gt;AI$3)), 1, 0)+IF(AND((AI$3-$B$2)&gt;=0,(AI$3-$B$2)&lt;30), 2,0)</f>
        <v>0</v>
      </c>
      <c r="AJ138" s="113">
        <f>IF(OR(AND($F137&lt;=AJ$3, $F138 &gt;= AJ$3), AND($F138&lt;AJ$3, WORKDAY($F138, 22,Holiday!$A$1:$A$30)&gt;AJ$3)), 1, 0)+IF(AND((AJ$3-$B$2)&gt;=0,(AJ$3-$B$2)&lt;30), 2,0)</f>
        <v>0</v>
      </c>
      <c r="AK138" s="113">
        <f>IF(OR(AND($F137&lt;=AK$3, $F138 &gt;= AK$3), AND($F138&lt;AK$3, WORKDAY($F138, 22,Holiday!$A$1:$A$30)&gt;AK$3)), 1, 0)+IF(AND((AK$3-$B$2)&gt;=0,(AK$3-$B$2)&lt;30), 2,0)</f>
        <v>0</v>
      </c>
      <c r="AL138" s="113">
        <f>IF(OR(AND($F137&lt;=AL$3, $F138 &gt;= AL$3), AND($F138&lt;AL$3, WORKDAY($F138, 22,Holiday!$A$1:$A$30)&gt;AL$3)), 1, 0)+IF(AND((AL$3-$B$2)&gt;=0,(AL$3-$B$2)&lt;30), 2,0)</f>
        <v>0</v>
      </c>
      <c r="AM138" s="113">
        <f>IF(OR(AND($F137&lt;=AM$3, $F138 &gt;= AM$3), AND($F138&lt;AM$3, WORKDAY($F138, 22,Holiday!$A$1:$A$30)&gt;AM$3)), 1, 0)+IF(AND((AM$3-$B$2)&gt;=0,(AM$3-$B$2)&lt;30), 2,0)</f>
        <v>0</v>
      </c>
      <c r="AN138" s="113">
        <f>IF(OR(AND($F137&lt;=AN$3, $F138 &gt;= AN$3), AND($F138&lt;AN$3, WORKDAY($F138, 22,Holiday!$A$1:$A$30)&gt;AN$3)), 1, 0)+IF(AND((AN$3-$B$2)&gt;=0,(AN$3-$B$2)&lt;30), 2,0)</f>
        <v>0</v>
      </c>
      <c r="AO138" s="113">
        <f>IF(OR(AND($F137&lt;=AO$3, $F138 &gt;= AO$3), AND($F138&lt;AO$3, WORKDAY($F138, 22,Holiday!$A$1:$A$30)&gt;AO$3)), 1, 0)+IF(AND((AO$3-$B$2)&gt;=0,(AO$3-$B$2)&lt;30), 2,0)</f>
        <v>0</v>
      </c>
    </row>
    <row r="139" spans="2:41" ht="14.4" x14ac:dyDescent="0.25">
      <c r="B139" t="s">
        <v>167</v>
      </c>
      <c r="C139" s="112" t="s">
        <v>282</v>
      </c>
      <c r="D139" s="111">
        <v>6</v>
      </c>
      <c r="E139" s="86">
        <f t="shared" si="3"/>
        <v>9</v>
      </c>
      <c r="F139" s="121">
        <f>WORKDAY(F138,E139,Holiday!A133:A162)</f>
        <v>46204</v>
      </c>
      <c r="G139" s="113">
        <f>IF(OR(AND($F138&lt;=G$3, $F139 &gt;= G$3), AND($F139&lt;G$3, WORKDAY($F139, 22,Holiday!$A$1:$A$30)&gt;G$3)), 1, 0)+IF(AND((G$3-$B$2)&gt;=0,(G$3-$B$2)&lt;30), 2,0)</f>
        <v>0</v>
      </c>
      <c r="H139" s="113">
        <f>IF(OR(AND($F138&lt;=H$3, $F139 &gt;= H$3), AND($F139&lt;H$3, WORKDAY($F139, 22,Holiday!$A$1:$A$30)&gt;H$3)), 1, 0)+IF(AND((H$3-$B$2)&gt;=0,(H$3-$B$2)&lt;30), 2,0)</f>
        <v>0</v>
      </c>
      <c r="I139" s="113">
        <f>IF(OR(AND($F138&lt;=I$3, $F139 &gt;= I$3), AND($F139&lt;I$3, WORKDAY($F139, 22,Holiday!$A$1:$A$30)&gt;I$3)), 1, 0)+IF(AND((I$3-$B$2)&gt;=0,(I$3-$B$2)&lt;30), 2,0)</f>
        <v>0</v>
      </c>
      <c r="J139" s="113">
        <f>IF(OR(AND($F138&lt;=J$3, $F139 &gt;= J$3), AND($F139&lt;J$3, WORKDAY($F139, 22,Holiday!$A$1:$A$30)&gt;J$3)), 1, 0)+IF(AND((J$3-$B$2)&gt;=0,(J$3-$B$2)&lt;30), 2,0)</f>
        <v>0</v>
      </c>
      <c r="K139" s="113">
        <f>IF(OR(AND($F138&lt;=K$3, $F139 &gt;= K$3), AND($F139&lt;K$3, WORKDAY($F139, 22,Holiday!$A$1:$A$30)&gt;K$3)), 1, 0)+IF(AND((K$3-$B$2)&gt;=0,(K$3-$B$2)&lt;30), 2,0)</f>
        <v>0</v>
      </c>
      <c r="L139" s="113">
        <f>IF(OR(AND($F138&lt;=L$3, $F139 &gt;= L$3), AND($F139&lt;L$3, WORKDAY($F139, 22,Holiday!$A$1:$A$30)&gt;L$3)), 1, 0)+IF(AND((L$3-$B$2)&gt;=0,(L$3-$B$2)&lt;30), 2,0)</f>
        <v>1</v>
      </c>
      <c r="M139" s="113">
        <f>IF(OR(AND($F138&lt;=M$3, $F139 &gt;= M$3), AND($F139&lt;M$3, WORKDAY($F139, 22,Holiday!$A$1:$A$30)&gt;M$3)), 1, 0)+IF(AND((M$3-$B$2)&gt;=0,(M$3-$B$2)&lt;30), 2,0)</f>
        <v>0</v>
      </c>
      <c r="N139" s="113">
        <f>IF(OR(AND($F138&lt;=N$3, $F139 &gt;= N$3), AND($F139&lt;N$3, WORKDAY($F139, 22,Holiday!$A$1:$A$30)&gt;N$3)), 1, 0)+IF(AND((N$3-$B$2)&gt;=0,(N$3-$B$2)&lt;30), 2,0)</f>
        <v>0</v>
      </c>
      <c r="O139" s="113">
        <f>IF(OR(AND($F138&lt;=O$3, $F139 &gt;= O$3), AND($F139&lt;O$3, WORKDAY($F139, 22,Holiday!$A$1:$A$30)&gt;O$3)), 1, 0)+IF(AND((O$3-$B$2)&gt;=0,(O$3-$B$2)&lt;30), 2,0)</f>
        <v>0</v>
      </c>
      <c r="P139" s="113">
        <f>IF(OR(AND($F138&lt;=P$3, $F139 &gt;= P$3), AND($F139&lt;P$3, WORKDAY($F139, 22,Holiday!$A$1:$A$30)&gt;P$3)), 1, 0)+IF(AND((P$3-$B$2)&gt;=0,(P$3-$B$2)&lt;30), 2,0)</f>
        <v>0</v>
      </c>
      <c r="Q139" s="113">
        <f>IF(OR(AND($F138&lt;=Q$3, $F139 &gt;= Q$3), AND($F139&lt;Q$3, WORKDAY($F139, 22,Holiday!$A$1:$A$30)&gt;Q$3)), 1, 0)+IF(AND((Q$3-$B$2)&gt;=0,(Q$3-$B$2)&lt;30), 2,0)</f>
        <v>2</v>
      </c>
      <c r="R139" s="113">
        <f>IF(OR(AND($F138&lt;=R$3, $F139 &gt;= R$3), AND($F139&lt;R$3, WORKDAY($F139, 22,Holiday!$A$1:$A$30)&gt;R$3)), 1, 0)+IF(AND((R$3-$B$2)&gt;=0,(R$3-$B$2)&lt;30), 2,0)</f>
        <v>0</v>
      </c>
      <c r="S139" s="113">
        <f>IF(OR(AND($F138&lt;=S$3, $F139 &gt;= S$3), AND($F139&lt;S$3, WORKDAY($F139, 22,Holiday!$A$1:$A$30)&gt;S$3)), 1, 0)+IF(AND((S$3-$B$2)&gt;=0,(S$3-$B$2)&lt;30), 2,0)</f>
        <v>0</v>
      </c>
      <c r="T139" s="113">
        <f>IF(OR(AND($F138&lt;=T$3, $F139 &gt;= T$3), AND($F139&lt;T$3, WORKDAY($F139, 22,Holiday!$A$1:$A$30)&gt;T$3)), 1, 0)+IF(AND((T$3-$B$2)&gt;=0,(T$3-$B$2)&lt;30), 2,0)</f>
        <v>0</v>
      </c>
      <c r="U139" s="113">
        <f>IF(OR(AND($F138&lt;=U$3, $F139 &gt;= U$3), AND($F139&lt;U$3, WORKDAY($F139, 22,Holiday!$A$1:$A$30)&gt;U$3)), 1, 0)+IF(AND((U$3-$B$2)&gt;=0,(U$3-$B$2)&lt;30), 2,0)</f>
        <v>0</v>
      </c>
      <c r="V139" s="113">
        <f>IF(OR(AND($F138&lt;=V$3, $F139 &gt;= V$3), AND($F139&lt;V$3, WORKDAY($F139, 22,Holiday!$A$1:$A$30)&gt;V$3)), 1, 0)+IF(AND((V$3-$B$2)&gt;=0,(V$3-$B$2)&lt;30), 2,0)</f>
        <v>0</v>
      </c>
      <c r="W139" s="113">
        <f>IF(OR(AND($F138&lt;=W$3, $F139 &gt;= W$3), AND($F139&lt;W$3, WORKDAY($F139, 22,Holiday!$A$1:$A$30)&gt;W$3)), 1, 0)+IF(AND((W$3-$B$2)&gt;=0,(W$3-$B$2)&lt;30), 2,0)</f>
        <v>0</v>
      </c>
      <c r="X139" s="113">
        <f>IF(OR(AND($F138&lt;=X$3, $F139 &gt;= X$3), AND($F139&lt;X$3, WORKDAY($F139, 22,Holiday!$A$1:$A$30)&gt;X$3)), 1, 0)+IF(AND((X$3-$B$2)&gt;=0,(X$3-$B$2)&lt;30), 2,0)</f>
        <v>0</v>
      </c>
      <c r="Y139" s="113">
        <f>IF(OR(AND($F138&lt;=Y$3, $F139 &gt;= Y$3), AND($F139&lt;Y$3, WORKDAY($F139, 22,Holiday!$A$1:$A$30)&gt;Y$3)), 1, 0)+IF(AND((Y$3-$B$2)&gt;=0,(Y$3-$B$2)&lt;30), 2,0)</f>
        <v>0</v>
      </c>
      <c r="Z139" s="113">
        <f>IF(OR(AND($F138&lt;=Z$3, $F139 &gt;= Z$3), AND($F139&lt;Z$3, WORKDAY($F139, 22,Holiday!$A$1:$A$30)&gt;Z$3)), 1, 0)+IF(AND((Z$3-$B$2)&gt;=0,(Z$3-$B$2)&lt;30), 2,0)</f>
        <v>0</v>
      </c>
      <c r="AA139" s="113">
        <f>IF(OR(AND($F138&lt;=AA$3, $F139 &gt;= AA$3), AND($F139&lt;AA$3, WORKDAY($F139, 22,Holiday!$A$1:$A$30)&gt;AA$3)), 1, 0)+IF(AND((AA$3-$B$2)&gt;=0,(AA$3-$B$2)&lt;30), 2,0)</f>
        <v>0</v>
      </c>
      <c r="AB139" s="113">
        <f>IF(OR(AND($F138&lt;=AB$3, $F139 &gt;= AB$3), AND($F139&lt;AB$3, WORKDAY($F139, 22,Holiday!$A$1:$A$30)&gt;AB$3)), 1, 0)+IF(AND((AB$3-$B$2)&gt;=0,(AB$3-$B$2)&lt;30), 2,0)</f>
        <v>0</v>
      </c>
      <c r="AC139" s="113">
        <f>IF(OR(AND($F138&lt;=AC$3, $F139 &gt;= AC$3), AND($F139&lt;AC$3, WORKDAY($F139, 22,Holiday!$A$1:$A$30)&gt;AC$3)), 1, 0)+IF(AND((AC$3-$B$2)&gt;=0,(AC$3-$B$2)&lt;30), 2,0)</f>
        <v>0</v>
      </c>
      <c r="AD139" s="113">
        <f>IF(OR(AND($F138&lt;=AD$3, $F139 &gt;= AD$3), AND($F139&lt;AD$3, WORKDAY($F139, 22,Holiday!$A$1:$A$30)&gt;AD$3)), 1, 0)+IF(AND((AD$3-$B$2)&gt;=0,(AD$3-$B$2)&lt;30), 2,0)</f>
        <v>0</v>
      </c>
      <c r="AE139" s="113">
        <f>IF(OR(AND($F138&lt;=AE$3, $F139 &gt;= AE$3), AND($F139&lt;AE$3, WORKDAY($F139, 22,Holiday!$A$1:$A$30)&gt;AE$3)), 1, 0)+IF(AND((AE$3-$B$2)&gt;=0,(AE$3-$B$2)&lt;30), 2,0)</f>
        <v>0</v>
      </c>
      <c r="AF139" s="113">
        <f>IF(OR(AND($F138&lt;=AF$3, $F139 &gt;= AF$3), AND($F139&lt;AF$3, WORKDAY($F139, 22,Holiday!$A$1:$A$30)&gt;AF$3)), 1, 0)+IF(AND((AF$3-$B$2)&gt;=0,(AF$3-$B$2)&lt;30), 2,0)</f>
        <v>0</v>
      </c>
      <c r="AG139" s="113">
        <f>IF(OR(AND($F138&lt;=AG$3, $F139 &gt;= AG$3), AND($F139&lt;AG$3, WORKDAY($F139, 22,Holiday!$A$1:$A$30)&gt;AG$3)), 1, 0)+IF(AND((AG$3-$B$2)&gt;=0,(AG$3-$B$2)&lt;30), 2,0)</f>
        <v>0</v>
      </c>
      <c r="AH139" s="113">
        <f>IF(OR(AND($F138&lt;=AH$3, $F139 &gt;= AH$3), AND($F139&lt;AH$3, WORKDAY($F139, 22,Holiday!$A$1:$A$30)&gt;AH$3)), 1, 0)+IF(AND((AH$3-$B$2)&gt;=0,(AH$3-$B$2)&lt;30), 2,0)</f>
        <v>0</v>
      </c>
      <c r="AI139" s="113">
        <f>IF(OR(AND($F138&lt;=AI$3, $F139 &gt;= AI$3), AND($F139&lt;AI$3, WORKDAY($F139, 22,Holiday!$A$1:$A$30)&gt;AI$3)), 1, 0)+IF(AND((AI$3-$B$2)&gt;=0,(AI$3-$B$2)&lt;30), 2,0)</f>
        <v>0</v>
      </c>
      <c r="AJ139" s="113">
        <f>IF(OR(AND($F138&lt;=AJ$3, $F139 &gt;= AJ$3), AND($F139&lt;AJ$3, WORKDAY($F139, 22,Holiday!$A$1:$A$30)&gt;AJ$3)), 1, 0)+IF(AND((AJ$3-$B$2)&gt;=0,(AJ$3-$B$2)&lt;30), 2,0)</f>
        <v>0</v>
      </c>
      <c r="AK139" s="113">
        <f>IF(OR(AND($F138&lt;=AK$3, $F139 &gt;= AK$3), AND($F139&lt;AK$3, WORKDAY($F139, 22,Holiday!$A$1:$A$30)&gt;AK$3)), 1, 0)+IF(AND((AK$3-$B$2)&gt;=0,(AK$3-$B$2)&lt;30), 2,0)</f>
        <v>0</v>
      </c>
      <c r="AL139" s="113">
        <f>IF(OR(AND($F138&lt;=AL$3, $F139 &gt;= AL$3), AND($F139&lt;AL$3, WORKDAY($F139, 22,Holiday!$A$1:$A$30)&gt;AL$3)), 1, 0)+IF(AND((AL$3-$B$2)&gt;=0,(AL$3-$B$2)&lt;30), 2,0)</f>
        <v>0</v>
      </c>
      <c r="AM139" s="113">
        <f>IF(OR(AND($F138&lt;=AM$3, $F139 &gt;= AM$3), AND($F139&lt;AM$3, WORKDAY($F139, 22,Holiday!$A$1:$A$30)&gt;AM$3)), 1, 0)+IF(AND((AM$3-$B$2)&gt;=0,(AM$3-$B$2)&lt;30), 2,0)</f>
        <v>0</v>
      </c>
      <c r="AN139" s="113">
        <f>IF(OR(AND($F138&lt;=AN$3, $F139 &gt;= AN$3), AND($F139&lt;AN$3, WORKDAY($F139, 22,Holiday!$A$1:$A$30)&gt;AN$3)), 1, 0)+IF(AND((AN$3-$B$2)&gt;=0,(AN$3-$B$2)&lt;30), 2,0)</f>
        <v>0</v>
      </c>
      <c r="AO139" s="113">
        <f>IF(OR(AND($F138&lt;=AO$3, $F139 &gt;= AO$3), AND($F139&lt;AO$3, WORKDAY($F139, 22,Holiday!$A$1:$A$30)&gt;AO$3)), 1, 0)+IF(AND((AO$3-$B$2)&gt;=0,(AO$3-$B$2)&lt;30), 2,0)</f>
        <v>0</v>
      </c>
    </row>
    <row r="140" spans="2:41" ht="14.4" x14ac:dyDescent="0.25">
      <c r="B140" t="s">
        <v>185</v>
      </c>
      <c r="C140" s="112" t="s">
        <v>282</v>
      </c>
      <c r="D140" s="111">
        <v>6</v>
      </c>
      <c r="E140" s="86">
        <f t="shared" si="3"/>
        <v>9</v>
      </c>
      <c r="F140" s="121">
        <f>WORKDAY(F139,E140,Holiday!A134:A163)</f>
        <v>46217</v>
      </c>
      <c r="G140" s="113">
        <f>IF(OR(AND($F139&lt;=G$3, $F140 &gt;= G$3), AND($F140&lt;G$3, WORKDAY($F140, 22,Holiday!$A$1:$A$30)&gt;G$3)), 1, 0)+IF(AND((G$3-$B$2)&gt;=0,(G$3-$B$2)&lt;30), 2,0)</f>
        <v>0</v>
      </c>
      <c r="H140" s="113">
        <f>IF(OR(AND($F139&lt;=H$3, $F140 &gt;= H$3), AND($F140&lt;H$3, WORKDAY($F140, 22,Holiday!$A$1:$A$30)&gt;H$3)), 1, 0)+IF(AND((H$3-$B$2)&gt;=0,(H$3-$B$2)&lt;30), 2,0)</f>
        <v>0</v>
      </c>
      <c r="I140" s="113">
        <f>IF(OR(AND($F139&lt;=I$3, $F140 &gt;= I$3), AND($F140&lt;I$3, WORKDAY($F140, 22,Holiday!$A$1:$A$30)&gt;I$3)), 1, 0)+IF(AND((I$3-$B$2)&gt;=0,(I$3-$B$2)&lt;30), 2,0)</f>
        <v>0</v>
      </c>
      <c r="J140" s="113">
        <f>IF(OR(AND($F139&lt;=J$3, $F140 &gt;= J$3), AND($F140&lt;J$3, WORKDAY($F140, 22,Holiday!$A$1:$A$30)&gt;J$3)), 1, 0)+IF(AND((J$3-$B$2)&gt;=0,(J$3-$B$2)&lt;30), 2,0)</f>
        <v>0</v>
      </c>
      <c r="K140" s="113">
        <f>IF(OR(AND($F139&lt;=K$3, $F140 &gt;= K$3), AND($F140&lt;K$3, WORKDAY($F140, 22,Holiday!$A$1:$A$30)&gt;K$3)), 1, 0)+IF(AND((K$3-$B$2)&gt;=0,(K$3-$B$2)&lt;30), 2,0)</f>
        <v>0</v>
      </c>
      <c r="L140" s="113">
        <f>IF(OR(AND($F139&lt;=L$3, $F140 &gt;= L$3), AND($F140&lt;L$3, WORKDAY($F140, 22,Holiday!$A$1:$A$30)&gt;L$3)), 1, 0)+IF(AND((L$3-$B$2)&gt;=0,(L$3-$B$2)&lt;30), 2,0)</f>
        <v>1</v>
      </c>
      <c r="M140" s="113">
        <f>IF(OR(AND($F139&lt;=M$3, $F140 &gt;= M$3), AND($F140&lt;M$3, WORKDAY($F140, 22,Holiday!$A$1:$A$30)&gt;M$3)), 1, 0)+IF(AND((M$3-$B$2)&gt;=0,(M$3-$B$2)&lt;30), 2,0)</f>
        <v>1</v>
      </c>
      <c r="N140" s="113">
        <f>IF(OR(AND($F139&lt;=N$3, $F140 &gt;= N$3), AND($F140&lt;N$3, WORKDAY($F140, 22,Holiday!$A$1:$A$30)&gt;N$3)), 1, 0)+IF(AND((N$3-$B$2)&gt;=0,(N$3-$B$2)&lt;30), 2,0)</f>
        <v>0</v>
      </c>
      <c r="O140" s="113">
        <f>IF(OR(AND($F139&lt;=O$3, $F140 &gt;= O$3), AND($F140&lt;O$3, WORKDAY($F140, 22,Holiday!$A$1:$A$30)&gt;O$3)), 1, 0)+IF(AND((O$3-$B$2)&gt;=0,(O$3-$B$2)&lt;30), 2,0)</f>
        <v>0</v>
      </c>
      <c r="P140" s="113">
        <f>IF(OR(AND($F139&lt;=P$3, $F140 &gt;= P$3), AND($F140&lt;P$3, WORKDAY($F140, 22,Holiday!$A$1:$A$30)&gt;P$3)), 1, 0)+IF(AND((P$3-$B$2)&gt;=0,(P$3-$B$2)&lt;30), 2,0)</f>
        <v>0</v>
      </c>
      <c r="Q140" s="113">
        <f>IF(OR(AND($F139&lt;=Q$3, $F140 &gt;= Q$3), AND($F140&lt;Q$3, WORKDAY($F140, 22,Holiday!$A$1:$A$30)&gt;Q$3)), 1, 0)+IF(AND((Q$3-$B$2)&gt;=0,(Q$3-$B$2)&lt;30), 2,0)</f>
        <v>2</v>
      </c>
      <c r="R140" s="113">
        <f>IF(OR(AND($F139&lt;=R$3, $F140 &gt;= R$3), AND($F140&lt;R$3, WORKDAY($F140, 22,Holiday!$A$1:$A$30)&gt;R$3)), 1, 0)+IF(AND((R$3-$B$2)&gt;=0,(R$3-$B$2)&lt;30), 2,0)</f>
        <v>0</v>
      </c>
      <c r="S140" s="113">
        <f>IF(OR(AND($F139&lt;=S$3, $F140 &gt;= S$3), AND($F140&lt;S$3, WORKDAY($F140, 22,Holiday!$A$1:$A$30)&gt;S$3)), 1, 0)+IF(AND((S$3-$B$2)&gt;=0,(S$3-$B$2)&lt;30), 2,0)</f>
        <v>0</v>
      </c>
      <c r="T140" s="113">
        <f>IF(OR(AND($F139&lt;=T$3, $F140 &gt;= T$3), AND($F140&lt;T$3, WORKDAY($F140, 22,Holiday!$A$1:$A$30)&gt;T$3)), 1, 0)+IF(AND((T$3-$B$2)&gt;=0,(T$3-$B$2)&lt;30), 2,0)</f>
        <v>0</v>
      </c>
      <c r="U140" s="113">
        <f>IF(OR(AND($F139&lt;=U$3, $F140 &gt;= U$3), AND($F140&lt;U$3, WORKDAY($F140, 22,Holiday!$A$1:$A$30)&gt;U$3)), 1, 0)+IF(AND((U$3-$B$2)&gt;=0,(U$3-$B$2)&lt;30), 2,0)</f>
        <v>0</v>
      </c>
      <c r="V140" s="113">
        <f>IF(OR(AND($F139&lt;=V$3, $F140 &gt;= V$3), AND($F140&lt;V$3, WORKDAY($F140, 22,Holiday!$A$1:$A$30)&gt;V$3)), 1, 0)+IF(AND((V$3-$B$2)&gt;=0,(V$3-$B$2)&lt;30), 2,0)</f>
        <v>0</v>
      </c>
      <c r="W140" s="113">
        <f>IF(OR(AND($F139&lt;=W$3, $F140 &gt;= W$3), AND($F140&lt;W$3, WORKDAY($F140, 22,Holiday!$A$1:$A$30)&gt;W$3)), 1, 0)+IF(AND((W$3-$B$2)&gt;=0,(W$3-$B$2)&lt;30), 2,0)</f>
        <v>0</v>
      </c>
      <c r="X140" s="113">
        <f>IF(OR(AND($F139&lt;=X$3, $F140 &gt;= X$3), AND($F140&lt;X$3, WORKDAY($F140, 22,Holiday!$A$1:$A$30)&gt;X$3)), 1, 0)+IF(AND((X$3-$B$2)&gt;=0,(X$3-$B$2)&lt;30), 2,0)</f>
        <v>0</v>
      </c>
      <c r="Y140" s="113">
        <f>IF(OR(AND($F139&lt;=Y$3, $F140 &gt;= Y$3), AND($F140&lt;Y$3, WORKDAY($F140, 22,Holiday!$A$1:$A$30)&gt;Y$3)), 1, 0)+IF(AND((Y$3-$B$2)&gt;=0,(Y$3-$B$2)&lt;30), 2,0)</f>
        <v>0</v>
      </c>
      <c r="Z140" s="113">
        <f>IF(OR(AND($F139&lt;=Z$3, $F140 &gt;= Z$3), AND($F140&lt;Z$3, WORKDAY($F140, 22,Holiday!$A$1:$A$30)&gt;Z$3)), 1, 0)+IF(AND((Z$3-$B$2)&gt;=0,(Z$3-$B$2)&lt;30), 2,0)</f>
        <v>0</v>
      </c>
      <c r="AA140" s="113">
        <f>IF(OR(AND($F139&lt;=AA$3, $F140 &gt;= AA$3), AND($F140&lt;AA$3, WORKDAY($F140, 22,Holiday!$A$1:$A$30)&gt;AA$3)), 1, 0)+IF(AND((AA$3-$B$2)&gt;=0,(AA$3-$B$2)&lt;30), 2,0)</f>
        <v>0</v>
      </c>
      <c r="AB140" s="113">
        <f>IF(OR(AND($F139&lt;=AB$3, $F140 &gt;= AB$3), AND($F140&lt;AB$3, WORKDAY($F140, 22,Holiday!$A$1:$A$30)&gt;AB$3)), 1, 0)+IF(AND((AB$3-$B$2)&gt;=0,(AB$3-$B$2)&lt;30), 2,0)</f>
        <v>0</v>
      </c>
      <c r="AC140" s="113">
        <f>IF(OR(AND($F139&lt;=AC$3, $F140 &gt;= AC$3), AND($F140&lt;AC$3, WORKDAY($F140, 22,Holiday!$A$1:$A$30)&gt;AC$3)), 1, 0)+IF(AND((AC$3-$B$2)&gt;=0,(AC$3-$B$2)&lt;30), 2,0)</f>
        <v>0</v>
      </c>
      <c r="AD140" s="113">
        <f>IF(OR(AND($F139&lt;=AD$3, $F140 &gt;= AD$3), AND($F140&lt;AD$3, WORKDAY($F140, 22,Holiday!$A$1:$A$30)&gt;AD$3)), 1, 0)+IF(AND((AD$3-$B$2)&gt;=0,(AD$3-$B$2)&lt;30), 2,0)</f>
        <v>0</v>
      </c>
      <c r="AE140" s="113">
        <f>IF(OR(AND($F139&lt;=AE$3, $F140 &gt;= AE$3), AND($F140&lt;AE$3, WORKDAY($F140, 22,Holiday!$A$1:$A$30)&gt;AE$3)), 1, 0)+IF(AND((AE$3-$B$2)&gt;=0,(AE$3-$B$2)&lt;30), 2,0)</f>
        <v>0</v>
      </c>
      <c r="AF140" s="113">
        <f>IF(OR(AND($F139&lt;=AF$3, $F140 &gt;= AF$3), AND($F140&lt;AF$3, WORKDAY($F140, 22,Holiday!$A$1:$A$30)&gt;AF$3)), 1, 0)+IF(AND((AF$3-$B$2)&gt;=0,(AF$3-$B$2)&lt;30), 2,0)</f>
        <v>0</v>
      </c>
      <c r="AG140" s="113">
        <f>IF(OR(AND($F139&lt;=AG$3, $F140 &gt;= AG$3), AND($F140&lt;AG$3, WORKDAY($F140, 22,Holiday!$A$1:$A$30)&gt;AG$3)), 1, 0)+IF(AND((AG$3-$B$2)&gt;=0,(AG$3-$B$2)&lt;30), 2,0)</f>
        <v>0</v>
      </c>
      <c r="AH140" s="113">
        <f>IF(OR(AND($F139&lt;=AH$3, $F140 &gt;= AH$3), AND($F140&lt;AH$3, WORKDAY($F140, 22,Holiday!$A$1:$A$30)&gt;AH$3)), 1, 0)+IF(AND((AH$3-$B$2)&gt;=0,(AH$3-$B$2)&lt;30), 2,0)</f>
        <v>0</v>
      </c>
      <c r="AI140" s="113">
        <f>IF(OR(AND($F139&lt;=AI$3, $F140 &gt;= AI$3), AND($F140&lt;AI$3, WORKDAY($F140, 22,Holiday!$A$1:$A$30)&gt;AI$3)), 1, 0)+IF(AND((AI$3-$B$2)&gt;=0,(AI$3-$B$2)&lt;30), 2,0)</f>
        <v>0</v>
      </c>
      <c r="AJ140" s="113">
        <f>IF(OR(AND($F139&lt;=AJ$3, $F140 &gt;= AJ$3), AND($F140&lt;AJ$3, WORKDAY($F140, 22,Holiday!$A$1:$A$30)&gt;AJ$3)), 1, 0)+IF(AND((AJ$3-$B$2)&gt;=0,(AJ$3-$B$2)&lt;30), 2,0)</f>
        <v>0</v>
      </c>
      <c r="AK140" s="113">
        <f>IF(OR(AND($F139&lt;=AK$3, $F140 &gt;= AK$3), AND($F140&lt;AK$3, WORKDAY($F140, 22,Holiday!$A$1:$A$30)&gt;AK$3)), 1, 0)+IF(AND((AK$3-$B$2)&gt;=0,(AK$3-$B$2)&lt;30), 2,0)</f>
        <v>0</v>
      </c>
      <c r="AL140" s="113">
        <f>IF(OR(AND($F139&lt;=AL$3, $F140 &gt;= AL$3), AND($F140&lt;AL$3, WORKDAY($F140, 22,Holiday!$A$1:$A$30)&gt;AL$3)), 1, 0)+IF(AND((AL$3-$B$2)&gt;=0,(AL$3-$B$2)&lt;30), 2,0)</f>
        <v>0</v>
      </c>
      <c r="AM140" s="113">
        <f>IF(OR(AND($F139&lt;=AM$3, $F140 &gt;= AM$3), AND($F140&lt;AM$3, WORKDAY($F140, 22,Holiday!$A$1:$A$30)&gt;AM$3)), 1, 0)+IF(AND((AM$3-$B$2)&gt;=0,(AM$3-$B$2)&lt;30), 2,0)</f>
        <v>0</v>
      </c>
      <c r="AN140" s="113">
        <f>IF(OR(AND($F139&lt;=AN$3, $F140 &gt;= AN$3), AND($F140&lt;AN$3, WORKDAY($F140, 22,Holiday!$A$1:$A$30)&gt;AN$3)), 1, 0)+IF(AND((AN$3-$B$2)&gt;=0,(AN$3-$B$2)&lt;30), 2,0)</f>
        <v>0</v>
      </c>
      <c r="AO140" s="113">
        <f>IF(OR(AND($F139&lt;=AO$3, $F140 &gt;= AO$3), AND($F140&lt;AO$3, WORKDAY($F140, 22,Holiday!$A$1:$A$30)&gt;AO$3)), 1, 0)+IF(AND((AO$3-$B$2)&gt;=0,(AO$3-$B$2)&lt;30), 2,0)</f>
        <v>0</v>
      </c>
    </row>
    <row r="141" spans="2:41" ht="14.4" x14ac:dyDescent="0.25">
      <c r="B141" t="s">
        <v>148</v>
      </c>
      <c r="C141" s="112" t="s">
        <v>282</v>
      </c>
      <c r="D141" s="111">
        <v>6</v>
      </c>
      <c r="E141" s="86">
        <f t="shared" si="3"/>
        <v>9</v>
      </c>
      <c r="F141" s="121">
        <f>WORKDAY(F140,E141,Holiday!A135:A164)</f>
        <v>46230</v>
      </c>
      <c r="G141" s="113">
        <f>IF(OR(AND($F140&lt;=G$3, $F141 &gt;= G$3), AND($F141&lt;G$3, WORKDAY($F141, 22,Holiday!$A$1:$A$30)&gt;G$3)), 1, 0)+IF(AND((G$3-$B$2)&gt;=0,(G$3-$B$2)&lt;30), 2,0)</f>
        <v>0</v>
      </c>
      <c r="H141" s="113">
        <f>IF(OR(AND($F140&lt;=H$3, $F141 &gt;= H$3), AND($F141&lt;H$3, WORKDAY($F141, 22,Holiday!$A$1:$A$30)&gt;H$3)), 1, 0)+IF(AND((H$3-$B$2)&gt;=0,(H$3-$B$2)&lt;30), 2,0)</f>
        <v>0</v>
      </c>
      <c r="I141" s="113">
        <f>IF(OR(AND($F140&lt;=I$3, $F141 &gt;= I$3), AND($F141&lt;I$3, WORKDAY($F141, 22,Holiday!$A$1:$A$30)&gt;I$3)), 1, 0)+IF(AND((I$3-$B$2)&gt;=0,(I$3-$B$2)&lt;30), 2,0)</f>
        <v>0</v>
      </c>
      <c r="J141" s="113">
        <f>IF(OR(AND($F140&lt;=J$3, $F141 &gt;= J$3), AND($F141&lt;J$3, WORKDAY($F141, 22,Holiday!$A$1:$A$30)&gt;J$3)), 1, 0)+IF(AND((J$3-$B$2)&gt;=0,(J$3-$B$2)&lt;30), 2,0)</f>
        <v>0</v>
      </c>
      <c r="K141" s="113">
        <f>IF(OR(AND($F140&lt;=K$3, $F141 &gt;= K$3), AND($F141&lt;K$3, WORKDAY($F141, 22,Holiday!$A$1:$A$30)&gt;K$3)), 1, 0)+IF(AND((K$3-$B$2)&gt;=0,(K$3-$B$2)&lt;30), 2,0)</f>
        <v>0</v>
      </c>
      <c r="L141" s="113">
        <f>IF(OR(AND($F140&lt;=L$3, $F141 &gt;= L$3), AND($F141&lt;L$3, WORKDAY($F141, 22,Holiday!$A$1:$A$30)&gt;L$3)), 1, 0)+IF(AND((L$3-$B$2)&gt;=0,(L$3-$B$2)&lt;30), 2,0)</f>
        <v>0</v>
      </c>
      <c r="M141" s="113">
        <f>IF(OR(AND($F140&lt;=M$3, $F141 &gt;= M$3), AND($F141&lt;M$3, WORKDAY($F141, 22,Holiday!$A$1:$A$30)&gt;M$3)), 1, 0)+IF(AND((M$3-$B$2)&gt;=0,(M$3-$B$2)&lt;30), 2,0)</f>
        <v>1</v>
      </c>
      <c r="N141" s="113">
        <f>IF(OR(AND($F140&lt;=N$3, $F141 &gt;= N$3), AND($F141&lt;N$3, WORKDAY($F141, 22,Holiday!$A$1:$A$30)&gt;N$3)), 1, 0)+IF(AND((N$3-$B$2)&gt;=0,(N$3-$B$2)&lt;30), 2,0)</f>
        <v>0</v>
      </c>
      <c r="O141" s="113">
        <f>IF(OR(AND($F140&lt;=O$3, $F141 &gt;= O$3), AND($F141&lt;O$3, WORKDAY($F141, 22,Holiday!$A$1:$A$30)&gt;O$3)), 1, 0)+IF(AND((O$3-$B$2)&gt;=0,(O$3-$B$2)&lt;30), 2,0)</f>
        <v>0</v>
      </c>
      <c r="P141" s="113">
        <f>IF(OR(AND($F140&lt;=P$3, $F141 &gt;= P$3), AND($F141&lt;P$3, WORKDAY($F141, 22,Holiday!$A$1:$A$30)&gt;P$3)), 1, 0)+IF(AND((P$3-$B$2)&gt;=0,(P$3-$B$2)&lt;30), 2,0)</f>
        <v>0</v>
      </c>
      <c r="Q141" s="113">
        <f>IF(OR(AND($F140&lt;=Q$3, $F141 &gt;= Q$3), AND($F141&lt;Q$3, WORKDAY($F141, 22,Holiday!$A$1:$A$30)&gt;Q$3)), 1, 0)+IF(AND((Q$3-$B$2)&gt;=0,(Q$3-$B$2)&lt;30), 2,0)</f>
        <v>2</v>
      </c>
      <c r="R141" s="113">
        <f>IF(OR(AND($F140&lt;=R$3, $F141 &gt;= R$3), AND($F141&lt;R$3, WORKDAY($F141, 22,Holiday!$A$1:$A$30)&gt;R$3)), 1, 0)+IF(AND((R$3-$B$2)&gt;=0,(R$3-$B$2)&lt;30), 2,0)</f>
        <v>0</v>
      </c>
      <c r="S141" s="113">
        <f>IF(OR(AND($F140&lt;=S$3, $F141 &gt;= S$3), AND($F141&lt;S$3, WORKDAY($F141, 22,Holiday!$A$1:$A$30)&gt;S$3)), 1, 0)+IF(AND((S$3-$B$2)&gt;=0,(S$3-$B$2)&lt;30), 2,0)</f>
        <v>0</v>
      </c>
      <c r="T141" s="113">
        <f>IF(OR(AND($F140&lt;=T$3, $F141 &gt;= T$3), AND($F141&lt;T$3, WORKDAY($F141, 22,Holiday!$A$1:$A$30)&gt;T$3)), 1, 0)+IF(AND((T$3-$B$2)&gt;=0,(T$3-$B$2)&lt;30), 2,0)</f>
        <v>0</v>
      </c>
      <c r="U141" s="113">
        <f>IF(OR(AND($F140&lt;=U$3, $F141 &gt;= U$3), AND($F141&lt;U$3, WORKDAY($F141, 22,Holiday!$A$1:$A$30)&gt;U$3)), 1, 0)+IF(AND((U$3-$B$2)&gt;=0,(U$3-$B$2)&lt;30), 2,0)</f>
        <v>0</v>
      </c>
      <c r="V141" s="113">
        <f>IF(OR(AND($F140&lt;=V$3, $F141 &gt;= V$3), AND($F141&lt;V$3, WORKDAY($F141, 22,Holiday!$A$1:$A$30)&gt;V$3)), 1, 0)+IF(AND((V$3-$B$2)&gt;=0,(V$3-$B$2)&lt;30), 2,0)</f>
        <v>0</v>
      </c>
      <c r="W141" s="113">
        <f>IF(OR(AND($F140&lt;=W$3, $F141 &gt;= W$3), AND($F141&lt;W$3, WORKDAY($F141, 22,Holiday!$A$1:$A$30)&gt;W$3)), 1, 0)+IF(AND((W$3-$B$2)&gt;=0,(W$3-$B$2)&lt;30), 2,0)</f>
        <v>0</v>
      </c>
      <c r="X141" s="113">
        <f>IF(OR(AND($F140&lt;=X$3, $F141 &gt;= X$3), AND($F141&lt;X$3, WORKDAY($F141, 22,Holiday!$A$1:$A$30)&gt;X$3)), 1, 0)+IF(AND((X$3-$B$2)&gt;=0,(X$3-$B$2)&lt;30), 2,0)</f>
        <v>0</v>
      </c>
      <c r="Y141" s="113">
        <f>IF(OR(AND($F140&lt;=Y$3, $F141 &gt;= Y$3), AND($F141&lt;Y$3, WORKDAY($F141, 22,Holiday!$A$1:$A$30)&gt;Y$3)), 1, 0)+IF(AND((Y$3-$B$2)&gt;=0,(Y$3-$B$2)&lt;30), 2,0)</f>
        <v>0</v>
      </c>
      <c r="Z141" s="113">
        <f>IF(OR(AND($F140&lt;=Z$3, $F141 &gt;= Z$3), AND($F141&lt;Z$3, WORKDAY($F141, 22,Holiday!$A$1:$A$30)&gt;Z$3)), 1, 0)+IF(AND((Z$3-$B$2)&gt;=0,(Z$3-$B$2)&lt;30), 2,0)</f>
        <v>0</v>
      </c>
      <c r="AA141" s="113">
        <f>IF(OR(AND($F140&lt;=AA$3, $F141 &gt;= AA$3), AND($F141&lt;AA$3, WORKDAY($F141, 22,Holiday!$A$1:$A$30)&gt;AA$3)), 1, 0)+IF(AND((AA$3-$B$2)&gt;=0,(AA$3-$B$2)&lt;30), 2,0)</f>
        <v>0</v>
      </c>
      <c r="AB141" s="113">
        <f>IF(OR(AND($F140&lt;=AB$3, $F141 &gt;= AB$3), AND($F141&lt;AB$3, WORKDAY($F141, 22,Holiday!$A$1:$A$30)&gt;AB$3)), 1, 0)+IF(AND((AB$3-$B$2)&gt;=0,(AB$3-$B$2)&lt;30), 2,0)</f>
        <v>0</v>
      </c>
      <c r="AC141" s="113">
        <f>IF(OR(AND($F140&lt;=AC$3, $F141 &gt;= AC$3), AND($F141&lt;AC$3, WORKDAY($F141, 22,Holiday!$A$1:$A$30)&gt;AC$3)), 1, 0)+IF(AND((AC$3-$B$2)&gt;=0,(AC$3-$B$2)&lt;30), 2,0)</f>
        <v>0</v>
      </c>
      <c r="AD141" s="113">
        <f>IF(OR(AND($F140&lt;=AD$3, $F141 &gt;= AD$3), AND($F141&lt;AD$3, WORKDAY($F141, 22,Holiday!$A$1:$A$30)&gt;AD$3)), 1, 0)+IF(AND((AD$3-$B$2)&gt;=0,(AD$3-$B$2)&lt;30), 2,0)</f>
        <v>0</v>
      </c>
      <c r="AE141" s="113">
        <f>IF(OR(AND($F140&lt;=AE$3, $F141 &gt;= AE$3), AND($F141&lt;AE$3, WORKDAY($F141, 22,Holiday!$A$1:$A$30)&gt;AE$3)), 1, 0)+IF(AND((AE$3-$B$2)&gt;=0,(AE$3-$B$2)&lt;30), 2,0)</f>
        <v>0</v>
      </c>
      <c r="AF141" s="113">
        <f>IF(OR(AND($F140&lt;=AF$3, $F141 &gt;= AF$3), AND($F141&lt;AF$3, WORKDAY($F141, 22,Holiday!$A$1:$A$30)&gt;AF$3)), 1, 0)+IF(AND((AF$3-$B$2)&gt;=0,(AF$3-$B$2)&lt;30), 2,0)</f>
        <v>0</v>
      </c>
      <c r="AG141" s="113">
        <f>IF(OR(AND($F140&lt;=AG$3, $F141 &gt;= AG$3), AND($F141&lt;AG$3, WORKDAY($F141, 22,Holiday!$A$1:$A$30)&gt;AG$3)), 1, 0)+IF(AND((AG$3-$B$2)&gt;=0,(AG$3-$B$2)&lt;30), 2,0)</f>
        <v>0</v>
      </c>
      <c r="AH141" s="113">
        <f>IF(OR(AND($F140&lt;=AH$3, $F141 &gt;= AH$3), AND($F141&lt;AH$3, WORKDAY($F141, 22,Holiday!$A$1:$A$30)&gt;AH$3)), 1, 0)+IF(AND((AH$3-$B$2)&gt;=0,(AH$3-$B$2)&lt;30), 2,0)</f>
        <v>0</v>
      </c>
      <c r="AI141" s="113">
        <f>IF(OR(AND($F140&lt;=AI$3, $F141 &gt;= AI$3), AND($F141&lt;AI$3, WORKDAY($F141, 22,Holiday!$A$1:$A$30)&gt;AI$3)), 1, 0)+IF(AND((AI$3-$B$2)&gt;=0,(AI$3-$B$2)&lt;30), 2,0)</f>
        <v>0</v>
      </c>
      <c r="AJ141" s="113">
        <f>IF(OR(AND($F140&lt;=AJ$3, $F141 &gt;= AJ$3), AND($F141&lt;AJ$3, WORKDAY($F141, 22,Holiday!$A$1:$A$30)&gt;AJ$3)), 1, 0)+IF(AND((AJ$3-$B$2)&gt;=0,(AJ$3-$B$2)&lt;30), 2,0)</f>
        <v>0</v>
      </c>
      <c r="AK141" s="113">
        <f>IF(OR(AND($F140&lt;=AK$3, $F141 &gt;= AK$3), AND($F141&lt;AK$3, WORKDAY($F141, 22,Holiday!$A$1:$A$30)&gt;AK$3)), 1, 0)+IF(AND((AK$3-$B$2)&gt;=0,(AK$3-$B$2)&lt;30), 2,0)</f>
        <v>0</v>
      </c>
      <c r="AL141" s="113">
        <f>IF(OR(AND($F140&lt;=AL$3, $F141 &gt;= AL$3), AND($F141&lt;AL$3, WORKDAY($F141, 22,Holiday!$A$1:$A$30)&gt;AL$3)), 1, 0)+IF(AND((AL$3-$B$2)&gt;=0,(AL$3-$B$2)&lt;30), 2,0)</f>
        <v>0</v>
      </c>
      <c r="AM141" s="113">
        <f>IF(OR(AND($F140&lt;=AM$3, $F141 &gt;= AM$3), AND($F141&lt;AM$3, WORKDAY($F141, 22,Holiday!$A$1:$A$30)&gt;AM$3)), 1, 0)+IF(AND((AM$3-$B$2)&gt;=0,(AM$3-$B$2)&lt;30), 2,0)</f>
        <v>0</v>
      </c>
      <c r="AN141" s="113">
        <f>IF(OR(AND($F140&lt;=AN$3, $F141 &gt;= AN$3), AND($F141&lt;AN$3, WORKDAY($F141, 22,Holiday!$A$1:$A$30)&gt;AN$3)), 1, 0)+IF(AND((AN$3-$B$2)&gt;=0,(AN$3-$B$2)&lt;30), 2,0)</f>
        <v>0</v>
      </c>
      <c r="AO141" s="113">
        <f>IF(OR(AND($F140&lt;=AO$3, $F141 &gt;= AO$3), AND($F141&lt;AO$3, WORKDAY($F141, 22,Holiday!$A$1:$A$30)&gt;AO$3)), 1, 0)+IF(AND((AO$3-$B$2)&gt;=0,(AO$3-$B$2)&lt;30), 2,0)</f>
        <v>0</v>
      </c>
    </row>
    <row r="142" spans="2:41" ht="14.4" x14ac:dyDescent="0.25">
      <c r="B142" t="s">
        <v>147</v>
      </c>
      <c r="C142" s="112" t="s">
        <v>282</v>
      </c>
      <c r="D142" s="111">
        <v>6</v>
      </c>
      <c r="E142" s="86">
        <f t="shared" si="3"/>
        <v>9</v>
      </c>
      <c r="F142" s="121">
        <f>WORKDAY(F141,E142,Holiday!A136:A165)</f>
        <v>46241</v>
      </c>
      <c r="G142" s="113">
        <f>IF(OR(AND($F141&lt;=G$3, $F142 &gt;= G$3), AND($F142&lt;G$3, WORKDAY($F142, 22,Holiday!$A$1:$A$30)&gt;G$3)), 1, 0)+IF(AND((G$3-$B$2)&gt;=0,(G$3-$B$2)&lt;30), 2,0)</f>
        <v>0</v>
      </c>
      <c r="H142" s="113">
        <f>IF(OR(AND($F141&lt;=H$3, $F142 &gt;= H$3), AND($F142&lt;H$3, WORKDAY($F142, 22,Holiday!$A$1:$A$30)&gt;H$3)), 1, 0)+IF(AND((H$3-$B$2)&gt;=0,(H$3-$B$2)&lt;30), 2,0)</f>
        <v>0</v>
      </c>
      <c r="I142" s="113">
        <f>IF(OR(AND($F141&lt;=I$3, $F142 &gt;= I$3), AND($F142&lt;I$3, WORKDAY($F142, 22,Holiday!$A$1:$A$30)&gt;I$3)), 1, 0)+IF(AND((I$3-$B$2)&gt;=0,(I$3-$B$2)&lt;30), 2,0)</f>
        <v>0</v>
      </c>
      <c r="J142" s="113">
        <f>IF(OR(AND($F141&lt;=J$3, $F142 &gt;= J$3), AND($F142&lt;J$3, WORKDAY($F142, 22,Holiday!$A$1:$A$30)&gt;J$3)), 1, 0)+IF(AND((J$3-$B$2)&gt;=0,(J$3-$B$2)&lt;30), 2,0)</f>
        <v>0</v>
      </c>
      <c r="K142" s="113">
        <f>IF(OR(AND($F141&lt;=K$3, $F142 &gt;= K$3), AND($F142&lt;K$3, WORKDAY($F142, 22,Holiday!$A$1:$A$30)&gt;K$3)), 1, 0)+IF(AND((K$3-$B$2)&gt;=0,(K$3-$B$2)&lt;30), 2,0)</f>
        <v>0</v>
      </c>
      <c r="L142" s="113">
        <f>IF(OR(AND($F141&lt;=L$3, $F142 &gt;= L$3), AND($F142&lt;L$3, WORKDAY($F142, 22,Holiday!$A$1:$A$30)&gt;L$3)), 1, 0)+IF(AND((L$3-$B$2)&gt;=0,(L$3-$B$2)&lt;30), 2,0)</f>
        <v>0</v>
      </c>
      <c r="M142" s="113">
        <f>IF(OR(AND($F141&lt;=M$3, $F142 &gt;= M$3), AND($F142&lt;M$3, WORKDAY($F142, 22,Holiday!$A$1:$A$30)&gt;M$3)), 1, 0)+IF(AND((M$3-$B$2)&gt;=0,(M$3-$B$2)&lt;30), 2,0)</f>
        <v>1</v>
      </c>
      <c r="N142" s="113">
        <f>IF(OR(AND($F141&lt;=N$3, $F142 &gt;= N$3), AND($F142&lt;N$3, WORKDAY($F142, 22,Holiday!$A$1:$A$30)&gt;N$3)), 1, 0)+IF(AND((N$3-$B$2)&gt;=0,(N$3-$B$2)&lt;30), 2,0)</f>
        <v>0</v>
      </c>
      <c r="O142" s="113">
        <f>IF(OR(AND($F141&lt;=O$3, $F142 &gt;= O$3), AND($F142&lt;O$3, WORKDAY($F142, 22,Holiday!$A$1:$A$30)&gt;O$3)), 1, 0)+IF(AND((O$3-$B$2)&gt;=0,(O$3-$B$2)&lt;30), 2,0)</f>
        <v>0</v>
      </c>
      <c r="P142" s="113">
        <f>IF(OR(AND($F141&lt;=P$3, $F142 &gt;= P$3), AND($F142&lt;P$3, WORKDAY($F142, 22,Holiday!$A$1:$A$30)&gt;P$3)), 1, 0)+IF(AND((P$3-$B$2)&gt;=0,(P$3-$B$2)&lt;30), 2,0)</f>
        <v>0</v>
      </c>
      <c r="Q142" s="113">
        <f>IF(OR(AND($F141&lt;=Q$3, $F142 &gt;= Q$3), AND($F142&lt;Q$3, WORKDAY($F142, 22,Holiday!$A$1:$A$30)&gt;Q$3)), 1, 0)+IF(AND((Q$3-$B$2)&gt;=0,(Q$3-$B$2)&lt;30), 2,0)</f>
        <v>2</v>
      </c>
      <c r="R142" s="113">
        <f>IF(OR(AND($F141&lt;=R$3, $F142 &gt;= R$3), AND($F142&lt;R$3, WORKDAY($F142, 22,Holiday!$A$1:$A$30)&gt;R$3)), 1, 0)+IF(AND((R$3-$B$2)&gt;=0,(R$3-$B$2)&lt;30), 2,0)</f>
        <v>0</v>
      </c>
      <c r="S142" s="113">
        <f>IF(OR(AND($F141&lt;=S$3, $F142 &gt;= S$3), AND($F142&lt;S$3, WORKDAY($F142, 22,Holiday!$A$1:$A$30)&gt;S$3)), 1, 0)+IF(AND((S$3-$B$2)&gt;=0,(S$3-$B$2)&lt;30), 2,0)</f>
        <v>0</v>
      </c>
      <c r="T142" s="113">
        <f>IF(OR(AND($F141&lt;=T$3, $F142 &gt;= T$3), AND($F142&lt;T$3, WORKDAY($F142, 22,Holiday!$A$1:$A$30)&gt;T$3)), 1, 0)+IF(AND((T$3-$B$2)&gt;=0,(T$3-$B$2)&lt;30), 2,0)</f>
        <v>0</v>
      </c>
      <c r="U142" s="113">
        <f>IF(OR(AND($F141&lt;=U$3, $F142 &gt;= U$3), AND($F142&lt;U$3, WORKDAY($F142, 22,Holiday!$A$1:$A$30)&gt;U$3)), 1, 0)+IF(AND((U$3-$B$2)&gt;=0,(U$3-$B$2)&lt;30), 2,0)</f>
        <v>0</v>
      </c>
      <c r="V142" s="113">
        <f>IF(OR(AND($F141&lt;=V$3, $F142 &gt;= V$3), AND($F142&lt;V$3, WORKDAY($F142, 22,Holiday!$A$1:$A$30)&gt;V$3)), 1, 0)+IF(AND((V$3-$B$2)&gt;=0,(V$3-$B$2)&lt;30), 2,0)</f>
        <v>0</v>
      </c>
      <c r="W142" s="113">
        <f>IF(OR(AND($F141&lt;=W$3, $F142 &gt;= W$3), AND($F142&lt;W$3, WORKDAY($F142, 22,Holiday!$A$1:$A$30)&gt;W$3)), 1, 0)+IF(AND((W$3-$B$2)&gt;=0,(W$3-$B$2)&lt;30), 2,0)</f>
        <v>0</v>
      </c>
      <c r="X142" s="113">
        <f>IF(OR(AND($F141&lt;=X$3, $F142 &gt;= X$3), AND($F142&lt;X$3, WORKDAY($F142, 22,Holiday!$A$1:$A$30)&gt;X$3)), 1, 0)+IF(AND((X$3-$B$2)&gt;=0,(X$3-$B$2)&lt;30), 2,0)</f>
        <v>0</v>
      </c>
      <c r="Y142" s="113">
        <f>IF(OR(AND($F141&lt;=Y$3, $F142 &gt;= Y$3), AND($F142&lt;Y$3, WORKDAY($F142, 22,Holiday!$A$1:$A$30)&gt;Y$3)), 1, 0)+IF(AND((Y$3-$B$2)&gt;=0,(Y$3-$B$2)&lt;30), 2,0)</f>
        <v>0</v>
      </c>
      <c r="Z142" s="113">
        <f>IF(OR(AND($F141&lt;=Z$3, $F142 &gt;= Z$3), AND($F142&lt;Z$3, WORKDAY($F142, 22,Holiday!$A$1:$A$30)&gt;Z$3)), 1, 0)+IF(AND((Z$3-$B$2)&gt;=0,(Z$3-$B$2)&lt;30), 2,0)</f>
        <v>0</v>
      </c>
      <c r="AA142" s="113">
        <f>IF(OR(AND($F141&lt;=AA$3, $F142 &gt;= AA$3), AND($F142&lt;AA$3, WORKDAY($F142, 22,Holiday!$A$1:$A$30)&gt;AA$3)), 1, 0)+IF(AND((AA$3-$B$2)&gt;=0,(AA$3-$B$2)&lt;30), 2,0)</f>
        <v>0</v>
      </c>
      <c r="AB142" s="113">
        <f>IF(OR(AND($F141&lt;=AB$3, $F142 &gt;= AB$3), AND($F142&lt;AB$3, WORKDAY($F142, 22,Holiday!$A$1:$A$30)&gt;AB$3)), 1, 0)+IF(AND((AB$3-$B$2)&gt;=0,(AB$3-$B$2)&lt;30), 2,0)</f>
        <v>0</v>
      </c>
      <c r="AC142" s="113">
        <f>IF(OR(AND($F141&lt;=AC$3, $F142 &gt;= AC$3), AND($F142&lt;AC$3, WORKDAY($F142, 22,Holiday!$A$1:$A$30)&gt;AC$3)), 1, 0)+IF(AND((AC$3-$B$2)&gt;=0,(AC$3-$B$2)&lt;30), 2,0)</f>
        <v>0</v>
      </c>
      <c r="AD142" s="113">
        <f>IF(OR(AND($F141&lt;=AD$3, $F142 &gt;= AD$3), AND($F142&lt;AD$3, WORKDAY($F142, 22,Holiday!$A$1:$A$30)&gt;AD$3)), 1, 0)+IF(AND((AD$3-$B$2)&gt;=0,(AD$3-$B$2)&lt;30), 2,0)</f>
        <v>0</v>
      </c>
      <c r="AE142" s="113">
        <f>IF(OR(AND($F141&lt;=AE$3, $F142 &gt;= AE$3), AND($F142&lt;AE$3, WORKDAY($F142, 22,Holiday!$A$1:$A$30)&gt;AE$3)), 1, 0)+IF(AND((AE$3-$B$2)&gt;=0,(AE$3-$B$2)&lt;30), 2,0)</f>
        <v>0</v>
      </c>
      <c r="AF142" s="113">
        <f>IF(OR(AND($F141&lt;=AF$3, $F142 &gt;= AF$3), AND($F142&lt;AF$3, WORKDAY($F142, 22,Holiday!$A$1:$A$30)&gt;AF$3)), 1, 0)+IF(AND((AF$3-$B$2)&gt;=0,(AF$3-$B$2)&lt;30), 2,0)</f>
        <v>0</v>
      </c>
      <c r="AG142" s="113">
        <f>IF(OR(AND($F141&lt;=AG$3, $F142 &gt;= AG$3), AND($F142&lt;AG$3, WORKDAY($F142, 22,Holiday!$A$1:$A$30)&gt;AG$3)), 1, 0)+IF(AND((AG$3-$B$2)&gt;=0,(AG$3-$B$2)&lt;30), 2,0)</f>
        <v>0</v>
      </c>
      <c r="AH142" s="113">
        <f>IF(OR(AND($F141&lt;=AH$3, $F142 &gt;= AH$3), AND($F142&lt;AH$3, WORKDAY($F142, 22,Holiday!$A$1:$A$30)&gt;AH$3)), 1, 0)+IF(AND((AH$3-$B$2)&gt;=0,(AH$3-$B$2)&lt;30), 2,0)</f>
        <v>0</v>
      </c>
      <c r="AI142" s="113">
        <f>IF(OR(AND($F141&lt;=AI$3, $F142 &gt;= AI$3), AND($F142&lt;AI$3, WORKDAY($F142, 22,Holiday!$A$1:$A$30)&gt;AI$3)), 1, 0)+IF(AND((AI$3-$B$2)&gt;=0,(AI$3-$B$2)&lt;30), 2,0)</f>
        <v>0</v>
      </c>
      <c r="AJ142" s="113">
        <f>IF(OR(AND($F141&lt;=AJ$3, $F142 &gt;= AJ$3), AND($F142&lt;AJ$3, WORKDAY($F142, 22,Holiday!$A$1:$A$30)&gt;AJ$3)), 1, 0)+IF(AND((AJ$3-$B$2)&gt;=0,(AJ$3-$B$2)&lt;30), 2,0)</f>
        <v>0</v>
      </c>
      <c r="AK142" s="113">
        <f>IF(OR(AND($F141&lt;=AK$3, $F142 &gt;= AK$3), AND($F142&lt;AK$3, WORKDAY($F142, 22,Holiday!$A$1:$A$30)&gt;AK$3)), 1, 0)+IF(AND((AK$3-$B$2)&gt;=0,(AK$3-$B$2)&lt;30), 2,0)</f>
        <v>0</v>
      </c>
      <c r="AL142" s="113">
        <f>IF(OR(AND($F141&lt;=AL$3, $F142 &gt;= AL$3), AND($F142&lt;AL$3, WORKDAY($F142, 22,Holiday!$A$1:$A$30)&gt;AL$3)), 1, 0)+IF(AND((AL$3-$B$2)&gt;=0,(AL$3-$B$2)&lt;30), 2,0)</f>
        <v>0</v>
      </c>
      <c r="AM142" s="113">
        <f>IF(OR(AND($F141&lt;=AM$3, $F142 &gt;= AM$3), AND($F142&lt;AM$3, WORKDAY($F142, 22,Holiday!$A$1:$A$30)&gt;AM$3)), 1, 0)+IF(AND((AM$3-$B$2)&gt;=0,(AM$3-$B$2)&lt;30), 2,0)</f>
        <v>0</v>
      </c>
      <c r="AN142" s="113">
        <f>IF(OR(AND($F141&lt;=AN$3, $F142 &gt;= AN$3), AND($F142&lt;AN$3, WORKDAY($F142, 22,Holiday!$A$1:$A$30)&gt;AN$3)), 1, 0)+IF(AND((AN$3-$B$2)&gt;=0,(AN$3-$B$2)&lt;30), 2,0)</f>
        <v>0</v>
      </c>
      <c r="AO142" s="113">
        <f>IF(OR(AND($F141&lt;=AO$3, $F142 &gt;= AO$3), AND($F142&lt;AO$3, WORKDAY($F142, 22,Holiday!$A$1:$A$30)&gt;AO$3)), 1, 0)+IF(AND((AO$3-$B$2)&gt;=0,(AO$3-$B$2)&lt;30), 2,0)</f>
        <v>0</v>
      </c>
    </row>
    <row r="143" spans="2:41" ht="14.4" x14ac:dyDescent="0.25">
      <c r="B143" t="s">
        <v>151</v>
      </c>
      <c r="C143" s="112" t="s">
        <v>282</v>
      </c>
      <c r="D143" s="111">
        <v>6</v>
      </c>
      <c r="E143" s="86">
        <f t="shared" si="3"/>
        <v>9</v>
      </c>
      <c r="F143" s="121">
        <f>WORKDAY(F142,E143,Holiday!A137:A166)</f>
        <v>46254</v>
      </c>
      <c r="G143" s="113">
        <f>IF(OR(AND($F142&lt;=G$3, $F143 &gt;= G$3), AND($F143&lt;G$3, WORKDAY($F143, 22,Holiday!$A$1:$A$30)&gt;G$3)), 1, 0)+IF(AND((G$3-$B$2)&gt;=0,(G$3-$B$2)&lt;30), 2,0)</f>
        <v>0</v>
      </c>
      <c r="H143" s="113">
        <f>IF(OR(AND($F142&lt;=H$3, $F143 &gt;= H$3), AND($F143&lt;H$3, WORKDAY($F143, 22,Holiday!$A$1:$A$30)&gt;H$3)), 1, 0)+IF(AND((H$3-$B$2)&gt;=0,(H$3-$B$2)&lt;30), 2,0)</f>
        <v>0</v>
      </c>
      <c r="I143" s="113">
        <f>IF(OR(AND($F142&lt;=I$3, $F143 &gt;= I$3), AND($F143&lt;I$3, WORKDAY($F143, 22,Holiday!$A$1:$A$30)&gt;I$3)), 1, 0)+IF(AND((I$3-$B$2)&gt;=0,(I$3-$B$2)&lt;30), 2,0)</f>
        <v>0</v>
      </c>
      <c r="J143" s="113">
        <f>IF(OR(AND($F142&lt;=J$3, $F143 &gt;= J$3), AND($F143&lt;J$3, WORKDAY($F143, 22,Holiday!$A$1:$A$30)&gt;J$3)), 1, 0)+IF(AND((J$3-$B$2)&gt;=0,(J$3-$B$2)&lt;30), 2,0)</f>
        <v>0</v>
      </c>
      <c r="K143" s="113">
        <f>IF(OR(AND($F142&lt;=K$3, $F143 &gt;= K$3), AND($F143&lt;K$3, WORKDAY($F143, 22,Holiday!$A$1:$A$30)&gt;K$3)), 1, 0)+IF(AND((K$3-$B$2)&gt;=0,(K$3-$B$2)&lt;30), 2,0)</f>
        <v>0</v>
      </c>
      <c r="L143" s="113">
        <f>IF(OR(AND($F142&lt;=L$3, $F143 &gt;= L$3), AND($F143&lt;L$3, WORKDAY($F143, 22,Holiday!$A$1:$A$30)&gt;L$3)), 1, 0)+IF(AND((L$3-$B$2)&gt;=0,(L$3-$B$2)&lt;30), 2,0)</f>
        <v>0</v>
      </c>
      <c r="M143" s="113">
        <f>IF(OR(AND($F142&lt;=M$3, $F143 &gt;= M$3), AND($F143&lt;M$3, WORKDAY($F143, 22,Holiday!$A$1:$A$30)&gt;M$3)), 1, 0)+IF(AND((M$3-$B$2)&gt;=0,(M$3-$B$2)&lt;30), 2,0)</f>
        <v>1</v>
      </c>
      <c r="N143" s="113">
        <f>IF(OR(AND($F142&lt;=N$3, $F143 &gt;= N$3), AND($F143&lt;N$3, WORKDAY($F143, 22,Holiday!$A$1:$A$30)&gt;N$3)), 1, 0)+IF(AND((N$3-$B$2)&gt;=0,(N$3-$B$2)&lt;30), 2,0)</f>
        <v>1</v>
      </c>
      <c r="O143" s="113">
        <f>IF(OR(AND($F142&lt;=O$3, $F143 &gt;= O$3), AND($F143&lt;O$3, WORKDAY($F143, 22,Holiday!$A$1:$A$30)&gt;O$3)), 1, 0)+IF(AND((O$3-$B$2)&gt;=0,(O$3-$B$2)&lt;30), 2,0)</f>
        <v>0</v>
      </c>
      <c r="P143" s="113">
        <f>IF(OR(AND($F142&lt;=P$3, $F143 &gt;= P$3), AND($F143&lt;P$3, WORKDAY($F143, 22,Holiday!$A$1:$A$30)&gt;P$3)), 1, 0)+IF(AND((P$3-$B$2)&gt;=0,(P$3-$B$2)&lt;30), 2,0)</f>
        <v>0</v>
      </c>
      <c r="Q143" s="113">
        <f>IF(OR(AND($F142&lt;=Q$3, $F143 &gt;= Q$3), AND($F143&lt;Q$3, WORKDAY($F143, 22,Holiday!$A$1:$A$30)&gt;Q$3)), 1, 0)+IF(AND((Q$3-$B$2)&gt;=0,(Q$3-$B$2)&lt;30), 2,0)</f>
        <v>2</v>
      </c>
      <c r="R143" s="113">
        <f>IF(OR(AND($F142&lt;=R$3, $F143 &gt;= R$3), AND($F143&lt;R$3, WORKDAY($F143, 22,Holiday!$A$1:$A$30)&gt;R$3)), 1, 0)+IF(AND((R$3-$B$2)&gt;=0,(R$3-$B$2)&lt;30), 2,0)</f>
        <v>0</v>
      </c>
      <c r="S143" s="113">
        <f>IF(OR(AND($F142&lt;=S$3, $F143 &gt;= S$3), AND($F143&lt;S$3, WORKDAY($F143, 22,Holiday!$A$1:$A$30)&gt;S$3)), 1, 0)+IF(AND((S$3-$B$2)&gt;=0,(S$3-$B$2)&lt;30), 2,0)</f>
        <v>0</v>
      </c>
      <c r="T143" s="113">
        <f>IF(OR(AND($F142&lt;=T$3, $F143 &gt;= T$3), AND($F143&lt;T$3, WORKDAY($F143, 22,Holiday!$A$1:$A$30)&gt;T$3)), 1, 0)+IF(AND((T$3-$B$2)&gt;=0,(T$3-$B$2)&lt;30), 2,0)</f>
        <v>0</v>
      </c>
      <c r="U143" s="113">
        <f>IF(OR(AND($F142&lt;=U$3, $F143 &gt;= U$3), AND($F143&lt;U$3, WORKDAY($F143, 22,Holiday!$A$1:$A$30)&gt;U$3)), 1, 0)+IF(AND((U$3-$B$2)&gt;=0,(U$3-$B$2)&lt;30), 2,0)</f>
        <v>0</v>
      </c>
      <c r="V143" s="113">
        <f>IF(OR(AND($F142&lt;=V$3, $F143 &gt;= V$3), AND($F143&lt;V$3, WORKDAY($F143, 22,Holiday!$A$1:$A$30)&gt;V$3)), 1, 0)+IF(AND((V$3-$B$2)&gt;=0,(V$3-$B$2)&lt;30), 2,0)</f>
        <v>0</v>
      </c>
      <c r="W143" s="113">
        <f>IF(OR(AND($F142&lt;=W$3, $F143 &gt;= W$3), AND($F143&lt;W$3, WORKDAY($F143, 22,Holiday!$A$1:$A$30)&gt;W$3)), 1, 0)+IF(AND((W$3-$B$2)&gt;=0,(W$3-$B$2)&lt;30), 2,0)</f>
        <v>0</v>
      </c>
      <c r="X143" s="113">
        <f>IF(OR(AND($F142&lt;=X$3, $F143 &gt;= X$3), AND($F143&lt;X$3, WORKDAY($F143, 22,Holiday!$A$1:$A$30)&gt;X$3)), 1, 0)+IF(AND((X$3-$B$2)&gt;=0,(X$3-$B$2)&lt;30), 2,0)</f>
        <v>0</v>
      </c>
      <c r="Y143" s="113">
        <f>IF(OR(AND($F142&lt;=Y$3, $F143 &gt;= Y$3), AND($F143&lt;Y$3, WORKDAY($F143, 22,Holiday!$A$1:$A$30)&gt;Y$3)), 1, 0)+IF(AND((Y$3-$B$2)&gt;=0,(Y$3-$B$2)&lt;30), 2,0)</f>
        <v>0</v>
      </c>
      <c r="Z143" s="113">
        <f>IF(OR(AND($F142&lt;=Z$3, $F143 &gt;= Z$3), AND($F143&lt;Z$3, WORKDAY($F143, 22,Holiday!$A$1:$A$30)&gt;Z$3)), 1, 0)+IF(AND((Z$3-$B$2)&gt;=0,(Z$3-$B$2)&lt;30), 2,0)</f>
        <v>0</v>
      </c>
      <c r="AA143" s="113">
        <f>IF(OR(AND($F142&lt;=AA$3, $F143 &gt;= AA$3), AND($F143&lt;AA$3, WORKDAY($F143, 22,Holiday!$A$1:$A$30)&gt;AA$3)), 1, 0)+IF(AND((AA$3-$B$2)&gt;=0,(AA$3-$B$2)&lt;30), 2,0)</f>
        <v>0</v>
      </c>
      <c r="AB143" s="113">
        <f>IF(OR(AND($F142&lt;=AB$3, $F143 &gt;= AB$3), AND($F143&lt;AB$3, WORKDAY($F143, 22,Holiday!$A$1:$A$30)&gt;AB$3)), 1, 0)+IF(AND((AB$3-$B$2)&gt;=0,(AB$3-$B$2)&lt;30), 2,0)</f>
        <v>0</v>
      </c>
      <c r="AC143" s="113">
        <f>IF(OR(AND($F142&lt;=AC$3, $F143 &gt;= AC$3), AND($F143&lt;AC$3, WORKDAY($F143, 22,Holiday!$A$1:$A$30)&gt;AC$3)), 1, 0)+IF(AND((AC$3-$B$2)&gt;=0,(AC$3-$B$2)&lt;30), 2,0)</f>
        <v>0</v>
      </c>
      <c r="AD143" s="113">
        <f>IF(OR(AND($F142&lt;=AD$3, $F143 &gt;= AD$3), AND($F143&lt;AD$3, WORKDAY($F143, 22,Holiday!$A$1:$A$30)&gt;AD$3)), 1, 0)+IF(AND((AD$3-$B$2)&gt;=0,(AD$3-$B$2)&lt;30), 2,0)</f>
        <v>0</v>
      </c>
      <c r="AE143" s="113">
        <f>IF(OR(AND($F142&lt;=AE$3, $F143 &gt;= AE$3), AND($F143&lt;AE$3, WORKDAY($F143, 22,Holiday!$A$1:$A$30)&gt;AE$3)), 1, 0)+IF(AND((AE$3-$B$2)&gt;=0,(AE$3-$B$2)&lt;30), 2,0)</f>
        <v>0</v>
      </c>
      <c r="AF143" s="113">
        <f>IF(OR(AND($F142&lt;=AF$3, $F143 &gt;= AF$3), AND($F143&lt;AF$3, WORKDAY($F143, 22,Holiday!$A$1:$A$30)&gt;AF$3)), 1, 0)+IF(AND((AF$3-$B$2)&gt;=0,(AF$3-$B$2)&lt;30), 2,0)</f>
        <v>0</v>
      </c>
      <c r="AG143" s="113">
        <f>IF(OR(AND($F142&lt;=AG$3, $F143 &gt;= AG$3), AND($F143&lt;AG$3, WORKDAY($F143, 22,Holiday!$A$1:$A$30)&gt;AG$3)), 1, 0)+IF(AND((AG$3-$B$2)&gt;=0,(AG$3-$B$2)&lt;30), 2,0)</f>
        <v>0</v>
      </c>
      <c r="AH143" s="113">
        <f>IF(OR(AND($F142&lt;=AH$3, $F143 &gt;= AH$3), AND($F143&lt;AH$3, WORKDAY($F143, 22,Holiday!$A$1:$A$30)&gt;AH$3)), 1, 0)+IF(AND((AH$3-$B$2)&gt;=0,(AH$3-$B$2)&lt;30), 2,0)</f>
        <v>0</v>
      </c>
      <c r="AI143" s="113">
        <f>IF(OR(AND($F142&lt;=AI$3, $F143 &gt;= AI$3), AND($F143&lt;AI$3, WORKDAY($F143, 22,Holiday!$A$1:$A$30)&gt;AI$3)), 1, 0)+IF(AND((AI$3-$B$2)&gt;=0,(AI$3-$B$2)&lt;30), 2,0)</f>
        <v>0</v>
      </c>
      <c r="AJ143" s="113">
        <f>IF(OR(AND($F142&lt;=AJ$3, $F143 &gt;= AJ$3), AND($F143&lt;AJ$3, WORKDAY($F143, 22,Holiday!$A$1:$A$30)&gt;AJ$3)), 1, 0)+IF(AND((AJ$3-$B$2)&gt;=0,(AJ$3-$B$2)&lt;30), 2,0)</f>
        <v>0</v>
      </c>
      <c r="AK143" s="113">
        <f>IF(OR(AND($F142&lt;=AK$3, $F143 &gt;= AK$3), AND($F143&lt;AK$3, WORKDAY($F143, 22,Holiday!$A$1:$A$30)&gt;AK$3)), 1, 0)+IF(AND((AK$3-$B$2)&gt;=0,(AK$3-$B$2)&lt;30), 2,0)</f>
        <v>0</v>
      </c>
      <c r="AL143" s="113">
        <f>IF(OR(AND($F142&lt;=AL$3, $F143 &gt;= AL$3), AND($F143&lt;AL$3, WORKDAY($F143, 22,Holiday!$A$1:$A$30)&gt;AL$3)), 1, 0)+IF(AND((AL$3-$B$2)&gt;=0,(AL$3-$B$2)&lt;30), 2,0)</f>
        <v>0</v>
      </c>
      <c r="AM143" s="113">
        <f>IF(OR(AND($F142&lt;=AM$3, $F143 &gt;= AM$3), AND($F143&lt;AM$3, WORKDAY($F143, 22,Holiday!$A$1:$A$30)&gt;AM$3)), 1, 0)+IF(AND((AM$3-$B$2)&gt;=0,(AM$3-$B$2)&lt;30), 2,0)</f>
        <v>0</v>
      </c>
      <c r="AN143" s="113">
        <f>IF(OR(AND($F142&lt;=AN$3, $F143 &gt;= AN$3), AND($F143&lt;AN$3, WORKDAY($F143, 22,Holiday!$A$1:$A$30)&gt;AN$3)), 1, 0)+IF(AND((AN$3-$B$2)&gt;=0,(AN$3-$B$2)&lt;30), 2,0)</f>
        <v>0</v>
      </c>
      <c r="AO143" s="113">
        <f>IF(OR(AND($F142&lt;=AO$3, $F143 &gt;= AO$3), AND($F143&lt;AO$3, WORKDAY($F143, 22,Holiday!$A$1:$A$30)&gt;AO$3)), 1, 0)+IF(AND((AO$3-$B$2)&gt;=0,(AO$3-$B$2)&lt;30), 2,0)</f>
        <v>0</v>
      </c>
    </row>
    <row r="144" spans="2:41" ht="14.4" x14ac:dyDescent="0.25">
      <c r="B144" t="s">
        <v>154</v>
      </c>
      <c r="C144" s="112" t="s">
        <v>282</v>
      </c>
      <c r="D144" s="111">
        <v>6</v>
      </c>
      <c r="E144" s="86">
        <f t="shared" si="3"/>
        <v>9</v>
      </c>
      <c r="F144" s="121">
        <f>WORKDAY(F143,E144,Holiday!A138:A167)</f>
        <v>46267</v>
      </c>
      <c r="G144" s="113">
        <f>IF(OR(AND($F143&lt;=G$3, $F144 &gt;= G$3), AND($F144&lt;G$3, WORKDAY($F144, 22,Holiday!$A$1:$A$30)&gt;G$3)), 1, 0)+IF(AND((G$3-$B$2)&gt;=0,(G$3-$B$2)&lt;30), 2,0)</f>
        <v>0</v>
      </c>
      <c r="H144" s="113">
        <f>IF(OR(AND($F143&lt;=H$3, $F144 &gt;= H$3), AND($F144&lt;H$3, WORKDAY($F144, 22,Holiday!$A$1:$A$30)&gt;H$3)), 1, 0)+IF(AND((H$3-$B$2)&gt;=0,(H$3-$B$2)&lt;30), 2,0)</f>
        <v>0</v>
      </c>
      <c r="I144" s="113">
        <f>IF(OR(AND($F143&lt;=I$3, $F144 &gt;= I$3), AND($F144&lt;I$3, WORKDAY($F144, 22,Holiday!$A$1:$A$30)&gt;I$3)), 1, 0)+IF(AND((I$3-$B$2)&gt;=0,(I$3-$B$2)&lt;30), 2,0)</f>
        <v>0</v>
      </c>
      <c r="J144" s="113">
        <f>IF(OR(AND($F143&lt;=J$3, $F144 &gt;= J$3), AND($F144&lt;J$3, WORKDAY($F144, 22,Holiday!$A$1:$A$30)&gt;J$3)), 1, 0)+IF(AND((J$3-$B$2)&gt;=0,(J$3-$B$2)&lt;30), 2,0)</f>
        <v>0</v>
      </c>
      <c r="K144" s="113">
        <f>IF(OR(AND($F143&lt;=K$3, $F144 &gt;= K$3), AND($F144&lt;K$3, WORKDAY($F144, 22,Holiday!$A$1:$A$30)&gt;K$3)), 1, 0)+IF(AND((K$3-$B$2)&gt;=0,(K$3-$B$2)&lt;30), 2,0)</f>
        <v>0</v>
      </c>
      <c r="L144" s="113">
        <f>IF(OR(AND($F143&lt;=L$3, $F144 &gt;= L$3), AND($F144&lt;L$3, WORKDAY($F144, 22,Holiday!$A$1:$A$30)&gt;L$3)), 1, 0)+IF(AND((L$3-$B$2)&gt;=0,(L$3-$B$2)&lt;30), 2,0)</f>
        <v>0</v>
      </c>
      <c r="M144" s="113">
        <f>IF(OR(AND($F143&lt;=M$3, $F144 &gt;= M$3), AND($F144&lt;M$3, WORKDAY($F144, 22,Holiday!$A$1:$A$30)&gt;M$3)), 1, 0)+IF(AND((M$3-$B$2)&gt;=0,(M$3-$B$2)&lt;30), 2,0)</f>
        <v>0</v>
      </c>
      <c r="N144" s="113">
        <f>IF(OR(AND($F143&lt;=N$3, $F144 &gt;= N$3), AND($F144&lt;N$3, WORKDAY($F144, 22,Holiday!$A$1:$A$30)&gt;N$3)), 1, 0)+IF(AND((N$3-$B$2)&gt;=0,(N$3-$B$2)&lt;30), 2,0)</f>
        <v>1</v>
      </c>
      <c r="O144" s="113">
        <f>IF(OR(AND($F143&lt;=O$3, $F144 &gt;= O$3), AND($F144&lt;O$3, WORKDAY($F144, 22,Holiday!$A$1:$A$30)&gt;O$3)), 1, 0)+IF(AND((O$3-$B$2)&gt;=0,(O$3-$B$2)&lt;30), 2,0)</f>
        <v>0</v>
      </c>
      <c r="P144" s="113">
        <f>IF(OR(AND($F143&lt;=P$3, $F144 &gt;= P$3), AND($F144&lt;P$3, WORKDAY($F144, 22,Holiday!$A$1:$A$30)&gt;P$3)), 1, 0)+IF(AND((P$3-$B$2)&gt;=0,(P$3-$B$2)&lt;30), 2,0)</f>
        <v>0</v>
      </c>
      <c r="Q144" s="113">
        <f>IF(OR(AND($F143&lt;=Q$3, $F144 &gt;= Q$3), AND($F144&lt;Q$3, WORKDAY($F144, 22,Holiday!$A$1:$A$30)&gt;Q$3)), 1, 0)+IF(AND((Q$3-$B$2)&gt;=0,(Q$3-$B$2)&lt;30), 2,0)</f>
        <v>2</v>
      </c>
      <c r="R144" s="113">
        <f>IF(OR(AND($F143&lt;=R$3, $F144 &gt;= R$3), AND($F144&lt;R$3, WORKDAY($F144, 22,Holiday!$A$1:$A$30)&gt;R$3)), 1, 0)+IF(AND((R$3-$B$2)&gt;=0,(R$3-$B$2)&lt;30), 2,0)</f>
        <v>0</v>
      </c>
      <c r="S144" s="113">
        <f>IF(OR(AND($F143&lt;=S$3, $F144 &gt;= S$3), AND($F144&lt;S$3, WORKDAY($F144, 22,Holiday!$A$1:$A$30)&gt;S$3)), 1, 0)+IF(AND((S$3-$B$2)&gt;=0,(S$3-$B$2)&lt;30), 2,0)</f>
        <v>0</v>
      </c>
      <c r="T144" s="113">
        <f>IF(OR(AND($F143&lt;=T$3, $F144 &gt;= T$3), AND($F144&lt;T$3, WORKDAY($F144, 22,Holiday!$A$1:$A$30)&gt;T$3)), 1, 0)+IF(AND((T$3-$B$2)&gt;=0,(T$3-$B$2)&lt;30), 2,0)</f>
        <v>0</v>
      </c>
      <c r="U144" s="113">
        <f>IF(OR(AND($F143&lt;=U$3, $F144 &gt;= U$3), AND($F144&lt;U$3, WORKDAY($F144, 22,Holiday!$A$1:$A$30)&gt;U$3)), 1, 0)+IF(AND((U$3-$B$2)&gt;=0,(U$3-$B$2)&lt;30), 2,0)</f>
        <v>0</v>
      </c>
      <c r="V144" s="113">
        <f>IF(OR(AND($F143&lt;=V$3, $F144 &gt;= V$3), AND($F144&lt;V$3, WORKDAY($F144, 22,Holiday!$A$1:$A$30)&gt;V$3)), 1, 0)+IF(AND((V$3-$B$2)&gt;=0,(V$3-$B$2)&lt;30), 2,0)</f>
        <v>0</v>
      </c>
      <c r="W144" s="113">
        <f>IF(OR(AND($F143&lt;=W$3, $F144 &gt;= W$3), AND($F144&lt;W$3, WORKDAY($F144, 22,Holiday!$A$1:$A$30)&gt;W$3)), 1, 0)+IF(AND((W$3-$B$2)&gt;=0,(W$3-$B$2)&lt;30), 2,0)</f>
        <v>0</v>
      </c>
      <c r="X144" s="113">
        <f>IF(OR(AND($F143&lt;=X$3, $F144 &gt;= X$3), AND($F144&lt;X$3, WORKDAY($F144, 22,Holiday!$A$1:$A$30)&gt;X$3)), 1, 0)+IF(AND((X$3-$B$2)&gt;=0,(X$3-$B$2)&lt;30), 2,0)</f>
        <v>0</v>
      </c>
      <c r="Y144" s="113">
        <f>IF(OR(AND($F143&lt;=Y$3, $F144 &gt;= Y$3), AND($F144&lt;Y$3, WORKDAY($F144, 22,Holiday!$A$1:$A$30)&gt;Y$3)), 1, 0)+IF(AND((Y$3-$B$2)&gt;=0,(Y$3-$B$2)&lt;30), 2,0)</f>
        <v>0</v>
      </c>
      <c r="Z144" s="113">
        <f>IF(OR(AND($F143&lt;=Z$3, $F144 &gt;= Z$3), AND($F144&lt;Z$3, WORKDAY($F144, 22,Holiday!$A$1:$A$30)&gt;Z$3)), 1, 0)+IF(AND((Z$3-$B$2)&gt;=0,(Z$3-$B$2)&lt;30), 2,0)</f>
        <v>0</v>
      </c>
      <c r="AA144" s="113">
        <f>IF(OR(AND($F143&lt;=AA$3, $F144 &gt;= AA$3), AND($F144&lt;AA$3, WORKDAY($F144, 22,Holiday!$A$1:$A$30)&gt;AA$3)), 1, 0)+IF(AND((AA$3-$B$2)&gt;=0,(AA$3-$B$2)&lt;30), 2,0)</f>
        <v>0</v>
      </c>
      <c r="AB144" s="113">
        <f>IF(OR(AND($F143&lt;=AB$3, $F144 &gt;= AB$3), AND($F144&lt;AB$3, WORKDAY($F144, 22,Holiday!$A$1:$A$30)&gt;AB$3)), 1, 0)+IF(AND((AB$3-$B$2)&gt;=0,(AB$3-$B$2)&lt;30), 2,0)</f>
        <v>0</v>
      </c>
      <c r="AC144" s="113">
        <f>IF(OR(AND($F143&lt;=AC$3, $F144 &gt;= AC$3), AND($F144&lt;AC$3, WORKDAY($F144, 22,Holiday!$A$1:$A$30)&gt;AC$3)), 1, 0)+IF(AND((AC$3-$B$2)&gt;=0,(AC$3-$B$2)&lt;30), 2,0)</f>
        <v>0</v>
      </c>
      <c r="AD144" s="113">
        <f>IF(OR(AND($F143&lt;=AD$3, $F144 &gt;= AD$3), AND($F144&lt;AD$3, WORKDAY($F144, 22,Holiday!$A$1:$A$30)&gt;AD$3)), 1, 0)+IF(AND((AD$3-$B$2)&gt;=0,(AD$3-$B$2)&lt;30), 2,0)</f>
        <v>0</v>
      </c>
      <c r="AE144" s="113">
        <f>IF(OR(AND($F143&lt;=AE$3, $F144 &gt;= AE$3), AND($F144&lt;AE$3, WORKDAY($F144, 22,Holiday!$A$1:$A$30)&gt;AE$3)), 1, 0)+IF(AND((AE$3-$B$2)&gt;=0,(AE$3-$B$2)&lt;30), 2,0)</f>
        <v>0</v>
      </c>
      <c r="AF144" s="113">
        <f>IF(OR(AND($F143&lt;=AF$3, $F144 &gt;= AF$3), AND($F144&lt;AF$3, WORKDAY($F144, 22,Holiday!$A$1:$A$30)&gt;AF$3)), 1, 0)+IF(AND((AF$3-$B$2)&gt;=0,(AF$3-$B$2)&lt;30), 2,0)</f>
        <v>0</v>
      </c>
      <c r="AG144" s="113">
        <f>IF(OR(AND($F143&lt;=AG$3, $F144 &gt;= AG$3), AND($F144&lt;AG$3, WORKDAY($F144, 22,Holiday!$A$1:$A$30)&gt;AG$3)), 1, 0)+IF(AND((AG$3-$B$2)&gt;=0,(AG$3-$B$2)&lt;30), 2,0)</f>
        <v>0</v>
      </c>
      <c r="AH144" s="113">
        <f>IF(OR(AND($F143&lt;=AH$3, $F144 &gt;= AH$3), AND($F144&lt;AH$3, WORKDAY($F144, 22,Holiday!$A$1:$A$30)&gt;AH$3)), 1, 0)+IF(AND((AH$3-$B$2)&gt;=0,(AH$3-$B$2)&lt;30), 2,0)</f>
        <v>0</v>
      </c>
      <c r="AI144" s="113">
        <f>IF(OR(AND($F143&lt;=AI$3, $F144 &gt;= AI$3), AND($F144&lt;AI$3, WORKDAY($F144, 22,Holiday!$A$1:$A$30)&gt;AI$3)), 1, 0)+IF(AND((AI$3-$B$2)&gt;=0,(AI$3-$B$2)&lt;30), 2,0)</f>
        <v>0</v>
      </c>
      <c r="AJ144" s="113">
        <f>IF(OR(AND($F143&lt;=AJ$3, $F144 &gt;= AJ$3), AND($F144&lt;AJ$3, WORKDAY($F144, 22,Holiday!$A$1:$A$30)&gt;AJ$3)), 1, 0)+IF(AND((AJ$3-$B$2)&gt;=0,(AJ$3-$B$2)&lt;30), 2,0)</f>
        <v>0</v>
      </c>
      <c r="AK144" s="113">
        <f>IF(OR(AND($F143&lt;=AK$3, $F144 &gt;= AK$3), AND($F144&lt;AK$3, WORKDAY($F144, 22,Holiday!$A$1:$A$30)&gt;AK$3)), 1, 0)+IF(AND((AK$3-$B$2)&gt;=0,(AK$3-$B$2)&lt;30), 2,0)</f>
        <v>0</v>
      </c>
      <c r="AL144" s="113">
        <f>IF(OR(AND($F143&lt;=AL$3, $F144 &gt;= AL$3), AND($F144&lt;AL$3, WORKDAY($F144, 22,Holiday!$A$1:$A$30)&gt;AL$3)), 1, 0)+IF(AND((AL$3-$B$2)&gt;=0,(AL$3-$B$2)&lt;30), 2,0)</f>
        <v>0</v>
      </c>
      <c r="AM144" s="113">
        <f>IF(OR(AND($F143&lt;=AM$3, $F144 &gt;= AM$3), AND($F144&lt;AM$3, WORKDAY($F144, 22,Holiday!$A$1:$A$30)&gt;AM$3)), 1, 0)+IF(AND((AM$3-$B$2)&gt;=0,(AM$3-$B$2)&lt;30), 2,0)</f>
        <v>0</v>
      </c>
      <c r="AN144" s="113">
        <f>IF(OR(AND($F143&lt;=AN$3, $F144 &gt;= AN$3), AND($F144&lt;AN$3, WORKDAY($F144, 22,Holiday!$A$1:$A$30)&gt;AN$3)), 1, 0)+IF(AND((AN$3-$B$2)&gt;=0,(AN$3-$B$2)&lt;30), 2,0)</f>
        <v>0</v>
      </c>
      <c r="AO144" s="113">
        <f>IF(OR(AND($F143&lt;=AO$3, $F144 &gt;= AO$3), AND($F144&lt;AO$3, WORKDAY($F144, 22,Holiday!$A$1:$A$30)&gt;AO$3)), 1, 0)+IF(AND((AO$3-$B$2)&gt;=0,(AO$3-$B$2)&lt;30), 2,0)</f>
        <v>0</v>
      </c>
    </row>
    <row r="145" spans="2:41" ht="14.4" x14ac:dyDescent="0.25">
      <c r="B145" t="s">
        <v>153</v>
      </c>
      <c r="C145" s="112" t="s">
        <v>282</v>
      </c>
      <c r="D145" s="111">
        <v>6</v>
      </c>
      <c r="E145" s="86">
        <f t="shared" si="3"/>
        <v>9</v>
      </c>
      <c r="F145" s="121">
        <f>WORKDAY(F144,E145,Holiday!A139:A168)</f>
        <v>46280</v>
      </c>
      <c r="G145" s="113">
        <f>IF(OR(AND($F144&lt;=G$3, $F145 &gt;= G$3), AND($F145&lt;G$3, WORKDAY($F145, 22,Holiday!$A$1:$A$30)&gt;G$3)), 1, 0)+IF(AND((G$3-$B$2)&gt;=0,(G$3-$B$2)&lt;30), 2,0)</f>
        <v>0</v>
      </c>
      <c r="H145" s="113">
        <f>IF(OR(AND($F144&lt;=H$3, $F145 &gt;= H$3), AND($F145&lt;H$3, WORKDAY($F145, 22,Holiday!$A$1:$A$30)&gt;H$3)), 1, 0)+IF(AND((H$3-$B$2)&gt;=0,(H$3-$B$2)&lt;30), 2,0)</f>
        <v>0</v>
      </c>
      <c r="I145" s="113">
        <f>IF(OR(AND($F144&lt;=I$3, $F145 &gt;= I$3), AND($F145&lt;I$3, WORKDAY($F145, 22,Holiday!$A$1:$A$30)&gt;I$3)), 1, 0)+IF(AND((I$3-$B$2)&gt;=0,(I$3-$B$2)&lt;30), 2,0)</f>
        <v>0</v>
      </c>
      <c r="J145" s="113">
        <f>IF(OR(AND($F144&lt;=J$3, $F145 &gt;= J$3), AND($F145&lt;J$3, WORKDAY($F145, 22,Holiday!$A$1:$A$30)&gt;J$3)), 1, 0)+IF(AND((J$3-$B$2)&gt;=0,(J$3-$B$2)&lt;30), 2,0)</f>
        <v>0</v>
      </c>
      <c r="K145" s="113">
        <f>IF(OR(AND($F144&lt;=K$3, $F145 &gt;= K$3), AND($F145&lt;K$3, WORKDAY($F145, 22,Holiday!$A$1:$A$30)&gt;K$3)), 1, 0)+IF(AND((K$3-$B$2)&gt;=0,(K$3-$B$2)&lt;30), 2,0)</f>
        <v>0</v>
      </c>
      <c r="L145" s="113">
        <f>IF(OR(AND($F144&lt;=L$3, $F145 &gt;= L$3), AND($F145&lt;L$3, WORKDAY($F145, 22,Holiday!$A$1:$A$30)&gt;L$3)), 1, 0)+IF(AND((L$3-$B$2)&gt;=0,(L$3-$B$2)&lt;30), 2,0)</f>
        <v>0</v>
      </c>
      <c r="M145" s="113">
        <f>IF(OR(AND($F144&lt;=M$3, $F145 &gt;= M$3), AND($F145&lt;M$3, WORKDAY($F145, 22,Holiday!$A$1:$A$30)&gt;M$3)), 1, 0)+IF(AND((M$3-$B$2)&gt;=0,(M$3-$B$2)&lt;30), 2,0)</f>
        <v>0</v>
      </c>
      <c r="N145" s="113">
        <f>IF(OR(AND($F144&lt;=N$3, $F145 &gt;= N$3), AND($F145&lt;N$3, WORKDAY($F145, 22,Holiday!$A$1:$A$30)&gt;N$3)), 1, 0)+IF(AND((N$3-$B$2)&gt;=0,(N$3-$B$2)&lt;30), 2,0)</f>
        <v>1</v>
      </c>
      <c r="O145" s="113">
        <f>IF(OR(AND($F144&lt;=O$3, $F145 &gt;= O$3), AND($F145&lt;O$3, WORKDAY($F145, 22,Holiday!$A$1:$A$30)&gt;O$3)), 1, 0)+IF(AND((O$3-$B$2)&gt;=0,(O$3-$B$2)&lt;30), 2,0)</f>
        <v>1</v>
      </c>
      <c r="P145" s="113">
        <f>IF(OR(AND($F144&lt;=P$3, $F145 &gt;= P$3), AND($F145&lt;P$3, WORKDAY($F145, 22,Holiday!$A$1:$A$30)&gt;P$3)), 1, 0)+IF(AND((P$3-$B$2)&gt;=0,(P$3-$B$2)&lt;30), 2,0)</f>
        <v>0</v>
      </c>
      <c r="Q145" s="113">
        <f>IF(OR(AND($F144&lt;=Q$3, $F145 &gt;= Q$3), AND($F145&lt;Q$3, WORKDAY($F145, 22,Holiday!$A$1:$A$30)&gt;Q$3)), 1, 0)+IF(AND((Q$3-$B$2)&gt;=0,(Q$3-$B$2)&lt;30), 2,0)</f>
        <v>2</v>
      </c>
      <c r="R145" s="113">
        <f>IF(OR(AND($F144&lt;=R$3, $F145 &gt;= R$3), AND($F145&lt;R$3, WORKDAY($F145, 22,Holiday!$A$1:$A$30)&gt;R$3)), 1, 0)+IF(AND((R$3-$B$2)&gt;=0,(R$3-$B$2)&lt;30), 2,0)</f>
        <v>0</v>
      </c>
      <c r="S145" s="113">
        <f>IF(OR(AND($F144&lt;=S$3, $F145 &gt;= S$3), AND($F145&lt;S$3, WORKDAY($F145, 22,Holiday!$A$1:$A$30)&gt;S$3)), 1, 0)+IF(AND((S$3-$B$2)&gt;=0,(S$3-$B$2)&lt;30), 2,0)</f>
        <v>0</v>
      </c>
      <c r="T145" s="113">
        <f>IF(OR(AND($F144&lt;=T$3, $F145 &gt;= T$3), AND($F145&lt;T$3, WORKDAY($F145, 22,Holiday!$A$1:$A$30)&gt;T$3)), 1, 0)+IF(AND((T$3-$B$2)&gt;=0,(T$3-$B$2)&lt;30), 2,0)</f>
        <v>0</v>
      </c>
      <c r="U145" s="113">
        <f>IF(OR(AND($F144&lt;=U$3, $F145 &gt;= U$3), AND($F145&lt;U$3, WORKDAY($F145, 22,Holiday!$A$1:$A$30)&gt;U$3)), 1, 0)+IF(AND((U$3-$B$2)&gt;=0,(U$3-$B$2)&lt;30), 2,0)</f>
        <v>0</v>
      </c>
      <c r="V145" s="113">
        <f>IF(OR(AND($F144&lt;=V$3, $F145 &gt;= V$3), AND($F145&lt;V$3, WORKDAY($F145, 22,Holiday!$A$1:$A$30)&gt;V$3)), 1, 0)+IF(AND((V$3-$B$2)&gt;=0,(V$3-$B$2)&lt;30), 2,0)</f>
        <v>0</v>
      </c>
      <c r="W145" s="113">
        <f>IF(OR(AND($F144&lt;=W$3, $F145 &gt;= W$3), AND($F145&lt;W$3, WORKDAY($F145, 22,Holiday!$A$1:$A$30)&gt;W$3)), 1, 0)+IF(AND((W$3-$B$2)&gt;=0,(W$3-$B$2)&lt;30), 2,0)</f>
        <v>0</v>
      </c>
      <c r="X145" s="113">
        <f>IF(OR(AND($F144&lt;=X$3, $F145 &gt;= X$3), AND($F145&lt;X$3, WORKDAY($F145, 22,Holiday!$A$1:$A$30)&gt;X$3)), 1, 0)+IF(AND((X$3-$B$2)&gt;=0,(X$3-$B$2)&lt;30), 2,0)</f>
        <v>0</v>
      </c>
      <c r="Y145" s="113">
        <f>IF(OR(AND($F144&lt;=Y$3, $F145 &gt;= Y$3), AND($F145&lt;Y$3, WORKDAY($F145, 22,Holiday!$A$1:$A$30)&gt;Y$3)), 1, 0)+IF(AND((Y$3-$B$2)&gt;=0,(Y$3-$B$2)&lt;30), 2,0)</f>
        <v>0</v>
      </c>
      <c r="Z145" s="113">
        <f>IF(OR(AND($F144&lt;=Z$3, $F145 &gt;= Z$3), AND($F145&lt;Z$3, WORKDAY($F145, 22,Holiday!$A$1:$A$30)&gt;Z$3)), 1, 0)+IF(AND((Z$3-$B$2)&gt;=0,(Z$3-$B$2)&lt;30), 2,0)</f>
        <v>0</v>
      </c>
      <c r="AA145" s="113">
        <f>IF(OR(AND($F144&lt;=AA$3, $F145 &gt;= AA$3), AND($F145&lt;AA$3, WORKDAY($F145, 22,Holiday!$A$1:$A$30)&gt;AA$3)), 1, 0)+IF(AND((AA$3-$B$2)&gt;=0,(AA$3-$B$2)&lt;30), 2,0)</f>
        <v>0</v>
      </c>
      <c r="AB145" s="113">
        <f>IF(OR(AND($F144&lt;=AB$3, $F145 &gt;= AB$3), AND($F145&lt;AB$3, WORKDAY($F145, 22,Holiday!$A$1:$A$30)&gt;AB$3)), 1, 0)+IF(AND((AB$3-$B$2)&gt;=0,(AB$3-$B$2)&lt;30), 2,0)</f>
        <v>0</v>
      </c>
      <c r="AC145" s="113">
        <f>IF(OR(AND($F144&lt;=AC$3, $F145 &gt;= AC$3), AND($F145&lt;AC$3, WORKDAY($F145, 22,Holiday!$A$1:$A$30)&gt;AC$3)), 1, 0)+IF(AND((AC$3-$B$2)&gt;=0,(AC$3-$B$2)&lt;30), 2,0)</f>
        <v>0</v>
      </c>
      <c r="AD145" s="113">
        <f>IF(OR(AND($F144&lt;=AD$3, $F145 &gt;= AD$3), AND($F145&lt;AD$3, WORKDAY($F145, 22,Holiday!$A$1:$A$30)&gt;AD$3)), 1, 0)+IF(AND((AD$3-$B$2)&gt;=0,(AD$3-$B$2)&lt;30), 2,0)</f>
        <v>0</v>
      </c>
      <c r="AE145" s="113">
        <f>IF(OR(AND($F144&lt;=AE$3, $F145 &gt;= AE$3), AND($F145&lt;AE$3, WORKDAY($F145, 22,Holiday!$A$1:$A$30)&gt;AE$3)), 1, 0)+IF(AND((AE$3-$B$2)&gt;=0,(AE$3-$B$2)&lt;30), 2,0)</f>
        <v>0</v>
      </c>
      <c r="AF145" s="113">
        <f>IF(OR(AND($F144&lt;=AF$3, $F145 &gt;= AF$3), AND($F145&lt;AF$3, WORKDAY($F145, 22,Holiday!$A$1:$A$30)&gt;AF$3)), 1, 0)+IF(AND((AF$3-$B$2)&gt;=0,(AF$3-$B$2)&lt;30), 2,0)</f>
        <v>0</v>
      </c>
      <c r="AG145" s="113">
        <f>IF(OR(AND($F144&lt;=AG$3, $F145 &gt;= AG$3), AND($F145&lt;AG$3, WORKDAY($F145, 22,Holiday!$A$1:$A$30)&gt;AG$3)), 1, 0)+IF(AND((AG$3-$B$2)&gt;=0,(AG$3-$B$2)&lt;30), 2,0)</f>
        <v>0</v>
      </c>
      <c r="AH145" s="113">
        <f>IF(OR(AND($F144&lt;=AH$3, $F145 &gt;= AH$3), AND($F145&lt;AH$3, WORKDAY($F145, 22,Holiday!$A$1:$A$30)&gt;AH$3)), 1, 0)+IF(AND((AH$3-$B$2)&gt;=0,(AH$3-$B$2)&lt;30), 2,0)</f>
        <v>0</v>
      </c>
      <c r="AI145" s="113">
        <f>IF(OR(AND($F144&lt;=AI$3, $F145 &gt;= AI$3), AND($F145&lt;AI$3, WORKDAY($F145, 22,Holiday!$A$1:$A$30)&gt;AI$3)), 1, 0)+IF(AND((AI$3-$B$2)&gt;=0,(AI$3-$B$2)&lt;30), 2,0)</f>
        <v>0</v>
      </c>
      <c r="AJ145" s="113">
        <f>IF(OR(AND($F144&lt;=AJ$3, $F145 &gt;= AJ$3), AND($F145&lt;AJ$3, WORKDAY($F145, 22,Holiday!$A$1:$A$30)&gt;AJ$3)), 1, 0)+IF(AND((AJ$3-$B$2)&gt;=0,(AJ$3-$B$2)&lt;30), 2,0)</f>
        <v>0</v>
      </c>
      <c r="AK145" s="113">
        <f>IF(OR(AND($F144&lt;=AK$3, $F145 &gt;= AK$3), AND($F145&lt;AK$3, WORKDAY($F145, 22,Holiday!$A$1:$A$30)&gt;AK$3)), 1, 0)+IF(AND((AK$3-$B$2)&gt;=0,(AK$3-$B$2)&lt;30), 2,0)</f>
        <v>0</v>
      </c>
      <c r="AL145" s="113">
        <f>IF(OR(AND($F144&lt;=AL$3, $F145 &gt;= AL$3), AND($F145&lt;AL$3, WORKDAY($F145, 22,Holiday!$A$1:$A$30)&gt;AL$3)), 1, 0)+IF(AND((AL$3-$B$2)&gt;=0,(AL$3-$B$2)&lt;30), 2,0)</f>
        <v>0</v>
      </c>
      <c r="AM145" s="113">
        <f>IF(OR(AND($F144&lt;=AM$3, $F145 &gt;= AM$3), AND($F145&lt;AM$3, WORKDAY($F145, 22,Holiday!$A$1:$A$30)&gt;AM$3)), 1, 0)+IF(AND((AM$3-$B$2)&gt;=0,(AM$3-$B$2)&lt;30), 2,0)</f>
        <v>0</v>
      </c>
      <c r="AN145" s="113">
        <f>IF(OR(AND($F144&lt;=AN$3, $F145 &gt;= AN$3), AND($F145&lt;AN$3, WORKDAY($F145, 22,Holiday!$A$1:$A$30)&gt;AN$3)), 1, 0)+IF(AND((AN$3-$B$2)&gt;=0,(AN$3-$B$2)&lt;30), 2,0)</f>
        <v>0</v>
      </c>
      <c r="AO145" s="113">
        <f>IF(OR(AND($F144&lt;=AO$3, $F145 &gt;= AO$3), AND($F145&lt;AO$3, WORKDAY($F145, 22,Holiday!$A$1:$A$30)&gt;AO$3)), 1, 0)+IF(AND((AO$3-$B$2)&gt;=0,(AO$3-$B$2)&lt;30), 2,0)</f>
        <v>0</v>
      </c>
    </row>
    <row r="146" spans="2:41" ht="14.4" x14ac:dyDescent="0.25">
      <c r="B146" t="s">
        <v>149</v>
      </c>
      <c r="C146" s="112" t="s">
        <v>282</v>
      </c>
      <c r="D146" s="111">
        <v>6</v>
      </c>
      <c r="E146" s="86">
        <f t="shared" si="3"/>
        <v>9</v>
      </c>
      <c r="F146" s="121">
        <f>WORKDAY(F145,E146,Holiday!A140:A169)</f>
        <v>46293</v>
      </c>
      <c r="G146" s="113">
        <f>IF(OR(AND($F145&lt;=G$3, $F146 &gt;= G$3), AND($F146&lt;G$3, WORKDAY($F146, 22,Holiday!$A$1:$A$30)&gt;G$3)), 1, 0)+IF(AND((G$3-$B$2)&gt;=0,(G$3-$B$2)&lt;30), 2,0)</f>
        <v>0</v>
      </c>
      <c r="H146" s="113">
        <f>IF(OR(AND($F145&lt;=H$3, $F146 &gt;= H$3), AND($F146&lt;H$3, WORKDAY($F146, 22,Holiday!$A$1:$A$30)&gt;H$3)), 1, 0)+IF(AND((H$3-$B$2)&gt;=0,(H$3-$B$2)&lt;30), 2,0)</f>
        <v>0</v>
      </c>
      <c r="I146" s="113">
        <f>IF(OR(AND($F145&lt;=I$3, $F146 &gt;= I$3), AND($F146&lt;I$3, WORKDAY($F146, 22,Holiday!$A$1:$A$30)&gt;I$3)), 1, 0)+IF(AND((I$3-$B$2)&gt;=0,(I$3-$B$2)&lt;30), 2,0)</f>
        <v>0</v>
      </c>
      <c r="J146" s="113">
        <f>IF(OR(AND($F145&lt;=J$3, $F146 &gt;= J$3), AND($F146&lt;J$3, WORKDAY($F146, 22,Holiday!$A$1:$A$30)&gt;J$3)), 1, 0)+IF(AND((J$3-$B$2)&gt;=0,(J$3-$B$2)&lt;30), 2,0)</f>
        <v>0</v>
      </c>
      <c r="K146" s="113">
        <f>IF(OR(AND($F145&lt;=K$3, $F146 &gt;= K$3), AND($F146&lt;K$3, WORKDAY($F146, 22,Holiday!$A$1:$A$30)&gt;K$3)), 1, 0)+IF(AND((K$3-$B$2)&gt;=0,(K$3-$B$2)&lt;30), 2,0)</f>
        <v>0</v>
      </c>
      <c r="L146" s="113">
        <f>IF(OR(AND($F145&lt;=L$3, $F146 &gt;= L$3), AND($F146&lt;L$3, WORKDAY($F146, 22,Holiday!$A$1:$A$30)&gt;L$3)), 1, 0)+IF(AND((L$3-$B$2)&gt;=0,(L$3-$B$2)&lt;30), 2,0)</f>
        <v>0</v>
      </c>
      <c r="M146" s="113">
        <f>IF(OR(AND($F145&lt;=M$3, $F146 &gt;= M$3), AND($F146&lt;M$3, WORKDAY($F146, 22,Holiday!$A$1:$A$30)&gt;M$3)), 1, 0)+IF(AND((M$3-$B$2)&gt;=0,(M$3-$B$2)&lt;30), 2,0)</f>
        <v>0</v>
      </c>
      <c r="N146" s="113">
        <f>IF(OR(AND($F145&lt;=N$3, $F146 &gt;= N$3), AND($F146&lt;N$3, WORKDAY($F146, 22,Holiday!$A$1:$A$30)&gt;N$3)), 1, 0)+IF(AND((N$3-$B$2)&gt;=0,(N$3-$B$2)&lt;30), 2,0)</f>
        <v>0</v>
      </c>
      <c r="O146" s="113">
        <f>IF(OR(AND($F145&lt;=O$3, $F146 &gt;= O$3), AND($F146&lt;O$3, WORKDAY($F146, 22,Holiday!$A$1:$A$30)&gt;O$3)), 1, 0)+IF(AND((O$3-$B$2)&gt;=0,(O$3-$B$2)&lt;30), 2,0)</f>
        <v>1</v>
      </c>
      <c r="P146" s="113">
        <f>IF(OR(AND($F145&lt;=P$3, $F146 &gt;= P$3), AND($F146&lt;P$3, WORKDAY($F146, 22,Holiday!$A$1:$A$30)&gt;P$3)), 1, 0)+IF(AND((P$3-$B$2)&gt;=0,(P$3-$B$2)&lt;30), 2,0)</f>
        <v>0</v>
      </c>
      <c r="Q146" s="113">
        <f>IF(OR(AND($F145&lt;=Q$3, $F146 &gt;= Q$3), AND($F146&lt;Q$3, WORKDAY($F146, 22,Holiday!$A$1:$A$30)&gt;Q$3)), 1, 0)+IF(AND((Q$3-$B$2)&gt;=0,(Q$3-$B$2)&lt;30), 2,0)</f>
        <v>2</v>
      </c>
      <c r="R146" s="113">
        <f>IF(OR(AND($F145&lt;=R$3, $F146 &gt;= R$3), AND($F146&lt;R$3, WORKDAY($F146, 22,Holiday!$A$1:$A$30)&gt;R$3)), 1, 0)+IF(AND((R$3-$B$2)&gt;=0,(R$3-$B$2)&lt;30), 2,0)</f>
        <v>0</v>
      </c>
      <c r="S146" s="113">
        <f>IF(OR(AND($F145&lt;=S$3, $F146 &gt;= S$3), AND($F146&lt;S$3, WORKDAY($F146, 22,Holiday!$A$1:$A$30)&gt;S$3)), 1, 0)+IF(AND((S$3-$B$2)&gt;=0,(S$3-$B$2)&lt;30), 2,0)</f>
        <v>0</v>
      </c>
      <c r="T146" s="113">
        <f>IF(OR(AND($F145&lt;=T$3, $F146 &gt;= T$3), AND($F146&lt;T$3, WORKDAY($F146, 22,Holiday!$A$1:$A$30)&gt;T$3)), 1, 0)+IF(AND((T$3-$B$2)&gt;=0,(T$3-$B$2)&lt;30), 2,0)</f>
        <v>0</v>
      </c>
      <c r="U146" s="113">
        <f>IF(OR(AND($F145&lt;=U$3, $F146 &gt;= U$3), AND($F146&lt;U$3, WORKDAY($F146, 22,Holiday!$A$1:$A$30)&gt;U$3)), 1, 0)+IF(AND((U$3-$B$2)&gt;=0,(U$3-$B$2)&lt;30), 2,0)</f>
        <v>0</v>
      </c>
      <c r="V146" s="113">
        <f>IF(OR(AND($F145&lt;=V$3, $F146 &gt;= V$3), AND($F146&lt;V$3, WORKDAY($F146, 22,Holiday!$A$1:$A$30)&gt;V$3)), 1, 0)+IF(AND((V$3-$B$2)&gt;=0,(V$3-$B$2)&lt;30), 2,0)</f>
        <v>0</v>
      </c>
      <c r="W146" s="113">
        <f>IF(OR(AND($F145&lt;=W$3, $F146 &gt;= W$3), AND($F146&lt;W$3, WORKDAY($F146, 22,Holiday!$A$1:$A$30)&gt;W$3)), 1, 0)+IF(AND((W$3-$B$2)&gt;=0,(W$3-$B$2)&lt;30), 2,0)</f>
        <v>0</v>
      </c>
      <c r="X146" s="113">
        <f>IF(OR(AND($F145&lt;=X$3, $F146 &gt;= X$3), AND($F146&lt;X$3, WORKDAY($F146, 22,Holiday!$A$1:$A$30)&gt;X$3)), 1, 0)+IF(AND((X$3-$B$2)&gt;=0,(X$3-$B$2)&lt;30), 2,0)</f>
        <v>0</v>
      </c>
      <c r="Y146" s="113">
        <f>IF(OR(AND($F145&lt;=Y$3, $F146 &gt;= Y$3), AND($F146&lt;Y$3, WORKDAY($F146, 22,Holiday!$A$1:$A$30)&gt;Y$3)), 1, 0)+IF(AND((Y$3-$B$2)&gt;=0,(Y$3-$B$2)&lt;30), 2,0)</f>
        <v>0</v>
      </c>
      <c r="Z146" s="113">
        <f>IF(OR(AND($F145&lt;=Z$3, $F146 &gt;= Z$3), AND($F146&lt;Z$3, WORKDAY($F146, 22,Holiday!$A$1:$A$30)&gt;Z$3)), 1, 0)+IF(AND((Z$3-$B$2)&gt;=0,(Z$3-$B$2)&lt;30), 2,0)</f>
        <v>0</v>
      </c>
      <c r="AA146" s="113">
        <f>IF(OR(AND($F145&lt;=AA$3, $F146 &gt;= AA$3), AND($F146&lt;AA$3, WORKDAY($F146, 22,Holiday!$A$1:$A$30)&gt;AA$3)), 1, 0)+IF(AND((AA$3-$B$2)&gt;=0,(AA$3-$B$2)&lt;30), 2,0)</f>
        <v>0</v>
      </c>
      <c r="AB146" s="113">
        <f>IF(OR(AND($F145&lt;=AB$3, $F146 &gt;= AB$3), AND($F146&lt;AB$3, WORKDAY($F146, 22,Holiday!$A$1:$A$30)&gt;AB$3)), 1, 0)+IF(AND((AB$3-$B$2)&gt;=0,(AB$3-$B$2)&lt;30), 2,0)</f>
        <v>0</v>
      </c>
      <c r="AC146" s="113">
        <f>IF(OR(AND($F145&lt;=AC$3, $F146 &gt;= AC$3), AND($F146&lt;AC$3, WORKDAY($F146, 22,Holiday!$A$1:$A$30)&gt;AC$3)), 1, 0)+IF(AND((AC$3-$B$2)&gt;=0,(AC$3-$B$2)&lt;30), 2,0)</f>
        <v>0</v>
      </c>
      <c r="AD146" s="113">
        <f>IF(OR(AND($F145&lt;=AD$3, $F146 &gt;= AD$3), AND($F146&lt;AD$3, WORKDAY($F146, 22,Holiday!$A$1:$A$30)&gt;AD$3)), 1, 0)+IF(AND((AD$3-$B$2)&gt;=0,(AD$3-$B$2)&lt;30), 2,0)</f>
        <v>0</v>
      </c>
      <c r="AE146" s="113">
        <f>IF(OR(AND($F145&lt;=AE$3, $F146 &gt;= AE$3), AND($F146&lt;AE$3, WORKDAY($F146, 22,Holiday!$A$1:$A$30)&gt;AE$3)), 1, 0)+IF(AND((AE$3-$B$2)&gt;=0,(AE$3-$B$2)&lt;30), 2,0)</f>
        <v>0</v>
      </c>
      <c r="AF146" s="113">
        <f>IF(OR(AND($F145&lt;=AF$3, $F146 &gt;= AF$3), AND($F146&lt;AF$3, WORKDAY($F146, 22,Holiday!$A$1:$A$30)&gt;AF$3)), 1, 0)+IF(AND((AF$3-$B$2)&gt;=0,(AF$3-$B$2)&lt;30), 2,0)</f>
        <v>0</v>
      </c>
      <c r="AG146" s="113">
        <f>IF(OR(AND($F145&lt;=AG$3, $F146 &gt;= AG$3), AND($F146&lt;AG$3, WORKDAY($F146, 22,Holiday!$A$1:$A$30)&gt;AG$3)), 1, 0)+IF(AND((AG$3-$B$2)&gt;=0,(AG$3-$B$2)&lt;30), 2,0)</f>
        <v>0</v>
      </c>
      <c r="AH146" s="113">
        <f>IF(OR(AND($F145&lt;=AH$3, $F146 &gt;= AH$3), AND($F146&lt;AH$3, WORKDAY($F146, 22,Holiday!$A$1:$A$30)&gt;AH$3)), 1, 0)+IF(AND((AH$3-$B$2)&gt;=0,(AH$3-$B$2)&lt;30), 2,0)</f>
        <v>0</v>
      </c>
      <c r="AI146" s="113">
        <f>IF(OR(AND($F145&lt;=AI$3, $F146 &gt;= AI$3), AND($F146&lt;AI$3, WORKDAY($F146, 22,Holiday!$A$1:$A$30)&gt;AI$3)), 1, 0)+IF(AND((AI$3-$B$2)&gt;=0,(AI$3-$B$2)&lt;30), 2,0)</f>
        <v>0</v>
      </c>
      <c r="AJ146" s="113">
        <f>IF(OR(AND($F145&lt;=AJ$3, $F146 &gt;= AJ$3), AND($F146&lt;AJ$3, WORKDAY($F146, 22,Holiday!$A$1:$A$30)&gt;AJ$3)), 1, 0)+IF(AND((AJ$3-$B$2)&gt;=0,(AJ$3-$B$2)&lt;30), 2,0)</f>
        <v>0</v>
      </c>
      <c r="AK146" s="113">
        <f>IF(OR(AND($F145&lt;=AK$3, $F146 &gt;= AK$3), AND($F146&lt;AK$3, WORKDAY($F146, 22,Holiday!$A$1:$A$30)&gt;AK$3)), 1, 0)+IF(AND((AK$3-$B$2)&gt;=0,(AK$3-$B$2)&lt;30), 2,0)</f>
        <v>0</v>
      </c>
      <c r="AL146" s="113">
        <f>IF(OR(AND($F145&lt;=AL$3, $F146 &gt;= AL$3), AND($F146&lt;AL$3, WORKDAY($F146, 22,Holiday!$A$1:$A$30)&gt;AL$3)), 1, 0)+IF(AND((AL$3-$B$2)&gt;=0,(AL$3-$B$2)&lt;30), 2,0)</f>
        <v>0</v>
      </c>
      <c r="AM146" s="113">
        <f>IF(OR(AND($F145&lt;=AM$3, $F146 &gt;= AM$3), AND($F146&lt;AM$3, WORKDAY($F146, 22,Holiday!$A$1:$A$30)&gt;AM$3)), 1, 0)+IF(AND((AM$3-$B$2)&gt;=0,(AM$3-$B$2)&lt;30), 2,0)</f>
        <v>0</v>
      </c>
      <c r="AN146" s="113">
        <f>IF(OR(AND($F145&lt;=AN$3, $F146 &gt;= AN$3), AND($F146&lt;AN$3, WORKDAY($F146, 22,Holiday!$A$1:$A$30)&gt;AN$3)), 1, 0)+IF(AND((AN$3-$B$2)&gt;=0,(AN$3-$B$2)&lt;30), 2,0)</f>
        <v>0</v>
      </c>
      <c r="AO146" s="113">
        <f>IF(OR(AND($F145&lt;=AO$3, $F146 &gt;= AO$3), AND($F146&lt;AO$3, WORKDAY($F146, 22,Holiday!$A$1:$A$30)&gt;AO$3)), 1, 0)+IF(AND((AO$3-$B$2)&gt;=0,(AO$3-$B$2)&lt;30), 2,0)</f>
        <v>0</v>
      </c>
    </row>
    <row r="147" spans="2:41" ht="14.4" x14ac:dyDescent="0.25">
      <c r="B147" t="s">
        <v>152</v>
      </c>
      <c r="C147" s="112" t="s">
        <v>282</v>
      </c>
      <c r="D147" s="111">
        <v>6</v>
      </c>
      <c r="E147" s="86">
        <f t="shared" si="3"/>
        <v>9</v>
      </c>
      <c r="F147" s="121">
        <f>WORKDAY(F146,E147,Holiday!A141:A170)</f>
        <v>46304</v>
      </c>
      <c r="G147" s="113">
        <f>IF(OR(AND($F146&lt;=G$3, $F147 &gt;= G$3), AND($F147&lt;G$3, WORKDAY($F147, 22,Holiday!$A$1:$A$30)&gt;G$3)), 1, 0)+IF(AND((G$3-$B$2)&gt;=0,(G$3-$B$2)&lt;30), 2,0)</f>
        <v>0</v>
      </c>
      <c r="H147" s="113">
        <f>IF(OR(AND($F146&lt;=H$3, $F147 &gt;= H$3), AND($F147&lt;H$3, WORKDAY($F147, 22,Holiday!$A$1:$A$30)&gt;H$3)), 1, 0)+IF(AND((H$3-$B$2)&gt;=0,(H$3-$B$2)&lt;30), 2,0)</f>
        <v>0</v>
      </c>
      <c r="I147" s="113">
        <f>IF(OR(AND($F146&lt;=I$3, $F147 &gt;= I$3), AND($F147&lt;I$3, WORKDAY($F147, 22,Holiday!$A$1:$A$30)&gt;I$3)), 1, 0)+IF(AND((I$3-$B$2)&gt;=0,(I$3-$B$2)&lt;30), 2,0)</f>
        <v>0</v>
      </c>
      <c r="J147" s="113">
        <f>IF(OR(AND($F146&lt;=J$3, $F147 &gt;= J$3), AND($F147&lt;J$3, WORKDAY($F147, 22,Holiday!$A$1:$A$30)&gt;J$3)), 1, 0)+IF(AND((J$3-$B$2)&gt;=0,(J$3-$B$2)&lt;30), 2,0)</f>
        <v>0</v>
      </c>
      <c r="K147" s="113">
        <f>IF(OR(AND($F146&lt;=K$3, $F147 &gt;= K$3), AND($F147&lt;K$3, WORKDAY($F147, 22,Holiday!$A$1:$A$30)&gt;K$3)), 1, 0)+IF(AND((K$3-$B$2)&gt;=0,(K$3-$B$2)&lt;30), 2,0)</f>
        <v>0</v>
      </c>
      <c r="L147" s="113">
        <f>IF(OR(AND($F146&lt;=L$3, $F147 &gt;= L$3), AND($F147&lt;L$3, WORKDAY($F147, 22,Holiday!$A$1:$A$30)&gt;L$3)), 1, 0)+IF(AND((L$3-$B$2)&gt;=0,(L$3-$B$2)&lt;30), 2,0)</f>
        <v>0</v>
      </c>
      <c r="M147" s="113">
        <f>IF(OR(AND($F146&lt;=M$3, $F147 &gt;= M$3), AND($F147&lt;M$3, WORKDAY($F147, 22,Holiday!$A$1:$A$30)&gt;M$3)), 1, 0)+IF(AND((M$3-$B$2)&gt;=0,(M$3-$B$2)&lt;30), 2,0)</f>
        <v>0</v>
      </c>
      <c r="N147" s="113">
        <f>IF(OR(AND($F146&lt;=N$3, $F147 &gt;= N$3), AND($F147&lt;N$3, WORKDAY($F147, 22,Holiday!$A$1:$A$30)&gt;N$3)), 1, 0)+IF(AND((N$3-$B$2)&gt;=0,(N$3-$B$2)&lt;30), 2,0)</f>
        <v>0</v>
      </c>
      <c r="O147" s="113">
        <f>IF(OR(AND($F146&lt;=O$3, $F147 &gt;= O$3), AND($F147&lt;O$3, WORKDAY($F147, 22,Holiday!$A$1:$A$30)&gt;O$3)), 1, 0)+IF(AND((O$3-$B$2)&gt;=0,(O$3-$B$2)&lt;30), 2,0)</f>
        <v>1</v>
      </c>
      <c r="P147" s="113">
        <f>IF(OR(AND($F146&lt;=P$3, $F147 &gt;= P$3), AND($F147&lt;P$3, WORKDAY($F147, 22,Holiday!$A$1:$A$30)&gt;P$3)), 1, 0)+IF(AND((P$3-$B$2)&gt;=0,(P$3-$B$2)&lt;30), 2,0)</f>
        <v>0</v>
      </c>
      <c r="Q147" s="113">
        <f>IF(OR(AND($F146&lt;=Q$3, $F147 &gt;= Q$3), AND($F147&lt;Q$3, WORKDAY($F147, 22,Holiday!$A$1:$A$30)&gt;Q$3)), 1, 0)+IF(AND((Q$3-$B$2)&gt;=0,(Q$3-$B$2)&lt;30), 2,0)</f>
        <v>2</v>
      </c>
      <c r="R147" s="113">
        <f>IF(OR(AND($F146&lt;=R$3, $F147 &gt;= R$3), AND($F147&lt;R$3, WORKDAY($F147, 22,Holiday!$A$1:$A$30)&gt;R$3)), 1, 0)+IF(AND((R$3-$B$2)&gt;=0,(R$3-$B$2)&lt;30), 2,0)</f>
        <v>0</v>
      </c>
      <c r="S147" s="113">
        <f>IF(OR(AND($F146&lt;=S$3, $F147 &gt;= S$3), AND($F147&lt;S$3, WORKDAY($F147, 22,Holiday!$A$1:$A$30)&gt;S$3)), 1, 0)+IF(AND((S$3-$B$2)&gt;=0,(S$3-$B$2)&lt;30), 2,0)</f>
        <v>0</v>
      </c>
      <c r="T147" s="113">
        <f>IF(OR(AND($F146&lt;=T$3, $F147 &gt;= T$3), AND($F147&lt;T$3, WORKDAY($F147, 22,Holiday!$A$1:$A$30)&gt;T$3)), 1, 0)+IF(AND((T$3-$B$2)&gt;=0,(T$3-$B$2)&lt;30), 2,0)</f>
        <v>0</v>
      </c>
      <c r="U147" s="113">
        <f>IF(OR(AND($F146&lt;=U$3, $F147 &gt;= U$3), AND($F147&lt;U$3, WORKDAY($F147, 22,Holiday!$A$1:$A$30)&gt;U$3)), 1, 0)+IF(AND((U$3-$B$2)&gt;=0,(U$3-$B$2)&lt;30), 2,0)</f>
        <v>0</v>
      </c>
      <c r="V147" s="113">
        <f>IF(OR(AND($F146&lt;=V$3, $F147 &gt;= V$3), AND($F147&lt;V$3, WORKDAY($F147, 22,Holiday!$A$1:$A$30)&gt;V$3)), 1, 0)+IF(AND((V$3-$B$2)&gt;=0,(V$3-$B$2)&lt;30), 2,0)</f>
        <v>0</v>
      </c>
      <c r="W147" s="113">
        <f>IF(OR(AND($F146&lt;=W$3, $F147 &gt;= W$3), AND($F147&lt;W$3, WORKDAY($F147, 22,Holiday!$A$1:$A$30)&gt;W$3)), 1, 0)+IF(AND((W$3-$B$2)&gt;=0,(W$3-$B$2)&lt;30), 2,0)</f>
        <v>0</v>
      </c>
      <c r="X147" s="113">
        <f>IF(OR(AND($F146&lt;=X$3, $F147 &gt;= X$3), AND($F147&lt;X$3, WORKDAY($F147, 22,Holiday!$A$1:$A$30)&gt;X$3)), 1, 0)+IF(AND((X$3-$B$2)&gt;=0,(X$3-$B$2)&lt;30), 2,0)</f>
        <v>0</v>
      </c>
      <c r="Y147" s="113">
        <f>IF(OR(AND($F146&lt;=Y$3, $F147 &gt;= Y$3), AND($F147&lt;Y$3, WORKDAY($F147, 22,Holiday!$A$1:$A$30)&gt;Y$3)), 1, 0)+IF(AND((Y$3-$B$2)&gt;=0,(Y$3-$B$2)&lt;30), 2,0)</f>
        <v>0</v>
      </c>
      <c r="Z147" s="113">
        <f>IF(OR(AND($F146&lt;=Z$3, $F147 &gt;= Z$3), AND($F147&lt;Z$3, WORKDAY($F147, 22,Holiday!$A$1:$A$30)&gt;Z$3)), 1, 0)+IF(AND((Z$3-$B$2)&gt;=0,(Z$3-$B$2)&lt;30), 2,0)</f>
        <v>0</v>
      </c>
      <c r="AA147" s="113">
        <f>IF(OR(AND($F146&lt;=AA$3, $F147 &gt;= AA$3), AND($F147&lt;AA$3, WORKDAY($F147, 22,Holiday!$A$1:$A$30)&gt;AA$3)), 1, 0)+IF(AND((AA$3-$B$2)&gt;=0,(AA$3-$B$2)&lt;30), 2,0)</f>
        <v>0</v>
      </c>
      <c r="AB147" s="113">
        <f>IF(OR(AND($F146&lt;=AB$3, $F147 &gt;= AB$3), AND($F147&lt;AB$3, WORKDAY($F147, 22,Holiday!$A$1:$A$30)&gt;AB$3)), 1, 0)+IF(AND((AB$3-$B$2)&gt;=0,(AB$3-$B$2)&lt;30), 2,0)</f>
        <v>0</v>
      </c>
      <c r="AC147" s="113">
        <f>IF(OR(AND($F146&lt;=AC$3, $F147 &gt;= AC$3), AND($F147&lt;AC$3, WORKDAY($F147, 22,Holiday!$A$1:$A$30)&gt;AC$3)), 1, 0)+IF(AND((AC$3-$B$2)&gt;=0,(AC$3-$B$2)&lt;30), 2,0)</f>
        <v>0</v>
      </c>
      <c r="AD147" s="113">
        <f>IF(OR(AND($F146&lt;=AD$3, $F147 &gt;= AD$3), AND($F147&lt;AD$3, WORKDAY($F147, 22,Holiday!$A$1:$A$30)&gt;AD$3)), 1, 0)+IF(AND((AD$3-$B$2)&gt;=0,(AD$3-$B$2)&lt;30), 2,0)</f>
        <v>0</v>
      </c>
      <c r="AE147" s="113">
        <f>IF(OR(AND($F146&lt;=AE$3, $F147 &gt;= AE$3), AND($F147&lt;AE$3, WORKDAY($F147, 22,Holiday!$A$1:$A$30)&gt;AE$3)), 1, 0)+IF(AND((AE$3-$B$2)&gt;=0,(AE$3-$B$2)&lt;30), 2,0)</f>
        <v>0</v>
      </c>
      <c r="AF147" s="113">
        <f>IF(OR(AND($F146&lt;=AF$3, $F147 &gt;= AF$3), AND($F147&lt;AF$3, WORKDAY($F147, 22,Holiday!$A$1:$A$30)&gt;AF$3)), 1, 0)+IF(AND((AF$3-$B$2)&gt;=0,(AF$3-$B$2)&lt;30), 2,0)</f>
        <v>0</v>
      </c>
      <c r="AG147" s="113">
        <f>IF(OR(AND($F146&lt;=AG$3, $F147 &gt;= AG$3), AND($F147&lt;AG$3, WORKDAY($F147, 22,Holiday!$A$1:$A$30)&gt;AG$3)), 1, 0)+IF(AND((AG$3-$B$2)&gt;=0,(AG$3-$B$2)&lt;30), 2,0)</f>
        <v>0</v>
      </c>
      <c r="AH147" s="113">
        <f>IF(OR(AND($F146&lt;=AH$3, $F147 &gt;= AH$3), AND($F147&lt;AH$3, WORKDAY($F147, 22,Holiday!$A$1:$A$30)&gt;AH$3)), 1, 0)+IF(AND((AH$3-$B$2)&gt;=0,(AH$3-$B$2)&lt;30), 2,0)</f>
        <v>0</v>
      </c>
      <c r="AI147" s="113">
        <f>IF(OR(AND($F146&lt;=AI$3, $F147 &gt;= AI$3), AND($F147&lt;AI$3, WORKDAY($F147, 22,Holiday!$A$1:$A$30)&gt;AI$3)), 1, 0)+IF(AND((AI$3-$B$2)&gt;=0,(AI$3-$B$2)&lt;30), 2,0)</f>
        <v>0</v>
      </c>
      <c r="AJ147" s="113">
        <f>IF(OR(AND($F146&lt;=AJ$3, $F147 &gt;= AJ$3), AND($F147&lt;AJ$3, WORKDAY($F147, 22,Holiday!$A$1:$A$30)&gt;AJ$3)), 1, 0)+IF(AND((AJ$3-$B$2)&gt;=0,(AJ$3-$B$2)&lt;30), 2,0)</f>
        <v>0</v>
      </c>
      <c r="AK147" s="113">
        <f>IF(OR(AND($F146&lt;=AK$3, $F147 &gt;= AK$3), AND($F147&lt;AK$3, WORKDAY($F147, 22,Holiday!$A$1:$A$30)&gt;AK$3)), 1, 0)+IF(AND((AK$3-$B$2)&gt;=0,(AK$3-$B$2)&lt;30), 2,0)</f>
        <v>0</v>
      </c>
      <c r="AL147" s="113">
        <f>IF(OR(AND($F146&lt;=AL$3, $F147 &gt;= AL$3), AND($F147&lt;AL$3, WORKDAY($F147, 22,Holiday!$A$1:$A$30)&gt;AL$3)), 1, 0)+IF(AND((AL$3-$B$2)&gt;=0,(AL$3-$B$2)&lt;30), 2,0)</f>
        <v>0</v>
      </c>
      <c r="AM147" s="113">
        <f>IF(OR(AND($F146&lt;=AM$3, $F147 &gt;= AM$3), AND($F147&lt;AM$3, WORKDAY($F147, 22,Holiday!$A$1:$A$30)&gt;AM$3)), 1, 0)+IF(AND((AM$3-$B$2)&gt;=0,(AM$3-$B$2)&lt;30), 2,0)</f>
        <v>0</v>
      </c>
      <c r="AN147" s="113">
        <f>IF(OR(AND($F146&lt;=AN$3, $F147 &gt;= AN$3), AND($F147&lt;AN$3, WORKDAY($F147, 22,Holiday!$A$1:$A$30)&gt;AN$3)), 1, 0)+IF(AND((AN$3-$B$2)&gt;=0,(AN$3-$B$2)&lt;30), 2,0)</f>
        <v>0</v>
      </c>
      <c r="AO147" s="113">
        <f>IF(OR(AND($F146&lt;=AO$3, $F147 &gt;= AO$3), AND($F147&lt;AO$3, WORKDAY($F147, 22,Holiday!$A$1:$A$30)&gt;AO$3)), 1, 0)+IF(AND((AO$3-$B$2)&gt;=0,(AO$3-$B$2)&lt;30), 2,0)</f>
        <v>0</v>
      </c>
    </row>
    <row r="148" spans="2:41" ht="14.4" x14ac:dyDescent="0.25">
      <c r="B148" t="s">
        <v>150</v>
      </c>
      <c r="C148" s="112" t="s">
        <v>282</v>
      </c>
      <c r="D148" s="111">
        <v>6</v>
      </c>
      <c r="E148" s="86">
        <f t="shared" si="3"/>
        <v>9</v>
      </c>
      <c r="F148" s="121">
        <f>WORKDAY(F147,E148,Holiday!A142:A171)</f>
        <v>46317</v>
      </c>
      <c r="G148" s="113">
        <f>IF(OR(AND($F147&lt;=G$3, $F148 &gt;= G$3), AND($F148&lt;G$3, WORKDAY($F148, 22,Holiday!$A$1:$A$30)&gt;G$3)), 1, 0)+IF(AND((G$3-$B$2)&gt;=0,(G$3-$B$2)&lt;30), 2,0)</f>
        <v>0</v>
      </c>
      <c r="H148" s="113">
        <f>IF(OR(AND($F147&lt;=H$3, $F148 &gt;= H$3), AND($F148&lt;H$3, WORKDAY($F148, 22,Holiday!$A$1:$A$30)&gt;H$3)), 1, 0)+IF(AND((H$3-$B$2)&gt;=0,(H$3-$B$2)&lt;30), 2,0)</f>
        <v>0</v>
      </c>
      <c r="I148" s="113">
        <f>IF(OR(AND($F147&lt;=I$3, $F148 &gt;= I$3), AND($F148&lt;I$3, WORKDAY($F148, 22,Holiday!$A$1:$A$30)&gt;I$3)), 1, 0)+IF(AND((I$3-$B$2)&gt;=0,(I$3-$B$2)&lt;30), 2,0)</f>
        <v>0</v>
      </c>
      <c r="J148" s="113">
        <f>IF(OR(AND($F147&lt;=J$3, $F148 &gt;= J$3), AND($F148&lt;J$3, WORKDAY($F148, 22,Holiday!$A$1:$A$30)&gt;J$3)), 1, 0)+IF(AND((J$3-$B$2)&gt;=0,(J$3-$B$2)&lt;30), 2,0)</f>
        <v>0</v>
      </c>
      <c r="K148" s="113">
        <f>IF(OR(AND($F147&lt;=K$3, $F148 &gt;= K$3), AND($F148&lt;K$3, WORKDAY($F148, 22,Holiday!$A$1:$A$30)&gt;K$3)), 1, 0)+IF(AND((K$3-$B$2)&gt;=0,(K$3-$B$2)&lt;30), 2,0)</f>
        <v>0</v>
      </c>
      <c r="L148" s="113">
        <f>IF(OR(AND($F147&lt;=L$3, $F148 &gt;= L$3), AND($F148&lt;L$3, WORKDAY($F148, 22,Holiday!$A$1:$A$30)&gt;L$3)), 1, 0)+IF(AND((L$3-$B$2)&gt;=0,(L$3-$B$2)&lt;30), 2,0)</f>
        <v>0</v>
      </c>
      <c r="M148" s="113">
        <f>IF(OR(AND($F147&lt;=M$3, $F148 &gt;= M$3), AND($F148&lt;M$3, WORKDAY($F148, 22,Holiday!$A$1:$A$30)&gt;M$3)), 1, 0)+IF(AND((M$3-$B$2)&gt;=0,(M$3-$B$2)&lt;30), 2,0)</f>
        <v>0</v>
      </c>
      <c r="N148" s="113">
        <f>IF(OR(AND($F147&lt;=N$3, $F148 &gt;= N$3), AND($F148&lt;N$3, WORKDAY($F148, 22,Holiday!$A$1:$A$30)&gt;N$3)), 1, 0)+IF(AND((N$3-$B$2)&gt;=0,(N$3-$B$2)&lt;30), 2,0)</f>
        <v>0</v>
      </c>
      <c r="O148" s="113">
        <f>IF(OR(AND($F147&lt;=O$3, $F148 &gt;= O$3), AND($F148&lt;O$3, WORKDAY($F148, 22,Holiday!$A$1:$A$30)&gt;O$3)), 1, 0)+IF(AND((O$3-$B$2)&gt;=0,(O$3-$B$2)&lt;30), 2,0)</f>
        <v>1</v>
      </c>
      <c r="P148" s="113">
        <f>IF(OR(AND($F147&lt;=P$3, $F148 &gt;= P$3), AND($F148&lt;P$3, WORKDAY($F148, 22,Holiday!$A$1:$A$30)&gt;P$3)), 1, 0)+IF(AND((P$3-$B$2)&gt;=0,(P$3-$B$2)&lt;30), 2,0)</f>
        <v>1</v>
      </c>
      <c r="Q148" s="113">
        <f>IF(OR(AND($F147&lt;=Q$3, $F148 &gt;= Q$3), AND($F148&lt;Q$3, WORKDAY($F148, 22,Holiday!$A$1:$A$30)&gt;Q$3)), 1, 0)+IF(AND((Q$3-$B$2)&gt;=0,(Q$3-$B$2)&lt;30), 2,0)</f>
        <v>2</v>
      </c>
      <c r="R148" s="113">
        <f>IF(OR(AND($F147&lt;=R$3, $F148 &gt;= R$3), AND($F148&lt;R$3, WORKDAY($F148, 22,Holiday!$A$1:$A$30)&gt;R$3)), 1, 0)+IF(AND((R$3-$B$2)&gt;=0,(R$3-$B$2)&lt;30), 2,0)</f>
        <v>0</v>
      </c>
      <c r="S148" s="113">
        <f>IF(OR(AND($F147&lt;=S$3, $F148 &gt;= S$3), AND($F148&lt;S$3, WORKDAY($F148, 22,Holiday!$A$1:$A$30)&gt;S$3)), 1, 0)+IF(AND((S$3-$B$2)&gt;=0,(S$3-$B$2)&lt;30), 2,0)</f>
        <v>0</v>
      </c>
      <c r="T148" s="113">
        <f>IF(OR(AND($F147&lt;=T$3, $F148 &gt;= T$3), AND($F148&lt;T$3, WORKDAY($F148, 22,Holiday!$A$1:$A$30)&gt;T$3)), 1, 0)+IF(AND((T$3-$B$2)&gt;=0,(T$3-$B$2)&lt;30), 2,0)</f>
        <v>0</v>
      </c>
      <c r="U148" s="113">
        <f>IF(OR(AND($F147&lt;=U$3, $F148 &gt;= U$3), AND($F148&lt;U$3, WORKDAY($F148, 22,Holiday!$A$1:$A$30)&gt;U$3)), 1, 0)+IF(AND((U$3-$B$2)&gt;=0,(U$3-$B$2)&lt;30), 2,0)</f>
        <v>0</v>
      </c>
      <c r="V148" s="113">
        <f>IF(OR(AND($F147&lt;=V$3, $F148 &gt;= V$3), AND($F148&lt;V$3, WORKDAY($F148, 22,Holiday!$A$1:$A$30)&gt;V$3)), 1, 0)+IF(AND((V$3-$B$2)&gt;=0,(V$3-$B$2)&lt;30), 2,0)</f>
        <v>0</v>
      </c>
      <c r="W148" s="113">
        <f>IF(OR(AND($F147&lt;=W$3, $F148 &gt;= W$3), AND($F148&lt;W$3, WORKDAY($F148, 22,Holiday!$A$1:$A$30)&gt;W$3)), 1, 0)+IF(AND((W$3-$B$2)&gt;=0,(W$3-$B$2)&lt;30), 2,0)</f>
        <v>0</v>
      </c>
      <c r="X148" s="113">
        <f>IF(OR(AND($F147&lt;=X$3, $F148 &gt;= X$3), AND($F148&lt;X$3, WORKDAY($F148, 22,Holiday!$A$1:$A$30)&gt;X$3)), 1, 0)+IF(AND((X$3-$B$2)&gt;=0,(X$3-$B$2)&lt;30), 2,0)</f>
        <v>0</v>
      </c>
      <c r="Y148" s="113">
        <f>IF(OR(AND($F147&lt;=Y$3, $F148 &gt;= Y$3), AND($F148&lt;Y$3, WORKDAY($F148, 22,Holiday!$A$1:$A$30)&gt;Y$3)), 1, 0)+IF(AND((Y$3-$B$2)&gt;=0,(Y$3-$B$2)&lt;30), 2,0)</f>
        <v>0</v>
      </c>
      <c r="Z148" s="113">
        <f>IF(OR(AND($F147&lt;=Z$3, $F148 &gt;= Z$3), AND($F148&lt;Z$3, WORKDAY($F148, 22,Holiday!$A$1:$A$30)&gt;Z$3)), 1, 0)+IF(AND((Z$3-$B$2)&gt;=0,(Z$3-$B$2)&lt;30), 2,0)</f>
        <v>0</v>
      </c>
      <c r="AA148" s="113">
        <f>IF(OR(AND($F147&lt;=AA$3, $F148 &gt;= AA$3), AND($F148&lt;AA$3, WORKDAY($F148, 22,Holiday!$A$1:$A$30)&gt;AA$3)), 1, 0)+IF(AND((AA$3-$B$2)&gt;=0,(AA$3-$B$2)&lt;30), 2,0)</f>
        <v>0</v>
      </c>
      <c r="AB148" s="113">
        <f>IF(OR(AND($F147&lt;=AB$3, $F148 &gt;= AB$3), AND($F148&lt;AB$3, WORKDAY($F148, 22,Holiday!$A$1:$A$30)&gt;AB$3)), 1, 0)+IF(AND((AB$3-$B$2)&gt;=0,(AB$3-$B$2)&lt;30), 2,0)</f>
        <v>0</v>
      </c>
      <c r="AC148" s="113">
        <f>IF(OR(AND($F147&lt;=AC$3, $F148 &gt;= AC$3), AND($F148&lt;AC$3, WORKDAY($F148, 22,Holiday!$A$1:$A$30)&gt;AC$3)), 1, 0)+IF(AND((AC$3-$B$2)&gt;=0,(AC$3-$B$2)&lt;30), 2,0)</f>
        <v>0</v>
      </c>
      <c r="AD148" s="113">
        <f>IF(OR(AND($F147&lt;=AD$3, $F148 &gt;= AD$3), AND($F148&lt;AD$3, WORKDAY($F148, 22,Holiday!$A$1:$A$30)&gt;AD$3)), 1, 0)+IF(AND((AD$3-$B$2)&gt;=0,(AD$3-$B$2)&lt;30), 2,0)</f>
        <v>0</v>
      </c>
      <c r="AE148" s="113">
        <f>IF(OR(AND($F147&lt;=AE$3, $F148 &gt;= AE$3), AND($F148&lt;AE$3, WORKDAY($F148, 22,Holiday!$A$1:$A$30)&gt;AE$3)), 1, 0)+IF(AND((AE$3-$B$2)&gt;=0,(AE$3-$B$2)&lt;30), 2,0)</f>
        <v>0</v>
      </c>
      <c r="AF148" s="113">
        <f>IF(OR(AND($F147&lt;=AF$3, $F148 &gt;= AF$3), AND($F148&lt;AF$3, WORKDAY($F148, 22,Holiday!$A$1:$A$30)&gt;AF$3)), 1, 0)+IF(AND((AF$3-$B$2)&gt;=0,(AF$3-$B$2)&lt;30), 2,0)</f>
        <v>0</v>
      </c>
      <c r="AG148" s="113">
        <f>IF(OR(AND($F147&lt;=AG$3, $F148 &gt;= AG$3), AND($F148&lt;AG$3, WORKDAY($F148, 22,Holiday!$A$1:$A$30)&gt;AG$3)), 1, 0)+IF(AND((AG$3-$B$2)&gt;=0,(AG$3-$B$2)&lt;30), 2,0)</f>
        <v>0</v>
      </c>
      <c r="AH148" s="113">
        <f>IF(OR(AND($F147&lt;=AH$3, $F148 &gt;= AH$3), AND($F148&lt;AH$3, WORKDAY($F148, 22,Holiday!$A$1:$A$30)&gt;AH$3)), 1, 0)+IF(AND((AH$3-$B$2)&gt;=0,(AH$3-$B$2)&lt;30), 2,0)</f>
        <v>0</v>
      </c>
      <c r="AI148" s="113">
        <f>IF(OR(AND($F147&lt;=AI$3, $F148 &gt;= AI$3), AND($F148&lt;AI$3, WORKDAY($F148, 22,Holiday!$A$1:$A$30)&gt;AI$3)), 1, 0)+IF(AND((AI$3-$B$2)&gt;=0,(AI$3-$B$2)&lt;30), 2,0)</f>
        <v>0</v>
      </c>
      <c r="AJ148" s="113">
        <f>IF(OR(AND($F147&lt;=AJ$3, $F148 &gt;= AJ$3), AND($F148&lt;AJ$3, WORKDAY($F148, 22,Holiday!$A$1:$A$30)&gt;AJ$3)), 1, 0)+IF(AND((AJ$3-$B$2)&gt;=0,(AJ$3-$B$2)&lt;30), 2,0)</f>
        <v>0</v>
      </c>
      <c r="AK148" s="113">
        <f>IF(OR(AND($F147&lt;=AK$3, $F148 &gt;= AK$3), AND($F148&lt;AK$3, WORKDAY($F148, 22,Holiday!$A$1:$A$30)&gt;AK$3)), 1, 0)+IF(AND((AK$3-$B$2)&gt;=0,(AK$3-$B$2)&lt;30), 2,0)</f>
        <v>0</v>
      </c>
      <c r="AL148" s="113">
        <f>IF(OR(AND($F147&lt;=AL$3, $F148 &gt;= AL$3), AND($F148&lt;AL$3, WORKDAY($F148, 22,Holiday!$A$1:$A$30)&gt;AL$3)), 1, 0)+IF(AND((AL$3-$B$2)&gt;=0,(AL$3-$B$2)&lt;30), 2,0)</f>
        <v>0</v>
      </c>
      <c r="AM148" s="113">
        <f>IF(OR(AND($F147&lt;=AM$3, $F148 &gt;= AM$3), AND($F148&lt;AM$3, WORKDAY($F148, 22,Holiday!$A$1:$A$30)&gt;AM$3)), 1, 0)+IF(AND((AM$3-$B$2)&gt;=0,(AM$3-$B$2)&lt;30), 2,0)</f>
        <v>0</v>
      </c>
      <c r="AN148" s="113">
        <f>IF(OR(AND($F147&lt;=AN$3, $F148 &gt;= AN$3), AND($F148&lt;AN$3, WORKDAY($F148, 22,Holiday!$A$1:$A$30)&gt;AN$3)), 1, 0)+IF(AND((AN$3-$B$2)&gt;=0,(AN$3-$B$2)&lt;30), 2,0)</f>
        <v>0</v>
      </c>
      <c r="AO148" s="113">
        <f>IF(OR(AND($F147&lt;=AO$3, $F148 &gt;= AO$3), AND($F148&lt;AO$3, WORKDAY($F148, 22,Holiday!$A$1:$A$30)&gt;AO$3)), 1, 0)+IF(AND((AO$3-$B$2)&gt;=0,(AO$3-$B$2)&lt;30), 2,0)</f>
        <v>0</v>
      </c>
    </row>
    <row r="149" spans="2:41" ht="14.4" x14ac:dyDescent="0.25">
      <c r="B149" t="s">
        <v>162</v>
      </c>
      <c r="C149" s="112" t="s">
        <v>282</v>
      </c>
      <c r="D149" s="111">
        <v>6</v>
      </c>
      <c r="E149" s="86">
        <f t="shared" si="3"/>
        <v>9</v>
      </c>
      <c r="F149" s="121">
        <f>WORKDAY(F148,E149,Holiday!A143:A172)</f>
        <v>46330</v>
      </c>
      <c r="G149" s="113">
        <f>IF(OR(AND($F148&lt;=G$3, $F149 &gt;= G$3), AND($F149&lt;G$3, WORKDAY($F149, 22,Holiday!$A$1:$A$30)&gt;G$3)), 1, 0)+IF(AND((G$3-$B$2)&gt;=0,(G$3-$B$2)&lt;30), 2,0)</f>
        <v>0</v>
      </c>
      <c r="H149" s="113">
        <f>IF(OR(AND($F148&lt;=H$3, $F149 &gt;= H$3), AND($F149&lt;H$3, WORKDAY($F149, 22,Holiday!$A$1:$A$30)&gt;H$3)), 1, 0)+IF(AND((H$3-$B$2)&gt;=0,(H$3-$B$2)&lt;30), 2,0)</f>
        <v>0</v>
      </c>
      <c r="I149" s="113">
        <f>IF(OR(AND($F148&lt;=I$3, $F149 &gt;= I$3), AND($F149&lt;I$3, WORKDAY($F149, 22,Holiday!$A$1:$A$30)&gt;I$3)), 1, 0)+IF(AND((I$3-$B$2)&gt;=0,(I$3-$B$2)&lt;30), 2,0)</f>
        <v>0</v>
      </c>
      <c r="J149" s="113">
        <f>IF(OR(AND($F148&lt;=J$3, $F149 &gt;= J$3), AND($F149&lt;J$3, WORKDAY($F149, 22,Holiday!$A$1:$A$30)&gt;J$3)), 1, 0)+IF(AND((J$3-$B$2)&gt;=0,(J$3-$B$2)&lt;30), 2,0)</f>
        <v>0</v>
      </c>
      <c r="K149" s="113">
        <f>IF(OR(AND($F148&lt;=K$3, $F149 &gt;= K$3), AND($F149&lt;K$3, WORKDAY($F149, 22,Holiday!$A$1:$A$30)&gt;K$3)), 1, 0)+IF(AND((K$3-$B$2)&gt;=0,(K$3-$B$2)&lt;30), 2,0)</f>
        <v>0</v>
      </c>
      <c r="L149" s="113">
        <f>IF(OR(AND($F148&lt;=L$3, $F149 &gt;= L$3), AND($F149&lt;L$3, WORKDAY($F149, 22,Holiday!$A$1:$A$30)&gt;L$3)), 1, 0)+IF(AND((L$3-$B$2)&gt;=0,(L$3-$B$2)&lt;30), 2,0)</f>
        <v>0</v>
      </c>
      <c r="M149" s="113">
        <f>IF(OR(AND($F148&lt;=M$3, $F149 &gt;= M$3), AND($F149&lt;M$3, WORKDAY($F149, 22,Holiday!$A$1:$A$30)&gt;M$3)), 1, 0)+IF(AND((M$3-$B$2)&gt;=0,(M$3-$B$2)&lt;30), 2,0)</f>
        <v>0</v>
      </c>
      <c r="N149" s="113">
        <f>IF(OR(AND($F148&lt;=N$3, $F149 &gt;= N$3), AND($F149&lt;N$3, WORKDAY($F149, 22,Holiday!$A$1:$A$30)&gt;N$3)), 1, 0)+IF(AND((N$3-$B$2)&gt;=0,(N$3-$B$2)&lt;30), 2,0)</f>
        <v>0</v>
      </c>
      <c r="O149" s="113">
        <f>IF(OR(AND($F148&lt;=O$3, $F149 &gt;= O$3), AND($F149&lt;O$3, WORKDAY($F149, 22,Holiday!$A$1:$A$30)&gt;O$3)), 1, 0)+IF(AND((O$3-$B$2)&gt;=0,(O$3-$B$2)&lt;30), 2,0)</f>
        <v>0</v>
      </c>
      <c r="P149" s="113">
        <f>IF(OR(AND($F148&lt;=P$3, $F149 &gt;= P$3), AND($F149&lt;P$3, WORKDAY($F149, 22,Holiday!$A$1:$A$30)&gt;P$3)), 1, 0)+IF(AND((P$3-$B$2)&gt;=0,(P$3-$B$2)&lt;30), 2,0)</f>
        <v>1</v>
      </c>
      <c r="Q149" s="113">
        <f>IF(OR(AND($F148&lt;=Q$3, $F149 &gt;= Q$3), AND($F149&lt;Q$3, WORKDAY($F149, 22,Holiday!$A$1:$A$30)&gt;Q$3)), 1, 0)+IF(AND((Q$3-$B$2)&gt;=0,(Q$3-$B$2)&lt;30), 2,0)</f>
        <v>2</v>
      </c>
      <c r="R149" s="113">
        <f>IF(OR(AND($F148&lt;=R$3, $F149 &gt;= R$3), AND($F149&lt;R$3, WORKDAY($F149, 22,Holiday!$A$1:$A$30)&gt;R$3)), 1, 0)+IF(AND((R$3-$B$2)&gt;=0,(R$3-$B$2)&lt;30), 2,0)</f>
        <v>0</v>
      </c>
      <c r="S149" s="113">
        <f>IF(OR(AND($F148&lt;=S$3, $F149 &gt;= S$3), AND($F149&lt;S$3, WORKDAY($F149, 22,Holiday!$A$1:$A$30)&gt;S$3)), 1, 0)+IF(AND((S$3-$B$2)&gt;=0,(S$3-$B$2)&lt;30), 2,0)</f>
        <v>0</v>
      </c>
      <c r="T149" s="113">
        <f>IF(OR(AND($F148&lt;=T$3, $F149 &gt;= T$3), AND($F149&lt;T$3, WORKDAY($F149, 22,Holiday!$A$1:$A$30)&gt;T$3)), 1, 0)+IF(AND((T$3-$B$2)&gt;=0,(T$3-$B$2)&lt;30), 2,0)</f>
        <v>0</v>
      </c>
      <c r="U149" s="113">
        <f>IF(OR(AND($F148&lt;=U$3, $F149 &gt;= U$3), AND($F149&lt;U$3, WORKDAY($F149, 22,Holiday!$A$1:$A$30)&gt;U$3)), 1, 0)+IF(AND((U$3-$B$2)&gt;=0,(U$3-$B$2)&lt;30), 2,0)</f>
        <v>0</v>
      </c>
      <c r="V149" s="113">
        <f>IF(OR(AND($F148&lt;=V$3, $F149 &gt;= V$3), AND($F149&lt;V$3, WORKDAY($F149, 22,Holiday!$A$1:$A$30)&gt;V$3)), 1, 0)+IF(AND((V$3-$B$2)&gt;=0,(V$3-$B$2)&lt;30), 2,0)</f>
        <v>0</v>
      </c>
      <c r="W149" s="113">
        <f>IF(OR(AND($F148&lt;=W$3, $F149 &gt;= W$3), AND($F149&lt;W$3, WORKDAY($F149, 22,Holiday!$A$1:$A$30)&gt;W$3)), 1, 0)+IF(AND((W$3-$B$2)&gt;=0,(W$3-$B$2)&lt;30), 2,0)</f>
        <v>0</v>
      </c>
      <c r="X149" s="113">
        <f>IF(OR(AND($F148&lt;=X$3, $F149 &gt;= X$3), AND($F149&lt;X$3, WORKDAY($F149, 22,Holiday!$A$1:$A$30)&gt;X$3)), 1, 0)+IF(AND((X$3-$B$2)&gt;=0,(X$3-$B$2)&lt;30), 2,0)</f>
        <v>0</v>
      </c>
      <c r="Y149" s="113">
        <f>IF(OR(AND($F148&lt;=Y$3, $F149 &gt;= Y$3), AND($F149&lt;Y$3, WORKDAY($F149, 22,Holiday!$A$1:$A$30)&gt;Y$3)), 1, 0)+IF(AND((Y$3-$B$2)&gt;=0,(Y$3-$B$2)&lt;30), 2,0)</f>
        <v>0</v>
      </c>
      <c r="Z149" s="113">
        <f>IF(OR(AND($F148&lt;=Z$3, $F149 &gt;= Z$3), AND($F149&lt;Z$3, WORKDAY($F149, 22,Holiday!$A$1:$A$30)&gt;Z$3)), 1, 0)+IF(AND((Z$3-$B$2)&gt;=0,(Z$3-$B$2)&lt;30), 2,0)</f>
        <v>0</v>
      </c>
      <c r="AA149" s="113">
        <f>IF(OR(AND($F148&lt;=AA$3, $F149 &gt;= AA$3), AND($F149&lt;AA$3, WORKDAY($F149, 22,Holiday!$A$1:$A$30)&gt;AA$3)), 1, 0)+IF(AND((AA$3-$B$2)&gt;=0,(AA$3-$B$2)&lt;30), 2,0)</f>
        <v>0</v>
      </c>
      <c r="AB149" s="113">
        <f>IF(OR(AND($F148&lt;=AB$3, $F149 &gt;= AB$3), AND($F149&lt;AB$3, WORKDAY($F149, 22,Holiday!$A$1:$A$30)&gt;AB$3)), 1, 0)+IF(AND((AB$3-$B$2)&gt;=0,(AB$3-$B$2)&lt;30), 2,0)</f>
        <v>0</v>
      </c>
      <c r="AC149" s="113">
        <f>IF(OR(AND($F148&lt;=AC$3, $F149 &gt;= AC$3), AND($F149&lt;AC$3, WORKDAY($F149, 22,Holiday!$A$1:$A$30)&gt;AC$3)), 1, 0)+IF(AND((AC$3-$B$2)&gt;=0,(AC$3-$B$2)&lt;30), 2,0)</f>
        <v>0</v>
      </c>
      <c r="AD149" s="113">
        <f>IF(OR(AND($F148&lt;=AD$3, $F149 &gt;= AD$3), AND($F149&lt;AD$3, WORKDAY($F149, 22,Holiday!$A$1:$A$30)&gt;AD$3)), 1, 0)+IF(AND((AD$3-$B$2)&gt;=0,(AD$3-$B$2)&lt;30), 2,0)</f>
        <v>0</v>
      </c>
      <c r="AE149" s="113">
        <f>IF(OR(AND($F148&lt;=AE$3, $F149 &gt;= AE$3), AND($F149&lt;AE$3, WORKDAY($F149, 22,Holiday!$A$1:$A$30)&gt;AE$3)), 1, 0)+IF(AND((AE$3-$B$2)&gt;=0,(AE$3-$B$2)&lt;30), 2,0)</f>
        <v>0</v>
      </c>
      <c r="AF149" s="113">
        <f>IF(OR(AND($F148&lt;=AF$3, $F149 &gt;= AF$3), AND($F149&lt;AF$3, WORKDAY($F149, 22,Holiday!$A$1:$A$30)&gt;AF$3)), 1, 0)+IF(AND((AF$3-$B$2)&gt;=0,(AF$3-$B$2)&lt;30), 2,0)</f>
        <v>0</v>
      </c>
      <c r="AG149" s="113">
        <f>IF(OR(AND($F148&lt;=AG$3, $F149 &gt;= AG$3), AND($F149&lt;AG$3, WORKDAY($F149, 22,Holiday!$A$1:$A$30)&gt;AG$3)), 1, 0)+IF(AND((AG$3-$B$2)&gt;=0,(AG$3-$B$2)&lt;30), 2,0)</f>
        <v>0</v>
      </c>
      <c r="AH149" s="113">
        <f>IF(OR(AND($F148&lt;=AH$3, $F149 &gt;= AH$3), AND($F149&lt;AH$3, WORKDAY($F149, 22,Holiday!$A$1:$A$30)&gt;AH$3)), 1, 0)+IF(AND((AH$3-$B$2)&gt;=0,(AH$3-$B$2)&lt;30), 2,0)</f>
        <v>0</v>
      </c>
      <c r="AI149" s="113">
        <f>IF(OR(AND($F148&lt;=AI$3, $F149 &gt;= AI$3), AND($F149&lt;AI$3, WORKDAY($F149, 22,Holiday!$A$1:$A$30)&gt;AI$3)), 1, 0)+IF(AND((AI$3-$B$2)&gt;=0,(AI$3-$B$2)&lt;30), 2,0)</f>
        <v>0</v>
      </c>
      <c r="AJ149" s="113">
        <f>IF(OR(AND($F148&lt;=AJ$3, $F149 &gt;= AJ$3), AND($F149&lt;AJ$3, WORKDAY($F149, 22,Holiday!$A$1:$A$30)&gt;AJ$3)), 1, 0)+IF(AND((AJ$3-$B$2)&gt;=0,(AJ$3-$B$2)&lt;30), 2,0)</f>
        <v>0</v>
      </c>
      <c r="AK149" s="113">
        <f>IF(OR(AND($F148&lt;=AK$3, $F149 &gt;= AK$3), AND($F149&lt;AK$3, WORKDAY($F149, 22,Holiday!$A$1:$A$30)&gt;AK$3)), 1, 0)+IF(AND((AK$3-$B$2)&gt;=0,(AK$3-$B$2)&lt;30), 2,0)</f>
        <v>0</v>
      </c>
      <c r="AL149" s="113">
        <f>IF(OR(AND($F148&lt;=AL$3, $F149 &gt;= AL$3), AND($F149&lt;AL$3, WORKDAY($F149, 22,Holiday!$A$1:$A$30)&gt;AL$3)), 1, 0)+IF(AND((AL$3-$B$2)&gt;=0,(AL$3-$B$2)&lt;30), 2,0)</f>
        <v>0</v>
      </c>
      <c r="AM149" s="113">
        <f>IF(OR(AND($F148&lt;=AM$3, $F149 &gt;= AM$3), AND($F149&lt;AM$3, WORKDAY($F149, 22,Holiday!$A$1:$A$30)&gt;AM$3)), 1, 0)+IF(AND((AM$3-$B$2)&gt;=0,(AM$3-$B$2)&lt;30), 2,0)</f>
        <v>0</v>
      </c>
      <c r="AN149" s="113">
        <f>IF(OR(AND($F148&lt;=AN$3, $F149 &gt;= AN$3), AND($F149&lt;AN$3, WORKDAY($F149, 22,Holiday!$A$1:$A$30)&gt;AN$3)), 1, 0)+IF(AND((AN$3-$B$2)&gt;=0,(AN$3-$B$2)&lt;30), 2,0)</f>
        <v>0</v>
      </c>
      <c r="AO149" s="113">
        <f>IF(OR(AND($F148&lt;=AO$3, $F149 &gt;= AO$3), AND($F149&lt;AO$3, WORKDAY($F149, 22,Holiday!$A$1:$A$30)&gt;AO$3)), 1, 0)+IF(AND((AO$3-$B$2)&gt;=0,(AO$3-$B$2)&lt;30), 2,0)</f>
        <v>0</v>
      </c>
    </row>
    <row r="150" spans="2:41" ht="14.4" x14ac:dyDescent="0.25">
      <c r="B150" t="s">
        <v>196</v>
      </c>
      <c r="C150" s="112" t="s">
        <v>282</v>
      </c>
      <c r="D150" s="111">
        <v>10</v>
      </c>
      <c r="E150" s="86">
        <f t="shared" si="3"/>
        <v>15</v>
      </c>
      <c r="F150" s="121">
        <f>WORKDAY(F149,E150,Holiday!A144:A173)</f>
        <v>46351</v>
      </c>
      <c r="G150" s="113">
        <f>IF(OR(AND($F149&lt;=G$3, $F150 &gt;= G$3), AND($F150&lt;G$3, WORKDAY($F150, 22,Holiday!$A$1:$A$30)&gt;G$3)), 1, 0)+IF(AND((G$3-$B$2)&gt;=0,(G$3-$B$2)&lt;30), 2,0)</f>
        <v>0</v>
      </c>
      <c r="H150" s="113">
        <f>IF(OR(AND($F149&lt;=H$3, $F150 &gt;= H$3), AND($F150&lt;H$3, WORKDAY($F150, 22,Holiday!$A$1:$A$30)&gt;H$3)), 1, 0)+IF(AND((H$3-$B$2)&gt;=0,(H$3-$B$2)&lt;30), 2,0)</f>
        <v>0</v>
      </c>
      <c r="I150" s="113">
        <f>IF(OR(AND($F149&lt;=I$3, $F150 &gt;= I$3), AND($F150&lt;I$3, WORKDAY($F150, 22,Holiday!$A$1:$A$30)&gt;I$3)), 1, 0)+IF(AND((I$3-$B$2)&gt;=0,(I$3-$B$2)&lt;30), 2,0)</f>
        <v>0</v>
      </c>
      <c r="J150" s="113">
        <f>IF(OR(AND($F149&lt;=J$3, $F150 &gt;= J$3), AND($F150&lt;J$3, WORKDAY($F150, 22,Holiday!$A$1:$A$30)&gt;J$3)), 1, 0)+IF(AND((J$3-$B$2)&gt;=0,(J$3-$B$2)&lt;30), 2,0)</f>
        <v>0</v>
      </c>
      <c r="K150" s="113">
        <f>IF(OR(AND($F149&lt;=K$3, $F150 &gt;= K$3), AND($F150&lt;K$3, WORKDAY($F150, 22,Holiday!$A$1:$A$30)&gt;K$3)), 1, 0)+IF(AND((K$3-$B$2)&gt;=0,(K$3-$B$2)&lt;30), 2,0)</f>
        <v>0</v>
      </c>
      <c r="L150" s="113">
        <f>IF(OR(AND($F149&lt;=L$3, $F150 &gt;= L$3), AND($F150&lt;L$3, WORKDAY($F150, 22,Holiday!$A$1:$A$30)&gt;L$3)), 1, 0)+IF(AND((L$3-$B$2)&gt;=0,(L$3-$B$2)&lt;30), 2,0)</f>
        <v>0</v>
      </c>
      <c r="M150" s="113">
        <f>IF(OR(AND($F149&lt;=M$3, $F150 &gt;= M$3), AND($F150&lt;M$3, WORKDAY($F150, 22,Holiday!$A$1:$A$30)&gt;M$3)), 1, 0)+IF(AND((M$3-$B$2)&gt;=0,(M$3-$B$2)&lt;30), 2,0)</f>
        <v>0</v>
      </c>
      <c r="N150" s="113">
        <f>IF(OR(AND($F149&lt;=N$3, $F150 &gt;= N$3), AND($F150&lt;N$3, WORKDAY($F150, 22,Holiday!$A$1:$A$30)&gt;N$3)), 1, 0)+IF(AND((N$3-$B$2)&gt;=0,(N$3-$B$2)&lt;30), 2,0)</f>
        <v>0</v>
      </c>
      <c r="O150" s="113">
        <f>IF(OR(AND($F149&lt;=O$3, $F150 &gt;= O$3), AND($F150&lt;O$3, WORKDAY($F150, 22,Holiday!$A$1:$A$30)&gt;O$3)), 1, 0)+IF(AND((O$3-$B$2)&gt;=0,(O$3-$B$2)&lt;30), 2,0)</f>
        <v>0</v>
      </c>
      <c r="P150" s="113">
        <f>IF(OR(AND($F149&lt;=P$3, $F150 &gt;= P$3), AND($F150&lt;P$3, WORKDAY($F150, 22,Holiday!$A$1:$A$30)&gt;P$3)), 1, 0)+IF(AND((P$3-$B$2)&gt;=0,(P$3-$B$2)&lt;30), 2,0)</f>
        <v>1</v>
      </c>
      <c r="Q150" s="113">
        <f>IF(OR(AND($F149&lt;=Q$3, $F150 &gt;= Q$3), AND($F150&lt;Q$3, WORKDAY($F150, 22,Holiday!$A$1:$A$30)&gt;Q$3)), 1, 0)+IF(AND((Q$3-$B$2)&gt;=0,(Q$3-$B$2)&lt;30), 2,0)</f>
        <v>3</v>
      </c>
      <c r="R150" s="113">
        <f>IF(OR(AND($F149&lt;=R$3, $F150 &gt;= R$3), AND($F150&lt;R$3, WORKDAY($F150, 22,Holiday!$A$1:$A$30)&gt;R$3)), 1, 0)+IF(AND((R$3-$B$2)&gt;=0,(R$3-$B$2)&lt;30), 2,0)</f>
        <v>0</v>
      </c>
      <c r="S150" s="113">
        <f>IF(OR(AND($F149&lt;=S$3, $F150 &gt;= S$3), AND($F150&lt;S$3, WORKDAY($F150, 22,Holiday!$A$1:$A$30)&gt;S$3)), 1, 0)+IF(AND((S$3-$B$2)&gt;=0,(S$3-$B$2)&lt;30), 2,0)</f>
        <v>0</v>
      </c>
      <c r="T150" s="113">
        <f>IF(OR(AND($F149&lt;=T$3, $F150 &gt;= T$3), AND($F150&lt;T$3, WORKDAY($F150, 22,Holiday!$A$1:$A$30)&gt;T$3)), 1, 0)+IF(AND((T$3-$B$2)&gt;=0,(T$3-$B$2)&lt;30), 2,0)</f>
        <v>0</v>
      </c>
      <c r="U150" s="113">
        <f>IF(OR(AND($F149&lt;=U$3, $F150 &gt;= U$3), AND($F150&lt;U$3, WORKDAY($F150, 22,Holiday!$A$1:$A$30)&gt;U$3)), 1, 0)+IF(AND((U$3-$B$2)&gt;=0,(U$3-$B$2)&lt;30), 2,0)</f>
        <v>0</v>
      </c>
      <c r="V150" s="113">
        <f>IF(OR(AND($F149&lt;=V$3, $F150 &gt;= V$3), AND($F150&lt;V$3, WORKDAY($F150, 22,Holiday!$A$1:$A$30)&gt;V$3)), 1, 0)+IF(AND((V$3-$B$2)&gt;=0,(V$3-$B$2)&lt;30), 2,0)</f>
        <v>0</v>
      </c>
      <c r="W150" s="113">
        <f>IF(OR(AND($F149&lt;=W$3, $F150 &gt;= W$3), AND($F150&lt;W$3, WORKDAY($F150, 22,Holiday!$A$1:$A$30)&gt;W$3)), 1, 0)+IF(AND((W$3-$B$2)&gt;=0,(W$3-$B$2)&lt;30), 2,0)</f>
        <v>0</v>
      </c>
      <c r="X150" s="113">
        <f>IF(OR(AND($F149&lt;=X$3, $F150 &gt;= X$3), AND($F150&lt;X$3, WORKDAY($F150, 22,Holiday!$A$1:$A$30)&gt;X$3)), 1, 0)+IF(AND((X$3-$B$2)&gt;=0,(X$3-$B$2)&lt;30), 2,0)</f>
        <v>0</v>
      </c>
      <c r="Y150" s="113">
        <f>IF(OR(AND($F149&lt;=Y$3, $F150 &gt;= Y$3), AND($F150&lt;Y$3, WORKDAY($F150, 22,Holiday!$A$1:$A$30)&gt;Y$3)), 1, 0)+IF(AND((Y$3-$B$2)&gt;=0,(Y$3-$B$2)&lt;30), 2,0)</f>
        <v>0</v>
      </c>
      <c r="Z150" s="113">
        <f>IF(OR(AND($F149&lt;=Z$3, $F150 &gt;= Z$3), AND($F150&lt;Z$3, WORKDAY($F150, 22,Holiday!$A$1:$A$30)&gt;Z$3)), 1, 0)+IF(AND((Z$3-$B$2)&gt;=0,(Z$3-$B$2)&lt;30), 2,0)</f>
        <v>0</v>
      </c>
      <c r="AA150" s="113">
        <f>IF(OR(AND($F149&lt;=AA$3, $F150 &gt;= AA$3), AND($F150&lt;AA$3, WORKDAY($F150, 22,Holiday!$A$1:$A$30)&gt;AA$3)), 1, 0)+IF(AND((AA$3-$B$2)&gt;=0,(AA$3-$B$2)&lt;30), 2,0)</f>
        <v>0</v>
      </c>
      <c r="AB150" s="113">
        <f>IF(OR(AND($F149&lt;=AB$3, $F150 &gt;= AB$3), AND($F150&lt;AB$3, WORKDAY($F150, 22,Holiday!$A$1:$A$30)&gt;AB$3)), 1, 0)+IF(AND((AB$3-$B$2)&gt;=0,(AB$3-$B$2)&lt;30), 2,0)</f>
        <v>0</v>
      </c>
      <c r="AC150" s="113">
        <f>IF(OR(AND($F149&lt;=AC$3, $F150 &gt;= AC$3), AND($F150&lt;AC$3, WORKDAY($F150, 22,Holiday!$A$1:$A$30)&gt;AC$3)), 1, 0)+IF(AND((AC$3-$B$2)&gt;=0,(AC$3-$B$2)&lt;30), 2,0)</f>
        <v>0</v>
      </c>
      <c r="AD150" s="113">
        <f>IF(OR(AND($F149&lt;=AD$3, $F150 &gt;= AD$3), AND($F150&lt;AD$3, WORKDAY($F150, 22,Holiday!$A$1:$A$30)&gt;AD$3)), 1, 0)+IF(AND((AD$3-$B$2)&gt;=0,(AD$3-$B$2)&lt;30), 2,0)</f>
        <v>0</v>
      </c>
      <c r="AE150" s="113">
        <f>IF(OR(AND($F149&lt;=AE$3, $F150 &gt;= AE$3), AND($F150&lt;AE$3, WORKDAY($F150, 22,Holiday!$A$1:$A$30)&gt;AE$3)), 1, 0)+IF(AND((AE$3-$B$2)&gt;=0,(AE$3-$B$2)&lt;30), 2,0)</f>
        <v>0</v>
      </c>
      <c r="AF150" s="113">
        <f>IF(OR(AND($F149&lt;=AF$3, $F150 &gt;= AF$3), AND($F150&lt;AF$3, WORKDAY($F150, 22,Holiday!$A$1:$A$30)&gt;AF$3)), 1, 0)+IF(AND((AF$3-$B$2)&gt;=0,(AF$3-$B$2)&lt;30), 2,0)</f>
        <v>0</v>
      </c>
      <c r="AG150" s="113">
        <f>IF(OR(AND($F149&lt;=AG$3, $F150 &gt;= AG$3), AND($F150&lt;AG$3, WORKDAY($F150, 22,Holiday!$A$1:$A$30)&gt;AG$3)), 1, 0)+IF(AND((AG$3-$B$2)&gt;=0,(AG$3-$B$2)&lt;30), 2,0)</f>
        <v>0</v>
      </c>
      <c r="AH150" s="113">
        <f>IF(OR(AND($F149&lt;=AH$3, $F150 &gt;= AH$3), AND($F150&lt;AH$3, WORKDAY($F150, 22,Holiday!$A$1:$A$30)&gt;AH$3)), 1, 0)+IF(AND((AH$3-$B$2)&gt;=0,(AH$3-$B$2)&lt;30), 2,0)</f>
        <v>0</v>
      </c>
      <c r="AI150" s="113">
        <f>IF(OR(AND($F149&lt;=AI$3, $F150 &gt;= AI$3), AND($F150&lt;AI$3, WORKDAY($F150, 22,Holiday!$A$1:$A$30)&gt;AI$3)), 1, 0)+IF(AND((AI$3-$B$2)&gt;=0,(AI$3-$B$2)&lt;30), 2,0)</f>
        <v>0</v>
      </c>
      <c r="AJ150" s="113">
        <f>IF(OR(AND($F149&lt;=AJ$3, $F150 &gt;= AJ$3), AND($F150&lt;AJ$3, WORKDAY($F150, 22,Holiday!$A$1:$A$30)&gt;AJ$3)), 1, 0)+IF(AND((AJ$3-$B$2)&gt;=0,(AJ$3-$B$2)&lt;30), 2,0)</f>
        <v>0</v>
      </c>
      <c r="AK150" s="113">
        <f>IF(OR(AND($F149&lt;=AK$3, $F150 &gt;= AK$3), AND($F150&lt;AK$3, WORKDAY($F150, 22,Holiday!$A$1:$A$30)&gt;AK$3)), 1, 0)+IF(AND((AK$3-$B$2)&gt;=0,(AK$3-$B$2)&lt;30), 2,0)</f>
        <v>0</v>
      </c>
      <c r="AL150" s="113">
        <f>IF(OR(AND($F149&lt;=AL$3, $F150 &gt;= AL$3), AND($F150&lt;AL$3, WORKDAY($F150, 22,Holiday!$A$1:$A$30)&gt;AL$3)), 1, 0)+IF(AND((AL$3-$B$2)&gt;=0,(AL$3-$B$2)&lt;30), 2,0)</f>
        <v>0</v>
      </c>
      <c r="AM150" s="113">
        <f>IF(OR(AND($F149&lt;=AM$3, $F150 &gt;= AM$3), AND($F150&lt;AM$3, WORKDAY($F150, 22,Holiday!$A$1:$A$30)&gt;AM$3)), 1, 0)+IF(AND((AM$3-$B$2)&gt;=0,(AM$3-$B$2)&lt;30), 2,0)</f>
        <v>0</v>
      </c>
      <c r="AN150" s="113">
        <f>IF(OR(AND($F149&lt;=AN$3, $F150 &gt;= AN$3), AND($F150&lt;AN$3, WORKDAY($F150, 22,Holiday!$A$1:$A$30)&gt;AN$3)), 1, 0)+IF(AND((AN$3-$B$2)&gt;=0,(AN$3-$B$2)&lt;30), 2,0)</f>
        <v>0</v>
      </c>
      <c r="AO150" s="113">
        <f>IF(OR(AND($F149&lt;=AO$3, $F150 &gt;= AO$3), AND($F150&lt;AO$3, WORKDAY($F150, 22,Holiday!$A$1:$A$30)&gt;AO$3)), 1, 0)+IF(AND((AO$3-$B$2)&gt;=0,(AO$3-$B$2)&lt;30), 2,0)</f>
        <v>0</v>
      </c>
    </row>
    <row r="151" spans="2:41" ht="14.4" x14ac:dyDescent="0.25">
      <c r="B151" t="s">
        <v>116</v>
      </c>
      <c r="C151" s="112" t="s">
        <v>282</v>
      </c>
      <c r="D151" s="111">
        <v>10</v>
      </c>
      <c r="E151" s="86">
        <f t="shared" si="3"/>
        <v>15</v>
      </c>
      <c r="F151" s="121">
        <f>WORKDAY(F150,E151,Holiday!A145:A174)</f>
        <v>46372</v>
      </c>
      <c r="G151" s="113">
        <f>IF(OR(AND($F150&lt;=G$3, $F151 &gt;= G$3), AND($F151&lt;G$3, WORKDAY($F151, 22,Holiday!$A$1:$A$30)&gt;G$3)), 1, 0)+IF(AND((G$3-$B$2)&gt;=0,(G$3-$B$2)&lt;30), 2,0)</f>
        <v>0</v>
      </c>
      <c r="H151" s="113">
        <f>IF(OR(AND($F150&lt;=H$3, $F151 &gt;= H$3), AND($F151&lt;H$3, WORKDAY($F151, 22,Holiday!$A$1:$A$30)&gt;H$3)), 1, 0)+IF(AND((H$3-$B$2)&gt;=0,(H$3-$B$2)&lt;30), 2,0)</f>
        <v>0</v>
      </c>
      <c r="I151" s="113">
        <f>IF(OR(AND($F150&lt;=I$3, $F151 &gt;= I$3), AND($F151&lt;I$3, WORKDAY($F151, 22,Holiday!$A$1:$A$30)&gt;I$3)), 1, 0)+IF(AND((I$3-$B$2)&gt;=0,(I$3-$B$2)&lt;30), 2,0)</f>
        <v>0</v>
      </c>
      <c r="J151" s="113">
        <f>IF(OR(AND($F150&lt;=J$3, $F151 &gt;= J$3), AND($F151&lt;J$3, WORKDAY($F151, 22,Holiday!$A$1:$A$30)&gt;J$3)), 1, 0)+IF(AND((J$3-$B$2)&gt;=0,(J$3-$B$2)&lt;30), 2,0)</f>
        <v>0</v>
      </c>
      <c r="K151" s="113">
        <f>IF(OR(AND($F150&lt;=K$3, $F151 &gt;= K$3), AND($F151&lt;K$3, WORKDAY($F151, 22,Holiday!$A$1:$A$30)&gt;K$3)), 1, 0)+IF(AND((K$3-$B$2)&gt;=0,(K$3-$B$2)&lt;30), 2,0)</f>
        <v>0</v>
      </c>
      <c r="L151" s="113">
        <f>IF(OR(AND($F150&lt;=L$3, $F151 &gt;= L$3), AND($F151&lt;L$3, WORKDAY($F151, 22,Holiday!$A$1:$A$30)&gt;L$3)), 1, 0)+IF(AND((L$3-$B$2)&gt;=0,(L$3-$B$2)&lt;30), 2,0)</f>
        <v>0</v>
      </c>
      <c r="M151" s="113">
        <f>IF(OR(AND($F150&lt;=M$3, $F151 &gt;= M$3), AND($F151&lt;M$3, WORKDAY($F151, 22,Holiday!$A$1:$A$30)&gt;M$3)), 1, 0)+IF(AND((M$3-$B$2)&gt;=0,(M$3-$B$2)&lt;30), 2,0)</f>
        <v>0</v>
      </c>
      <c r="N151" s="113">
        <f>IF(OR(AND($F150&lt;=N$3, $F151 &gt;= N$3), AND($F151&lt;N$3, WORKDAY($F151, 22,Holiday!$A$1:$A$30)&gt;N$3)), 1, 0)+IF(AND((N$3-$B$2)&gt;=0,(N$3-$B$2)&lt;30), 2,0)</f>
        <v>0</v>
      </c>
      <c r="O151" s="113">
        <f>IF(OR(AND($F150&lt;=O$3, $F151 &gt;= O$3), AND($F151&lt;O$3, WORKDAY($F151, 22,Holiday!$A$1:$A$30)&gt;O$3)), 1, 0)+IF(AND((O$3-$B$2)&gt;=0,(O$3-$B$2)&lt;30), 2,0)</f>
        <v>0</v>
      </c>
      <c r="P151" s="113">
        <f>IF(OR(AND($F150&lt;=P$3, $F151 &gt;= P$3), AND($F151&lt;P$3, WORKDAY($F151, 22,Holiday!$A$1:$A$30)&gt;P$3)), 1, 0)+IF(AND((P$3-$B$2)&gt;=0,(P$3-$B$2)&lt;30), 2,0)</f>
        <v>0</v>
      </c>
      <c r="Q151" s="113">
        <f>IF(OR(AND($F150&lt;=Q$3, $F151 &gt;= Q$3), AND($F151&lt;Q$3, WORKDAY($F151, 22,Holiday!$A$1:$A$30)&gt;Q$3)), 1, 0)+IF(AND((Q$3-$B$2)&gt;=0,(Q$3-$B$2)&lt;30), 2,0)</f>
        <v>3</v>
      </c>
      <c r="R151" s="113">
        <f>IF(OR(AND($F150&lt;=R$3, $F151 &gt;= R$3), AND($F151&lt;R$3, WORKDAY($F151, 22,Holiday!$A$1:$A$30)&gt;R$3)), 1, 0)+IF(AND((R$3-$B$2)&gt;=0,(R$3-$B$2)&lt;30), 2,0)</f>
        <v>1</v>
      </c>
      <c r="S151" s="113">
        <f>IF(OR(AND($F150&lt;=S$3, $F151 &gt;= S$3), AND($F151&lt;S$3, WORKDAY($F151, 22,Holiday!$A$1:$A$30)&gt;S$3)), 1, 0)+IF(AND((S$3-$B$2)&gt;=0,(S$3-$B$2)&lt;30), 2,0)</f>
        <v>0</v>
      </c>
      <c r="T151" s="113">
        <f>IF(OR(AND($F150&lt;=T$3, $F151 &gt;= T$3), AND($F151&lt;T$3, WORKDAY($F151, 22,Holiday!$A$1:$A$30)&gt;T$3)), 1, 0)+IF(AND((T$3-$B$2)&gt;=0,(T$3-$B$2)&lt;30), 2,0)</f>
        <v>0</v>
      </c>
      <c r="U151" s="113">
        <f>IF(OR(AND($F150&lt;=U$3, $F151 &gt;= U$3), AND($F151&lt;U$3, WORKDAY($F151, 22,Holiday!$A$1:$A$30)&gt;U$3)), 1, 0)+IF(AND((U$3-$B$2)&gt;=0,(U$3-$B$2)&lt;30), 2,0)</f>
        <v>0</v>
      </c>
      <c r="V151" s="113">
        <f>IF(OR(AND($F150&lt;=V$3, $F151 &gt;= V$3), AND($F151&lt;V$3, WORKDAY($F151, 22,Holiday!$A$1:$A$30)&gt;V$3)), 1, 0)+IF(AND((V$3-$B$2)&gt;=0,(V$3-$B$2)&lt;30), 2,0)</f>
        <v>0</v>
      </c>
      <c r="W151" s="113">
        <f>IF(OR(AND($F150&lt;=W$3, $F151 &gt;= W$3), AND($F151&lt;W$3, WORKDAY($F151, 22,Holiday!$A$1:$A$30)&gt;W$3)), 1, 0)+IF(AND((W$3-$B$2)&gt;=0,(W$3-$B$2)&lt;30), 2,0)</f>
        <v>0</v>
      </c>
      <c r="X151" s="113">
        <f>IF(OR(AND($F150&lt;=X$3, $F151 &gt;= X$3), AND($F151&lt;X$3, WORKDAY($F151, 22,Holiday!$A$1:$A$30)&gt;X$3)), 1, 0)+IF(AND((X$3-$B$2)&gt;=0,(X$3-$B$2)&lt;30), 2,0)</f>
        <v>0</v>
      </c>
      <c r="Y151" s="113">
        <f>IF(OR(AND($F150&lt;=Y$3, $F151 &gt;= Y$3), AND($F151&lt;Y$3, WORKDAY($F151, 22,Holiday!$A$1:$A$30)&gt;Y$3)), 1, 0)+IF(AND((Y$3-$B$2)&gt;=0,(Y$3-$B$2)&lt;30), 2,0)</f>
        <v>0</v>
      </c>
      <c r="Z151" s="113">
        <f>IF(OR(AND($F150&lt;=Z$3, $F151 &gt;= Z$3), AND($F151&lt;Z$3, WORKDAY($F151, 22,Holiday!$A$1:$A$30)&gt;Z$3)), 1, 0)+IF(AND((Z$3-$B$2)&gt;=0,(Z$3-$B$2)&lt;30), 2,0)</f>
        <v>0</v>
      </c>
      <c r="AA151" s="113">
        <f>IF(OR(AND($F150&lt;=AA$3, $F151 &gt;= AA$3), AND($F151&lt;AA$3, WORKDAY($F151, 22,Holiday!$A$1:$A$30)&gt;AA$3)), 1, 0)+IF(AND((AA$3-$B$2)&gt;=0,(AA$3-$B$2)&lt;30), 2,0)</f>
        <v>0</v>
      </c>
      <c r="AB151" s="113">
        <f>IF(OR(AND($F150&lt;=AB$3, $F151 &gt;= AB$3), AND($F151&lt;AB$3, WORKDAY($F151, 22,Holiday!$A$1:$A$30)&gt;AB$3)), 1, 0)+IF(AND((AB$3-$B$2)&gt;=0,(AB$3-$B$2)&lt;30), 2,0)</f>
        <v>0</v>
      </c>
      <c r="AC151" s="113">
        <f>IF(OR(AND($F150&lt;=AC$3, $F151 &gt;= AC$3), AND($F151&lt;AC$3, WORKDAY($F151, 22,Holiday!$A$1:$A$30)&gt;AC$3)), 1, 0)+IF(AND((AC$3-$B$2)&gt;=0,(AC$3-$B$2)&lt;30), 2,0)</f>
        <v>0</v>
      </c>
      <c r="AD151" s="113">
        <f>IF(OR(AND($F150&lt;=AD$3, $F151 &gt;= AD$3), AND($F151&lt;AD$3, WORKDAY($F151, 22,Holiday!$A$1:$A$30)&gt;AD$3)), 1, 0)+IF(AND((AD$3-$B$2)&gt;=0,(AD$3-$B$2)&lt;30), 2,0)</f>
        <v>0</v>
      </c>
      <c r="AE151" s="113">
        <f>IF(OR(AND($F150&lt;=AE$3, $F151 &gt;= AE$3), AND($F151&lt;AE$3, WORKDAY($F151, 22,Holiday!$A$1:$A$30)&gt;AE$3)), 1, 0)+IF(AND((AE$3-$B$2)&gt;=0,(AE$3-$B$2)&lt;30), 2,0)</f>
        <v>0</v>
      </c>
      <c r="AF151" s="113">
        <f>IF(OR(AND($F150&lt;=AF$3, $F151 &gt;= AF$3), AND($F151&lt;AF$3, WORKDAY($F151, 22,Holiday!$A$1:$A$30)&gt;AF$3)), 1, 0)+IF(AND((AF$3-$B$2)&gt;=0,(AF$3-$B$2)&lt;30), 2,0)</f>
        <v>0</v>
      </c>
      <c r="AG151" s="113">
        <f>IF(OR(AND($F150&lt;=AG$3, $F151 &gt;= AG$3), AND($F151&lt;AG$3, WORKDAY($F151, 22,Holiday!$A$1:$A$30)&gt;AG$3)), 1, 0)+IF(AND((AG$3-$B$2)&gt;=0,(AG$3-$B$2)&lt;30), 2,0)</f>
        <v>0</v>
      </c>
      <c r="AH151" s="113">
        <f>IF(OR(AND($F150&lt;=AH$3, $F151 &gt;= AH$3), AND($F151&lt;AH$3, WORKDAY($F151, 22,Holiday!$A$1:$A$30)&gt;AH$3)), 1, 0)+IF(AND((AH$3-$B$2)&gt;=0,(AH$3-$B$2)&lt;30), 2,0)</f>
        <v>0</v>
      </c>
      <c r="AI151" s="113">
        <f>IF(OR(AND($F150&lt;=AI$3, $F151 &gt;= AI$3), AND($F151&lt;AI$3, WORKDAY($F151, 22,Holiday!$A$1:$A$30)&gt;AI$3)), 1, 0)+IF(AND((AI$3-$B$2)&gt;=0,(AI$3-$B$2)&lt;30), 2,0)</f>
        <v>0</v>
      </c>
      <c r="AJ151" s="113">
        <f>IF(OR(AND($F150&lt;=AJ$3, $F151 &gt;= AJ$3), AND($F151&lt;AJ$3, WORKDAY($F151, 22,Holiday!$A$1:$A$30)&gt;AJ$3)), 1, 0)+IF(AND((AJ$3-$B$2)&gt;=0,(AJ$3-$B$2)&lt;30), 2,0)</f>
        <v>0</v>
      </c>
      <c r="AK151" s="113">
        <f>IF(OR(AND($F150&lt;=AK$3, $F151 &gt;= AK$3), AND($F151&lt;AK$3, WORKDAY($F151, 22,Holiday!$A$1:$A$30)&gt;AK$3)), 1, 0)+IF(AND((AK$3-$B$2)&gt;=0,(AK$3-$B$2)&lt;30), 2,0)</f>
        <v>0</v>
      </c>
      <c r="AL151" s="113">
        <f>IF(OR(AND($F150&lt;=AL$3, $F151 &gt;= AL$3), AND($F151&lt;AL$3, WORKDAY($F151, 22,Holiday!$A$1:$A$30)&gt;AL$3)), 1, 0)+IF(AND((AL$3-$B$2)&gt;=0,(AL$3-$B$2)&lt;30), 2,0)</f>
        <v>0</v>
      </c>
      <c r="AM151" s="113">
        <f>IF(OR(AND($F150&lt;=AM$3, $F151 &gt;= AM$3), AND($F151&lt;AM$3, WORKDAY($F151, 22,Holiday!$A$1:$A$30)&gt;AM$3)), 1, 0)+IF(AND((AM$3-$B$2)&gt;=0,(AM$3-$B$2)&lt;30), 2,0)</f>
        <v>0</v>
      </c>
      <c r="AN151" s="113">
        <f>IF(OR(AND($F150&lt;=AN$3, $F151 &gt;= AN$3), AND($F151&lt;AN$3, WORKDAY($F151, 22,Holiday!$A$1:$A$30)&gt;AN$3)), 1, 0)+IF(AND((AN$3-$B$2)&gt;=0,(AN$3-$B$2)&lt;30), 2,0)</f>
        <v>0</v>
      </c>
      <c r="AO151" s="113">
        <f>IF(OR(AND($F150&lt;=AO$3, $F151 &gt;= AO$3), AND($F151&lt;AO$3, WORKDAY($F151, 22,Holiday!$A$1:$A$30)&gt;AO$3)), 1, 0)+IF(AND((AO$3-$B$2)&gt;=0,(AO$3-$B$2)&lt;30), 2,0)</f>
        <v>0</v>
      </c>
    </row>
    <row r="152" spans="2:41" ht="14.4" x14ac:dyDescent="0.25">
      <c r="B152" t="s">
        <v>213</v>
      </c>
      <c r="C152" s="112" t="s">
        <v>282</v>
      </c>
      <c r="D152" s="111">
        <v>10</v>
      </c>
      <c r="E152" s="86">
        <f t="shared" si="3"/>
        <v>15</v>
      </c>
      <c r="F152" s="121">
        <f>WORKDAY(F151,E152,Holiday!A146:A175)</f>
        <v>46393</v>
      </c>
      <c r="G152" s="113">
        <f>IF(OR(AND($F151&lt;=G$3, $F152 &gt;= G$3), AND($F152&lt;G$3, WORKDAY($F152, 22,Holiday!$A$1:$A$30)&gt;G$3)), 1, 0)+IF(AND((G$3-$B$2)&gt;=0,(G$3-$B$2)&lt;30), 2,0)</f>
        <v>0</v>
      </c>
      <c r="H152" s="113">
        <f>IF(OR(AND($F151&lt;=H$3, $F152 &gt;= H$3), AND($F152&lt;H$3, WORKDAY($F152, 22,Holiday!$A$1:$A$30)&gt;H$3)), 1, 0)+IF(AND((H$3-$B$2)&gt;=0,(H$3-$B$2)&lt;30), 2,0)</f>
        <v>0</v>
      </c>
      <c r="I152" s="113">
        <f>IF(OR(AND($F151&lt;=I$3, $F152 &gt;= I$3), AND($F152&lt;I$3, WORKDAY($F152, 22,Holiday!$A$1:$A$30)&gt;I$3)), 1, 0)+IF(AND((I$3-$B$2)&gt;=0,(I$3-$B$2)&lt;30), 2,0)</f>
        <v>0</v>
      </c>
      <c r="J152" s="113">
        <f>IF(OR(AND($F151&lt;=J$3, $F152 &gt;= J$3), AND($F152&lt;J$3, WORKDAY($F152, 22,Holiday!$A$1:$A$30)&gt;J$3)), 1, 0)+IF(AND((J$3-$B$2)&gt;=0,(J$3-$B$2)&lt;30), 2,0)</f>
        <v>0</v>
      </c>
      <c r="K152" s="113">
        <f>IF(OR(AND($F151&lt;=K$3, $F152 &gt;= K$3), AND($F152&lt;K$3, WORKDAY($F152, 22,Holiday!$A$1:$A$30)&gt;K$3)), 1, 0)+IF(AND((K$3-$B$2)&gt;=0,(K$3-$B$2)&lt;30), 2,0)</f>
        <v>0</v>
      </c>
      <c r="L152" s="113">
        <f>IF(OR(AND($F151&lt;=L$3, $F152 &gt;= L$3), AND($F152&lt;L$3, WORKDAY($F152, 22,Holiday!$A$1:$A$30)&gt;L$3)), 1, 0)+IF(AND((L$3-$B$2)&gt;=0,(L$3-$B$2)&lt;30), 2,0)</f>
        <v>0</v>
      </c>
      <c r="M152" s="113">
        <f>IF(OR(AND($F151&lt;=M$3, $F152 &gt;= M$3), AND($F152&lt;M$3, WORKDAY($F152, 22,Holiday!$A$1:$A$30)&gt;M$3)), 1, 0)+IF(AND((M$3-$B$2)&gt;=0,(M$3-$B$2)&lt;30), 2,0)</f>
        <v>0</v>
      </c>
      <c r="N152" s="113">
        <f>IF(OR(AND($F151&lt;=N$3, $F152 &gt;= N$3), AND($F152&lt;N$3, WORKDAY($F152, 22,Holiday!$A$1:$A$30)&gt;N$3)), 1, 0)+IF(AND((N$3-$B$2)&gt;=0,(N$3-$B$2)&lt;30), 2,0)</f>
        <v>0</v>
      </c>
      <c r="O152" s="113">
        <f>IF(OR(AND($F151&lt;=O$3, $F152 &gt;= O$3), AND($F152&lt;O$3, WORKDAY($F152, 22,Holiday!$A$1:$A$30)&gt;O$3)), 1, 0)+IF(AND((O$3-$B$2)&gt;=0,(O$3-$B$2)&lt;30), 2,0)</f>
        <v>0</v>
      </c>
      <c r="P152" s="113">
        <f>IF(OR(AND($F151&lt;=P$3, $F152 &gt;= P$3), AND($F152&lt;P$3, WORKDAY($F152, 22,Holiday!$A$1:$A$30)&gt;P$3)), 1, 0)+IF(AND((P$3-$B$2)&gt;=0,(P$3-$B$2)&lt;30), 2,0)</f>
        <v>0</v>
      </c>
      <c r="Q152" s="113">
        <f>IF(OR(AND($F151&lt;=Q$3, $F152 &gt;= Q$3), AND($F152&lt;Q$3, WORKDAY($F152, 22,Holiday!$A$1:$A$30)&gt;Q$3)), 1, 0)+IF(AND((Q$3-$B$2)&gt;=0,(Q$3-$B$2)&lt;30), 2,0)</f>
        <v>2</v>
      </c>
      <c r="R152" s="113">
        <f>IF(OR(AND($F151&lt;=R$3, $F152 &gt;= R$3), AND($F152&lt;R$3, WORKDAY($F152, 22,Holiday!$A$1:$A$30)&gt;R$3)), 1, 0)+IF(AND((R$3-$B$2)&gt;=0,(R$3-$B$2)&lt;30), 2,0)</f>
        <v>1</v>
      </c>
      <c r="S152" s="113">
        <f>IF(OR(AND($F151&lt;=S$3, $F152 &gt;= S$3), AND($F152&lt;S$3, WORKDAY($F152, 22,Holiday!$A$1:$A$30)&gt;S$3)), 1, 0)+IF(AND((S$3-$B$2)&gt;=0,(S$3-$B$2)&lt;30), 2,0)</f>
        <v>0</v>
      </c>
      <c r="T152" s="113">
        <f>IF(OR(AND($F151&lt;=T$3, $F152 &gt;= T$3), AND($F152&lt;T$3, WORKDAY($F152, 22,Holiday!$A$1:$A$30)&gt;T$3)), 1, 0)+IF(AND((T$3-$B$2)&gt;=0,(T$3-$B$2)&lt;30), 2,0)</f>
        <v>0</v>
      </c>
      <c r="U152" s="113">
        <f>IF(OR(AND($F151&lt;=U$3, $F152 &gt;= U$3), AND($F152&lt;U$3, WORKDAY($F152, 22,Holiday!$A$1:$A$30)&gt;U$3)), 1, 0)+IF(AND((U$3-$B$2)&gt;=0,(U$3-$B$2)&lt;30), 2,0)</f>
        <v>0</v>
      </c>
      <c r="V152" s="113">
        <f>IF(OR(AND($F151&lt;=V$3, $F152 &gt;= V$3), AND($F152&lt;V$3, WORKDAY($F152, 22,Holiday!$A$1:$A$30)&gt;V$3)), 1, 0)+IF(AND((V$3-$B$2)&gt;=0,(V$3-$B$2)&lt;30), 2,0)</f>
        <v>0</v>
      </c>
      <c r="W152" s="113">
        <f>IF(OR(AND($F151&lt;=W$3, $F152 &gt;= W$3), AND($F152&lt;W$3, WORKDAY($F152, 22,Holiday!$A$1:$A$30)&gt;W$3)), 1, 0)+IF(AND((W$3-$B$2)&gt;=0,(W$3-$B$2)&lt;30), 2,0)</f>
        <v>0</v>
      </c>
      <c r="X152" s="113">
        <f>IF(OR(AND($F151&lt;=X$3, $F152 &gt;= X$3), AND($F152&lt;X$3, WORKDAY($F152, 22,Holiday!$A$1:$A$30)&gt;X$3)), 1, 0)+IF(AND((X$3-$B$2)&gt;=0,(X$3-$B$2)&lt;30), 2,0)</f>
        <v>0</v>
      </c>
      <c r="Y152" s="113">
        <f>IF(OR(AND($F151&lt;=Y$3, $F152 &gt;= Y$3), AND($F152&lt;Y$3, WORKDAY($F152, 22,Holiday!$A$1:$A$30)&gt;Y$3)), 1, 0)+IF(AND((Y$3-$B$2)&gt;=0,(Y$3-$B$2)&lt;30), 2,0)</f>
        <v>0</v>
      </c>
      <c r="Z152" s="113">
        <f>IF(OR(AND($F151&lt;=Z$3, $F152 &gt;= Z$3), AND($F152&lt;Z$3, WORKDAY($F152, 22,Holiday!$A$1:$A$30)&gt;Z$3)), 1, 0)+IF(AND((Z$3-$B$2)&gt;=0,(Z$3-$B$2)&lt;30), 2,0)</f>
        <v>0</v>
      </c>
      <c r="AA152" s="113">
        <f>IF(OR(AND($F151&lt;=AA$3, $F152 &gt;= AA$3), AND($F152&lt;AA$3, WORKDAY($F152, 22,Holiday!$A$1:$A$30)&gt;AA$3)), 1, 0)+IF(AND((AA$3-$B$2)&gt;=0,(AA$3-$B$2)&lt;30), 2,0)</f>
        <v>0</v>
      </c>
      <c r="AB152" s="113">
        <f>IF(OR(AND($F151&lt;=AB$3, $F152 &gt;= AB$3), AND($F152&lt;AB$3, WORKDAY($F152, 22,Holiday!$A$1:$A$30)&gt;AB$3)), 1, 0)+IF(AND((AB$3-$B$2)&gt;=0,(AB$3-$B$2)&lt;30), 2,0)</f>
        <v>0</v>
      </c>
      <c r="AC152" s="113">
        <f>IF(OR(AND($F151&lt;=AC$3, $F152 &gt;= AC$3), AND($F152&lt;AC$3, WORKDAY($F152, 22,Holiday!$A$1:$A$30)&gt;AC$3)), 1, 0)+IF(AND((AC$3-$B$2)&gt;=0,(AC$3-$B$2)&lt;30), 2,0)</f>
        <v>0</v>
      </c>
      <c r="AD152" s="113">
        <f>IF(OR(AND($F151&lt;=AD$3, $F152 &gt;= AD$3), AND($F152&lt;AD$3, WORKDAY($F152, 22,Holiday!$A$1:$A$30)&gt;AD$3)), 1, 0)+IF(AND((AD$3-$B$2)&gt;=0,(AD$3-$B$2)&lt;30), 2,0)</f>
        <v>0</v>
      </c>
      <c r="AE152" s="113">
        <f>IF(OR(AND($F151&lt;=AE$3, $F152 &gt;= AE$3), AND($F152&lt;AE$3, WORKDAY($F152, 22,Holiday!$A$1:$A$30)&gt;AE$3)), 1, 0)+IF(AND((AE$3-$B$2)&gt;=0,(AE$3-$B$2)&lt;30), 2,0)</f>
        <v>0</v>
      </c>
      <c r="AF152" s="113">
        <f>IF(OR(AND($F151&lt;=AF$3, $F152 &gt;= AF$3), AND($F152&lt;AF$3, WORKDAY($F152, 22,Holiday!$A$1:$A$30)&gt;AF$3)), 1, 0)+IF(AND((AF$3-$B$2)&gt;=0,(AF$3-$B$2)&lt;30), 2,0)</f>
        <v>0</v>
      </c>
      <c r="AG152" s="113">
        <f>IF(OR(AND($F151&lt;=AG$3, $F152 &gt;= AG$3), AND($F152&lt;AG$3, WORKDAY($F152, 22,Holiday!$A$1:$A$30)&gt;AG$3)), 1, 0)+IF(AND((AG$3-$B$2)&gt;=0,(AG$3-$B$2)&lt;30), 2,0)</f>
        <v>0</v>
      </c>
      <c r="AH152" s="113">
        <f>IF(OR(AND($F151&lt;=AH$3, $F152 &gt;= AH$3), AND($F152&lt;AH$3, WORKDAY($F152, 22,Holiday!$A$1:$A$30)&gt;AH$3)), 1, 0)+IF(AND((AH$3-$B$2)&gt;=0,(AH$3-$B$2)&lt;30), 2,0)</f>
        <v>0</v>
      </c>
      <c r="AI152" s="113">
        <f>IF(OR(AND($F151&lt;=AI$3, $F152 &gt;= AI$3), AND($F152&lt;AI$3, WORKDAY($F152, 22,Holiday!$A$1:$A$30)&gt;AI$3)), 1, 0)+IF(AND((AI$3-$B$2)&gt;=0,(AI$3-$B$2)&lt;30), 2,0)</f>
        <v>0</v>
      </c>
      <c r="AJ152" s="113">
        <f>IF(OR(AND($F151&lt;=AJ$3, $F152 &gt;= AJ$3), AND($F152&lt;AJ$3, WORKDAY($F152, 22,Holiday!$A$1:$A$30)&gt;AJ$3)), 1, 0)+IF(AND((AJ$3-$B$2)&gt;=0,(AJ$3-$B$2)&lt;30), 2,0)</f>
        <v>0</v>
      </c>
      <c r="AK152" s="113">
        <f>IF(OR(AND($F151&lt;=AK$3, $F152 &gt;= AK$3), AND($F152&lt;AK$3, WORKDAY($F152, 22,Holiday!$A$1:$A$30)&gt;AK$3)), 1, 0)+IF(AND((AK$3-$B$2)&gt;=0,(AK$3-$B$2)&lt;30), 2,0)</f>
        <v>0</v>
      </c>
      <c r="AL152" s="113">
        <f>IF(OR(AND($F151&lt;=AL$3, $F152 &gt;= AL$3), AND($F152&lt;AL$3, WORKDAY($F152, 22,Holiday!$A$1:$A$30)&gt;AL$3)), 1, 0)+IF(AND((AL$3-$B$2)&gt;=0,(AL$3-$B$2)&lt;30), 2,0)</f>
        <v>0</v>
      </c>
      <c r="AM152" s="113">
        <f>IF(OR(AND($F151&lt;=AM$3, $F152 &gt;= AM$3), AND($F152&lt;AM$3, WORKDAY($F152, 22,Holiday!$A$1:$A$30)&gt;AM$3)), 1, 0)+IF(AND((AM$3-$B$2)&gt;=0,(AM$3-$B$2)&lt;30), 2,0)</f>
        <v>0</v>
      </c>
      <c r="AN152" s="113">
        <f>IF(OR(AND($F151&lt;=AN$3, $F152 &gt;= AN$3), AND($F152&lt;AN$3, WORKDAY($F152, 22,Holiday!$A$1:$A$30)&gt;AN$3)), 1, 0)+IF(AND((AN$3-$B$2)&gt;=0,(AN$3-$B$2)&lt;30), 2,0)</f>
        <v>0</v>
      </c>
      <c r="AO152" s="113">
        <f>IF(OR(AND($F151&lt;=AO$3, $F152 &gt;= AO$3), AND($F152&lt;AO$3, WORKDAY($F152, 22,Holiday!$A$1:$A$30)&gt;AO$3)), 1, 0)+IF(AND((AO$3-$B$2)&gt;=0,(AO$3-$B$2)&lt;30), 2,0)</f>
        <v>0</v>
      </c>
    </row>
    <row r="153" spans="2:41" ht="14.4" x14ac:dyDescent="0.25">
      <c r="B153" t="s">
        <v>195</v>
      </c>
      <c r="C153" s="112" t="s">
        <v>282</v>
      </c>
      <c r="D153" s="111">
        <v>10</v>
      </c>
      <c r="E153" s="86">
        <f t="shared" si="3"/>
        <v>15</v>
      </c>
      <c r="F153" s="121">
        <f>WORKDAY(F152,E153,Holiday!A147:A176)</f>
        <v>46414</v>
      </c>
      <c r="G153" s="113">
        <f>IF(OR(AND($F152&lt;=G$3, $F153 &gt;= G$3), AND($F153&lt;G$3, WORKDAY($F153, 22,Holiday!$A$1:$A$30)&gt;G$3)), 1, 0)+IF(AND((G$3-$B$2)&gt;=0,(G$3-$B$2)&lt;30), 2,0)</f>
        <v>0</v>
      </c>
      <c r="H153" s="113">
        <f>IF(OR(AND($F152&lt;=H$3, $F153 &gt;= H$3), AND($F153&lt;H$3, WORKDAY($F153, 22,Holiday!$A$1:$A$30)&gt;H$3)), 1, 0)+IF(AND((H$3-$B$2)&gt;=0,(H$3-$B$2)&lt;30), 2,0)</f>
        <v>0</v>
      </c>
      <c r="I153" s="113">
        <f>IF(OR(AND($F152&lt;=I$3, $F153 &gt;= I$3), AND($F153&lt;I$3, WORKDAY($F153, 22,Holiday!$A$1:$A$30)&gt;I$3)), 1, 0)+IF(AND((I$3-$B$2)&gt;=0,(I$3-$B$2)&lt;30), 2,0)</f>
        <v>0</v>
      </c>
      <c r="J153" s="113">
        <f>IF(OR(AND($F152&lt;=J$3, $F153 &gt;= J$3), AND($F153&lt;J$3, WORKDAY($F153, 22,Holiday!$A$1:$A$30)&gt;J$3)), 1, 0)+IF(AND((J$3-$B$2)&gt;=0,(J$3-$B$2)&lt;30), 2,0)</f>
        <v>0</v>
      </c>
      <c r="K153" s="113">
        <f>IF(OR(AND($F152&lt;=K$3, $F153 &gt;= K$3), AND($F153&lt;K$3, WORKDAY($F153, 22,Holiday!$A$1:$A$30)&gt;K$3)), 1, 0)+IF(AND((K$3-$B$2)&gt;=0,(K$3-$B$2)&lt;30), 2,0)</f>
        <v>0</v>
      </c>
      <c r="L153" s="113">
        <f>IF(OR(AND($F152&lt;=L$3, $F153 &gt;= L$3), AND($F153&lt;L$3, WORKDAY($F153, 22,Holiday!$A$1:$A$30)&gt;L$3)), 1, 0)+IF(AND((L$3-$B$2)&gt;=0,(L$3-$B$2)&lt;30), 2,0)</f>
        <v>0</v>
      </c>
      <c r="M153" s="113">
        <f>IF(OR(AND($F152&lt;=M$3, $F153 &gt;= M$3), AND($F153&lt;M$3, WORKDAY($F153, 22,Holiday!$A$1:$A$30)&gt;M$3)), 1, 0)+IF(AND((M$3-$B$2)&gt;=0,(M$3-$B$2)&lt;30), 2,0)</f>
        <v>0</v>
      </c>
      <c r="N153" s="113">
        <f>IF(OR(AND($F152&lt;=N$3, $F153 &gt;= N$3), AND($F153&lt;N$3, WORKDAY($F153, 22,Holiday!$A$1:$A$30)&gt;N$3)), 1, 0)+IF(AND((N$3-$B$2)&gt;=0,(N$3-$B$2)&lt;30), 2,0)</f>
        <v>0</v>
      </c>
      <c r="O153" s="113">
        <f>IF(OR(AND($F152&lt;=O$3, $F153 &gt;= O$3), AND($F153&lt;O$3, WORKDAY($F153, 22,Holiday!$A$1:$A$30)&gt;O$3)), 1, 0)+IF(AND((O$3-$B$2)&gt;=0,(O$3-$B$2)&lt;30), 2,0)</f>
        <v>0</v>
      </c>
      <c r="P153" s="113">
        <f>IF(OR(AND($F152&lt;=P$3, $F153 &gt;= P$3), AND($F153&lt;P$3, WORKDAY($F153, 22,Holiday!$A$1:$A$30)&gt;P$3)), 1, 0)+IF(AND((P$3-$B$2)&gt;=0,(P$3-$B$2)&lt;30), 2,0)</f>
        <v>0</v>
      </c>
      <c r="Q153" s="113">
        <f>IF(OR(AND($F152&lt;=Q$3, $F153 &gt;= Q$3), AND($F153&lt;Q$3, WORKDAY($F153, 22,Holiday!$A$1:$A$30)&gt;Q$3)), 1, 0)+IF(AND((Q$3-$B$2)&gt;=0,(Q$3-$B$2)&lt;30), 2,0)</f>
        <v>2</v>
      </c>
      <c r="R153" s="113">
        <f>IF(OR(AND($F152&lt;=R$3, $F153 &gt;= R$3), AND($F153&lt;R$3, WORKDAY($F153, 22,Holiday!$A$1:$A$30)&gt;R$3)), 1, 0)+IF(AND((R$3-$B$2)&gt;=0,(R$3-$B$2)&lt;30), 2,0)</f>
        <v>1</v>
      </c>
      <c r="S153" s="113">
        <f>IF(OR(AND($F152&lt;=S$3, $F153 &gt;= S$3), AND($F153&lt;S$3, WORKDAY($F153, 22,Holiday!$A$1:$A$30)&gt;S$3)), 1, 0)+IF(AND((S$3-$B$2)&gt;=0,(S$3-$B$2)&lt;30), 2,0)</f>
        <v>1</v>
      </c>
      <c r="T153" s="113">
        <f>IF(OR(AND($F152&lt;=T$3, $F153 &gt;= T$3), AND($F153&lt;T$3, WORKDAY($F153, 22,Holiday!$A$1:$A$30)&gt;T$3)), 1, 0)+IF(AND((T$3-$B$2)&gt;=0,(T$3-$B$2)&lt;30), 2,0)</f>
        <v>0</v>
      </c>
      <c r="U153" s="113">
        <f>IF(OR(AND($F152&lt;=U$3, $F153 &gt;= U$3), AND($F153&lt;U$3, WORKDAY($F153, 22,Holiday!$A$1:$A$30)&gt;U$3)), 1, 0)+IF(AND((U$3-$B$2)&gt;=0,(U$3-$B$2)&lt;30), 2,0)</f>
        <v>0</v>
      </c>
      <c r="V153" s="113">
        <f>IF(OR(AND($F152&lt;=V$3, $F153 &gt;= V$3), AND($F153&lt;V$3, WORKDAY($F153, 22,Holiday!$A$1:$A$30)&gt;V$3)), 1, 0)+IF(AND((V$3-$B$2)&gt;=0,(V$3-$B$2)&lt;30), 2,0)</f>
        <v>0</v>
      </c>
      <c r="W153" s="113">
        <f>IF(OR(AND($F152&lt;=W$3, $F153 &gt;= W$3), AND($F153&lt;W$3, WORKDAY($F153, 22,Holiday!$A$1:$A$30)&gt;W$3)), 1, 0)+IF(AND((W$3-$B$2)&gt;=0,(W$3-$B$2)&lt;30), 2,0)</f>
        <v>0</v>
      </c>
      <c r="X153" s="113">
        <f>IF(OR(AND($F152&lt;=X$3, $F153 &gt;= X$3), AND($F153&lt;X$3, WORKDAY($F153, 22,Holiday!$A$1:$A$30)&gt;X$3)), 1, 0)+IF(AND((X$3-$B$2)&gt;=0,(X$3-$B$2)&lt;30), 2,0)</f>
        <v>0</v>
      </c>
      <c r="Y153" s="113">
        <f>IF(OR(AND($F152&lt;=Y$3, $F153 &gt;= Y$3), AND($F153&lt;Y$3, WORKDAY($F153, 22,Holiday!$A$1:$A$30)&gt;Y$3)), 1, 0)+IF(AND((Y$3-$B$2)&gt;=0,(Y$3-$B$2)&lt;30), 2,0)</f>
        <v>0</v>
      </c>
      <c r="Z153" s="113">
        <f>IF(OR(AND($F152&lt;=Z$3, $F153 &gt;= Z$3), AND($F153&lt;Z$3, WORKDAY($F153, 22,Holiday!$A$1:$A$30)&gt;Z$3)), 1, 0)+IF(AND((Z$3-$B$2)&gt;=0,(Z$3-$B$2)&lt;30), 2,0)</f>
        <v>0</v>
      </c>
      <c r="AA153" s="113">
        <f>IF(OR(AND($F152&lt;=AA$3, $F153 &gt;= AA$3), AND($F153&lt;AA$3, WORKDAY($F153, 22,Holiday!$A$1:$A$30)&gt;AA$3)), 1, 0)+IF(AND((AA$3-$B$2)&gt;=0,(AA$3-$B$2)&lt;30), 2,0)</f>
        <v>0</v>
      </c>
      <c r="AB153" s="113">
        <f>IF(OR(AND($F152&lt;=AB$3, $F153 &gt;= AB$3), AND($F153&lt;AB$3, WORKDAY($F153, 22,Holiday!$A$1:$A$30)&gt;AB$3)), 1, 0)+IF(AND((AB$3-$B$2)&gt;=0,(AB$3-$B$2)&lt;30), 2,0)</f>
        <v>0</v>
      </c>
      <c r="AC153" s="113">
        <f>IF(OR(AND($F152&lt;=AC$3, $F153 &gt;= AC$3), AND($F153&lt;AC$3, WORKDAY($F153, 22,Holiday!$A$1:$A$30)&gt;AC$3)), 1, 0)+IF(AND((AC$3-$B$2)&gt;=0,(AC$3-$B$2)&lt;30), 2,0)</f>
        <v>0</v>
      </c>
      <c r="AD153" s="113">
        <f>IF(OR(AND($F152&lt;=AD$3, $F153 &gt;= AD$3), AND($F153&lt;AD$3, WORKDAY($F153, 22,Holiday!$A$1:$A$30)&gt;AD$3)), 1, 0)+IF(AND((AD$3-$B$2)&gt;=0,(AD$3-$B$2)&lt;30), 2,0)</f>
        <v>0</v>
      </c>
      <c r="AE153" s="113">
        <f>IF(OR(AND($F152&lt;=AE$3, $F153 &gt;= AE$3), AND($F153&lt;AE$3, WORKDAY($F153, 22,Holiday!$A$1:$A$30)&gt;AE$3)), 1, 0)+IF(AND((AE$3-$B$2)&gt;=0,(AE$3-$B$2)&lt;30), 2,0)</f>
        <v>0</v>
      </c>
      <c r="AF153" s="113">
        <f>IF(OR(AND($F152&lt;=AF$3, $F153 &gt;= AF$3), AND($F153&lt;AF$3, WORKDAY($F153, 22,Holiday!$A$1:$A$30)&gt;AF$3)), 1, 0)+IF(AND((AF$3-$B$2)&gt;=0,(AF$3-$B$2)&lt;30), 2,0)</f>
        <v>0</v>
      </c>
      <c r="AG153" s="113">
        <f>IF(OR(AND($F152&lt;=AG$3, $F153 &gt;= AG$3), AND($F153&lt;AG$3, WORKDAY($F153, 22,Holiday!$A$1:$A$30)&gt;AG$3)), 1, 0)+IF(AND((AG$3-$B$2)&gt;=0,(AG$3-$B$2)&lt;30), 2,0)</f>
        <v>0</v>
      </c>
      <c r="AH153" s="113">
        <f>IF(OR(AND($F152&lt;=AH$3, $F153 &gt;= AH$3), AND($F153&lt;AH$3, WORKDAY($F153, 22,Holiday!$A$1:$A$30)&gt;AH$3)), 1, 0)+IF(AND((AH$3-$B$2)&gt;=0,(AH$3-$B$2)&lt;30), 2,0)</f>
        <v>0</v>
      </c>
      <c r="AI153" s="113">
        <f>IF(OR(AND($F152&lt;=AI$3, $F153 &gt;= AI$3), AND($F153&lt;AI$3, WORKDAY($F153, 22,Holiday!$A$1:$A$30)&gt;AI$3)), 1, 0)+IF(AND((AI$3-$B$2)&gt;=0,(AI$3-$B$2)&lt;30), 2,0)</f>
        <v>0</v>
      </c>
      <c r="AJ153" s="113">
        <f>IF(OR(AND($F152&lt;=AJ$3, $F153 &gt;= AJ$3), AND($F153&lt;AJ$3, WORKDAY($F153, 22,Holiday!$A$1:$A$30)&gt;AJ$3)), 1, 0)+IF(AND((AJ$3-$B$2)&gt;=0,(AJ$3-$B$2)&lt;30), 2,0)</f>
        <v>0</v>
      </c>
      <c r="AK153" s="113">
        <f>IF(OR(AND($F152&lt;=AK$3, $F153 &gt;= AK$3), AND($F153&lt;AK$3, WORKDAY($F153, 22,Holiday!$A$1:$A$30)&gt;AK$3)), 1, 0)+IF(AND((AK$3-$B$2)&gt;=0,(AK$3-$B$2)&lt;30), 2,0)</f>
        <v>0</v>
      </c>
      <c r="AL153" s="113">
        <f>IF(OR(AND($F152&lt;=AL$3, $F153 &gt;= AL$3), AND($F153&lt;AL$3, WORKDAY($F153, 22,Holiday!$A$1:$A$30)&gt;AL$3)), 1, 0)+IF(AND((AL$3-$B$2)&gt;=0,(AL$3-$B$2)&lt;30), 2,0)</f>
        <v>0</v>
      </c>
      <c r="AM153" s="113">
        <f>IF(OR(AND($F152&lt;=AM$3, $F153 &gt;= AM$3), AND($F153&lt;AM$3, WORKDAY($F153, 22,Holiday!$A$1:$A$30)&gt;AM$3)), 1, 0)+IF(AND((AM$3-$B$2)&gt;=0,(AM$3-$B$2)&lt;30), 2,0)</f>
        <v>0</v>
      </c>
      <c r="AN153" s="113">
        <f>IF(OR(AND($F152&lt;=AN$3, $F153 &gt;= AN$3), AND($F153&lt;AN$3, WORKDAY($F153, 22,Holiday!$A$1:$A$30)&gt;AN$3)), 1, 0)+IF(AND((AN$3-$B$2)&gt;=0,(AN$3-$B$2)&lt;30), 2,0)</f>
        <v>0</v>
      </c>
      <c r="AO153" s="113">
        <f>IF(OR(AND($F152&lt;=AO$3, $F153 &gt;= AO$3), AND($F153&lt;AO$3, WORKDAY($F153, 22,Holiday!$A$1:$A$30)&gt;AO$3)), 1, 0)+IF(AND((AO$3-$B$2)&gt;=0,(AO$3-$B$2)&lt;30), 2,0)</f>
        <v>0</v>
      </c>
    </row>
  </sheetData>
  <mergeCells count="40">
    <mergeCell ref="O1:O2"/>
    <mergeCell ref="A1:A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A1:AA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N1:AN2"/>
    <mergeCell ref="AO1:AO2"/>
    <mergeCell ref="B53:AO53"/>
    <mergeCell ref="A4:AO4"/>
    <mergeCell ref="AH1:AH2"/>
    <mergeCell ref="AI1:AI2"/>
    <mergeCell ref="AJ1:AJ2"/>
    <mergeCell ref="AK1:AK2"/>
    <mergeCell ref="AL1:AL2"/>
    <mergeCell ref="AM1:AM2"/>
    <mergeCell ref="AB1:AB2"/>
    <mergeCell ref="AC1:AC2"/>
    <mergeCell ref="AD1:AD2"/>
    <mergeCell ref="AE1:AE2"/>
    <mergeCell ref="AF1:AF2"/>
    <mergeCell ref="AG1:AG2"/>
  </mergeCells>
  <conditionalFormatting sqref="G3:AO3">
    <cfRule type="expression" dxfId="3" priority="7">
      <formula>G$5&gt;1</formula>
    </cfRule>
  </conditionalFormatting>
  <conditionalFormatting sqref="G5:AO153">
    <cfRule type="cellIs" dxfId="2" priority="1" operator="greaterThan">
      <formula>1</formula>
    </cfRule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95F6-D0DB-4601-8264-46944F0E609B}">
  <dimension ref="A1:A6"/>
  <sheetViews>
    <sheetView workbookViewId="0">
      <selection activeCell="H13" sqref="H13"/>
    </sheetView>
  </sheetViews>
  <sheetFormatPr defaultRowHeight="13.2" x14ac:dyDescent="0.25"/>
  <cols>
    <col min="1" max="1" width="10.109375" style="114" bestFit="1" customWidth="1"/>
  </cols>
  <sheetData>
    <row r="1" spans="1:1" x14ac:dyDescent="0.25">
      <c r="A1" s="114">
        <v>45901</v>
      </c>
    </row>
    <row r="2" spans="1:1" x14ac:dyDescent="0.25">
      <c r="A2" s="114">
        <v>45902</v>
      </c>
    </row>
    <row r="3" spans="1:1" x14ac:dyDescent="0.25">
      <c r="A3" s="114">
        <v>46023</v>
      </c>
    </row>
    <row r="4" spans="1:1" x14ac:dyDescent="0.25">
      <c r="A4" s="114">
        <v>46142</v>
      </c>
    </row>
    <row r="5" spans="1:1" x14ac:dyDescent="0.25">
      <c r="A5" s="114">
        <v>46143</v>
      </c>
    </row>
    <row r="6" spans="1:1" x14ac:dyDescent="0.25">
      <c r="A6" s="114">
        <v>46267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1557-5853-433D-A2E2-67D2B6E2E690}">
  <dimension ref="A1:C2"/>
  <sheetViews>
    <sheetView zoomScale="89" workbookViewId="0">
      <selection activeCell="A2" sqref="A2"/>
    </sheetView>
  </sheetViews>
  <sheetFormatPr defaultRowHeight="13.2" x14ac:dyDescent="0.25"/>
  <cols>
    <col min="1" max="1" width="9" bestFit="1" customWidth="1"/>
    <col min="2" max="3" width="11" bestFit="1" customWidth="1"/>
  </cols>
  <sheetData>
    <row r="1" spans="1:3" ht="26.4" x14ac:dyDescent="0.25">
      <c r="A1" s="126" t="s">
        <v>255</v>
      </c>
      <c r="B1" s="126" t="s">
        <v>257</v>
      </c>
      <c r="C1" s="126" t="s">
        <v>256</v>
      </c>
    </row>
    <row r="2" spans="1:3" x14ac:dyDescent="0.25">
      <c r="A2" s="129">
        <v>0.5</v>
      </c>
      <c r="B2" s="125">
        <v>46023</v>
      </c>
      <c r="C2" s="125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Mẫu Thiết lập ban đầu</vt:lpstr>
      <vt:lpstr>Mẫu tiến trình chạy</vt:lpstr>
      <vt:lpstr>ETL + BPM</vt:lpstr>
      <vt:lpstr>Holiday</vt:lpstr>
      <vt:lpstr>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Nguyen Minh</dc:creator>
  <cp:lastModifiedBy>Office</cp:lastModifiedBy>
  <dcterms:created xsi:type="dcterms:W3CDTF">2025-08-24T13:28:06Z</dcterms:created>
  <dcterms:modified xsi:type="dcterms:W3CDTF">2025-10-31T00:36:47Z</dcterms:modified>
</cp:coreProperties>
</file>