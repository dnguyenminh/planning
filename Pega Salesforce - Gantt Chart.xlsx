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minhduc3\Documents\XiGiang\ExitPega\COL\"/>
    </mc:Choice>
  </mc:AlternateContent>
  <xr:revisionPtr revIDLastSave="0" documentId="13_ncr:1_{F01ACC31-2E79-4810-B942-5094D0E41F1D}" xr6:coauthVersionLast="47" xr6:coauthVersionMax="47" xr10:uidLastSave="{00000000-0000-0000-0000-000000000000}"/>
  <bookViews>
    <workbookView xWindow="22932" yWindow="-4260" windowWidth="30936" windowHeight="16896" firstSheet="2" activeTab="2" xr2:uid="{00000000-000D-0000-FFFF-FFFF00000000}"/>
  </bookViews>
  <sheets>
    <sheet name="Mẫu Thiết lập ban đầu" sheetId="1" state="hidden" r:id="rId1"/>
    <sheet name="Mẫu tiến trình chạy" sheetId="2" state="hidden" r:id="rId2"/>
    <sheet name="Migration" sheetId="19" r:id="rId3"/>
    <sheet name="BPM 1 DEV" sheetId="3" r:id="rId4"/>
    <sheet name="BPM 2 DEV" sheetId="8" r:id="rId5"/>
    <sheet name="BPM 3 DEV" sheetId="9" r:id="rId6"/>
    <sheet name="BPM 4 DEV" sheetId="10" r:id="rId7"/>
    <sheet name="BPM 6 DEV" sheetId="11" r:id="rId8"/>
    <sheet name="BPM 10 DEV" sheetId="17" r:id="rId9"/>
    <sheet name="ETL 1 DEV " sheetId="12" r:id="rId10"/>
    <sheet name="ETL 2 DEV" sheetId="13" r:id="rId11"/>
    <sheet name="ETL 3 DEV" sheetId="14" r:id="rId12"/>
    <sheet name="ETL 4 DEV" sheetId="15" r:id="rId13"/>
    <sheet name="ETL 8 DEV" sheetId="18" r:id="rId14"/>
    <sheet name="Holiday" sheetId="6" r:id="rId15"/>
    <sheet name="Setting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3" i="3" l="1"/>
  <c r="AP46" i="3" s="1"/>
  <c r="F40" i="18"/>
  <c r="F33" i="18"/>
  <c r="F30" i="18"/>
  <c r="F26" i="18"/>
  <c r="F19" i="18"/>
  <c r="F14" i="18"/>
  <c r="F8" i="18"/>
  <c r="E30" i="18"/>
  <c r="E16" i="18"/>
  <c r="E5" i="18"/>
  <c r="G3" i="18"/>
  <c r="H3" i="18" s="1"/>
  <c r="I3" i="18" s="1"/>
  <c r="J3" i="18" s="1"/>
  <c r="K3" i="18" s="1"/>
  <c r="F3" i="18"/>
  <c r="D2" i="18"/>
  <c r="E35" i="18" s="1"/>
  <c r="F98" i="17"/>
  <c r="F87" i="17"/>
  <c r="F76" i="17"/>
  <c r="F65" i="17"/>
  <c r="F54" i="17"/>
  <c r="F43" i="17"/>
  <c r="F31" i="17"/>
  <c r="F19" i="17"/>
  <c r="F20" i="17"/>
  <c r="F21" i="17"/>
  <c r="F22" i="17" s="1"/>
  <c r="F23" i="17" s="1"/>
  <c r="F24" i="17" s="1"/>
  <c r="F25" i="17" s="1"/>
  <c r="F26" i="17" s="1"/>
  <c r="F27" i="17" s="1"/>
  <c r="F28" i="17" s="1"/>
  <c r="F29" i="17" s="1"/>
  <c r="F30" i="17" s="1"/>
  <c r="F12" i="17"/>
  <c r="F8" i="17"/>
  <c r="F9" i="17"/>
  <c r="F10" i="17" s="1"/>
  <c r="F11" i="17" s="1"/>
  <c r="E14" i="17"/>
  <c r="E12" i="17"/>
  <c r="E10" i="17"/>
  <c r="E5" i="17"/>
  <c r="F3" i="17"/>
  <c r="D2" i="17"/>
  <c r="E11" i="17" s="1"/>
  <c r="F35" i="15"/>
  <c r="F28" i="15"/>
  <c r="F15" i="15"/>
  <c r="F14" i="15"/>
  <c r="F7" i="15"/>
  <c r="F8" i="15" s="1"/>
  <c r="F9" i="15" s="1"/>
  <c r="F10" i="15" s="1"/>
  <c r="F11" i="15" s="1"/>
  <c r="F12" i="15" s="1"/>
  <c r="F13" i="15" s="1"/>
  <c r="F32" i="14"/>
  <c r="F19" i="14"/>
  <c r="F16" i="14"/>
  <c r="F17" i="14" s="1"/>
  <c r="F18" i="14" s="1"/>
  <c r="F27" i="13"/>
  <c r="F24" i="13"/>
  <c r="F25" i="13" s="1"/>
  <c r="F26" i="13" s="1"/>
  <c r="E3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3" i="14"/>
  <c r="F6" i="14"/>
  <c r="F7" i="14" s="1"/>
  <c r="F8" i="14" s="1"/>
  <c r="F9" i="14" s="1"/>
  <c r="F10" i="14" s="1"/>
  <c r="F11" i="14" s="1"/>
  <c r="F12" i="14" s="1"/>
  <c r="F13" i="14" s="1"/>
  <c r="F14" i="14" s="1"/>
  <c r="F15" i="14" s="1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F6" i="13"/>
  <c r="F7" i="13" s="1"/>
  <c r="E33" i="13"/>
  <c r="E34" i="13"/>
  <c r="E35" i="13"/>
  <c r="E36" i="13"/>
  <c r="E37" i="13"/>
  <c r="E38" i="13"/>
  <c r="E39" i="13"/>
  <c r="E40" i="13"/>
  <c r="E41" i="13"/>
  <c r="E42" i="13"/>
  <c r="E43" i="13"/>
  <c r="E44" i="13"/>
  <c r="E3" i="13" s="1"/>
  <c r="E45" i="13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E3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AQ3" i="3" l="1"/>
  <c r="AP8" i="3"/>
  <c r="AP16" i="3"/>
  <c r="AP24" i="3"/>
  <c r="AP32" i="3"/>
  <c r="AP40" i="3"/>
  <c r="AP48" i="3"/>
  <c r="AP5" i="3"/>
  <c r="AP13" i="3"/>
  <c r="AP21" i="3"/>
  <c r="AP29" i="3"/>
  <c r="AP37" i="3"/>
  <c r="AP45" i="3"/>
  <c r="AP10" i="3"/>
  <c r="AP18" i="3"/>
  <c r="AP26" i="3"/>
  <c r="AP34" i="3"/>
  <c r="AP42" i="3"/>
  <c r="AP50" i="3"/>
  <c r="AP7" i="3"/>
  <c r="AP15" i="3"/>
  <c r="AP23" i="3"/>
  <c r="AP31" i="3"/>
  <c r="AP39" i="3"/>
  <c r="AP47" i="3"/>
  <c r="AP4" i="3"/>
  <c r="AP12" i="3"/>
  <c r="AP20" i="3"/>
  <c r="AP28" i="3"/>
  <c r="AP36" i="3"/>
  <c r="AP44" i="3"/>
  <c r="AP9" i="3"/>
  <c r="AP17" i="3"/>
  <c r="AP25" i="3"/>
  <c r="AP33" i="3"/>
  <c r="AP41" i="3"/>
  <c r="AP49" i="3"/>
  <c r="AP6" i="3"/>
  <c r="AP14" i="3"/>
  <c r="AP22" i="3"/>
  <c r="AP30" i="3"/>
  <c r="AP38" i="3"/>
  <c r="AP99" i="3"/>
  <c r="AP91" i="3"/>
  <c r="AP83" i="3"/>
  <c r="AP75" i="3"/>
  <c r="AP67" i="3"/>
  <c r="AP59" i="3"/>
  <c r="AP102" i="3"/>
  <c r="AP94" i="3"/>
  <c r="AP86" i="3"/>
  <c r="AP78" i="3"/>
  <c r="AP70" i="3"/>
  <c r="AP62" i="3"/>
  <c r="AP54" i="3"/>
  <c r="AP97" i="3"/>
  <c r="AP89" i="3"/>
  <c r="AP81" i="3"/>
  <c r="AP73" i="3"/>
  <c r="AP65" i="3"/>
  <c r="AP57" i="3"/>
  <c r="AP100" i="3"/>
  <c r="AP92" i="3"/>
  <c r="AP84" i="3"/>
  <c r="AP76" i="3"/>
  <c r="AP68" i="3"/>
  <c r="AP60" i="3"/>
  <c r="AP52" i="3"/>
  <c r="AP103" i="3"/>
  <c r="AP95" i="3"/>
  <c r="AP87" i="3"/>
  <c r="AP79" i="3"/>
  <c r="AP71" i="3"/>
  <c r="AP63" i="3"/>
  <c r="AP55" i="3"/>
  <c r="AP98" i="3"/>
  <c r="AP90" i="3"/>
  <c r="AP82" i="3"/>
  <c r="AP74" i="3"/>
  <c r="AP66" i="3"/>
  <c r="AP58" i="3"/>
  <c r="AP101" i="3"/>
  <c r="AP93" i="3"/>
  <c r="AP85" i="3"/>
  <c r="AP77" i="3"/>
  <c r="AP69" i="3"/>
  <c r="AP61" i="3"/>
  <c r="AP53" i="3"/>
  <c r="AP96" i="3"/>
  <c r="AP88" i="3"/>
  <c r="AP80" i="3"/>
  <c r="AP72" i="3"/>
  <c r="AP64" i="3"/>
  <c r="AP56" i="3"/>
  <c r="AP11" i="3"/>
  <c r="AP19" i="3"/>
  <c r="AP27" i="3"/>
  <c r="AP35" i="3"/>
  <c r="AP43" i="3"/>
  <c r="AP51" i="3"/>
  <c r="L3" i="18"/>
  <c r="M3" i="18" s="1"/>
  <c r="N3" i="18" s="1"/>
  <c r="O3" i="18" s="1"/>
  <c r="P3" i="18" s="1"/>
  <c r="Q3" i="18" s="1"/>
  <c r="R3" i="18" s="1"/>
  <c r="S3" i="18" s="1"/>
  <c r="E8" i="18"/>
  <c r="E13" i="18"/>
  <c r="E6" i="18"/>
  <c r="E3" i="18" s="1"/>
  <c r="B2" i="18" s="1"/>
  <c r="E12" i="18"/>
  <c r="F4" i="18"/>
  <c r="E41" i="18"/>
  <c r="E44" i="18"/>
  <c r="E39" i="18"/>
  <c r="E42" i="18"/>
  <c r="E34" i="18"/>
  <c r="E45" i="18"/>
  <c r="E37" i="18"/>
  <c r="E40" i="18"/>
  <c r="E32" i="18"/>
  <c r="E36" i="18"/>
  <c r="E22" i="18"/>
  <c r="E43" i="18"/>
  <c r="E25" i="18"/>
  <c r="E38" i="18"/>
  <c r="E29" i="18"/>
  <c r="E20" i="18"/>
  <c r="E26" i="18"/>
  <c r="E21" i="18"/>
  <c r="E33" i="18"/>
  <c r="E23" i="18"/>
  <c r="E19" i="18"/>
  <c r="E11" i="18"/>
  <c r="E27" i="18"/>
  <c r="E14" i="18"/>
  <c r="E24" i="18"/>
  <c r="E17" i="18"/>
  <c r="E9" i="18"/>
  <c r="E28" i="18"/>
  <c r="E15" i="18"/>
  <c r="E7" i="18"/>
  <c r="E31" i="18"/>
  <c r="E18" i="18"/>
  <c r="E10" i="18"/>
  <c r="F32" i="17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F55" i="17" s="1"/>
  <c r="F56" i="17" s="1"/>
  <c r="F57" i="17" s="1"/>
  <c r="F58" i="17" s="1"/>
  <c r="F59" i="17" s="1"/>
  <c r="F60" i="17" s="1"/>
  <c r="F61" i="17" s="1"/>
  <c r="F62" i="17" s="1"/>
  <c r="F63" i="17" s="1"/>
  <c r="F64" i="17" s="1"/>
  <c r="F66" i="17" s="1"/>
  <c r="F67" i="17" s="1"/>
  <c r="F68" i="17" s="1"/>
  <c r="F69" i="17" s="1"/>
  <c r="F70" i="17" s="1"/>
  <c r="F71" i="17" s="1"/>
  <c r="F72" i="17" s="1"/>
  <c r="F73" i="17" s="1"/>
  <c r="F74" i="17" s="1"/>
  <c r="F75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9" i="17" s="1"/>
  <c r="F100" i="17" s="1"/>
  <c r="F101" i="17" s="1"/>
  <c r="F102" i="17" s="1"/>
  <c r="F103" i="17" s="1"/>
  <c r="F13" i="17"/>
  <c r="F14" i="17" s="1"/>
  <c r="F15" i="17" s="1"/>
  <c r="F16" i="17" s="1"/>
  <c r="F17" i="17" s="1"/>
  <c r="F18" i="17" s="1"/>
  <c r="G3" i="17"/>
  <c r="H3" i="17" s="1"/>
  <c r="I3" i="17" s="1"/>
  <c r="J3" i="17" s="1"/>
  <c r="K3" i="17" s="1"/>
  <c r="L3" i="17" s="1"/>
  <c r="M3" i="17" s="1"/>
  <c r="E6" i="17"/>
  <c r="E3" i="17" s="1"/>
  <c r="B2" i="17" s="1"/>
  <c r="F4" i="17"/>
  <c r="E13" i="17"/>
  <c r="E9" i="17"/>
  <c r="E103" i="17"/>
  <c r="E95" i="17"/>
  <c r="E87" i="17"/>
  <c r="E101" i="17"/>
  <c r="E93" i="17"/>
  <c r="E99" i="17"/>
  <c r="E97" i="17"/>
  <c r="E102" i="17"/>
  <c r="E96" i="17"/>
  <c r="E94" i="17"/>
  <c r="E92" i="17"/>
  <c r="E98" i="17"/>
  <c r="E83" i="17"/>
  <c r="E91" i="17"/>
  <c r="E89" i="17"/>
  <c r="E81" i="17"/>
  <c r="E90" i="17"/>
  <c r="E82" i="17"/>
  <c r="E80" i="17"/>
  <c r="E86" i="17"/>
  <c r="E78" i="17"/>
  <c r="E88" i="17"/>
  <c r="E73" i="17"/>
  <c r="E76" i="17"/>
  <c r="E68" i="17"/>
  <c r="E84" i="17"/>
  <c r="E79" i="17"/>
  <c r="E74" i="17"/>
  <c r="E100" i="17"/>
  <c r="E63" i="17"/>
  <c r="E70" i="17"/>
  <c r="E66" i="17"/>
  <c r="E58" i="17"/>
  <c r="E64" i="17"/>
  <c r="E56" i="17"/>
  <c r="E61" i="17"/>
  <c r="E60" i="17"/>
  <c r="E85" i="17"/>
  <c r="E62" i="17"/>
  <c r="E50" i="17"/>
  <c r="E67" i="17"/>
  <c r="E53" i="17"/>
  <c r="E77" i="17"/>
  <c r="E48" i="17"/>
  <c r="E40" i="17"/>
  <c r="E75" i="17"/>
  <c r="E65" i="17"/>
  <c r="E55" i="17"/>
  <c r="E51" i="17"/>
  <c r="E43" i="17"/>
  <c r="E71" i="17"/>
  <c r="E57" i="17"/>
  <c r="E54" i="17"/>
  <c r="E59" i="17"/>
  <c r="E49" i="17"/>
  <c r="E41" i="17"/>
  <c r="E47" i="17"/>
  <c r="E36" i="17"/>
  <c r="E34" i="17"/>
  <c r="E69" i="17"/>
  <c r="E37" i="17"/>
  <c r="E29" i="17"/>
  <c r="E46" i="17"/>
  <c r="E72" i="17"/>
  <c r="E42" i="17"/>
  <c r="E35" i="17"/>
  <c r="E27" i="17"/>
  <c r="E31" i="17"/>
  <c r="E19" i="17"/>
  <c r="E30" i="17"/>
  <c r="E52" i="17"/>
  <c r="E22" i="17"/>
  <c r="E17" i="17"/>
  <c r="E24" i="17"/>
  <c r="E20" i="17"/>
  <c r="E28" i="17"/>
  <c r="E26" i="17"/>
  <c r="E15" i="17"/>
  <c r="E7" i="17"/>
  <c r="E45" i="17"/>
  <c r="E39" i="17"/>
  <c r="E18" i="17"/>
  <c r="E44" i="17"/>
  <c r="E38" i="17"/>
  <c r="E33" i="17"/>
  <c r="E32" i="17"/>
  <c r="E21" i="17"/>
  <c r="E25" i="17"/>
  <c r="E23" i="17"/>
  <c r="E16" i="17"/>
  <c r="E8" i="17"/>
  <c r="F16" i="15"/>
  <c r="F17" i="15" s="1"/>
  <c r="F18" i="15" s="1"/>
  <c r="F19" i="15" s="1"/>
  <c r="F20" i="15" s="1"/>
  <c r="F21" i="15" s="1"/>
  <c r="F22" i="15" s="1"/>
  <c r="F23" i="15" s="1"/>
  <c r="F24" i="15" s="1"/>
  <c r="F25" i="15" s="1"/>
  <c r="F20" i="14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3" i="14" s="1"/>
  <c r="AM33" i="14" s="1"/>
  <c r="F28" i="13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8" i="13"/>
  <c r="E33" i="12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E5" i="12"/>
  <c r="F3" i="15"/>
  <c r="F4" i="15" s="1"/>
  <c r="F3" i="14"/>
  <c r="F3" i="13"/>
  <c r="F3" i="12"/>
  <c r="F3" i="11"/>
  <c r="F3" i="10"/>
  <c r="F3" i="9"/>
  <c r="F3" i="8"/>
  <c r="F3" i="3"/>
  <c r="D2" i="15"/>
  <c r="D2" i="14"/>
  <c r="D2" i="13"/>
  <c r="E29" i="13" s="1"/>
  <c r="D2" i="12"/>
  <c r="D2" i="11"/>
  <c r="D2" i="10"/>
  <c r="D2" i="9"/>
  <c r="D2" i="8"/>
  <c r="D2" i="3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F4" i="14"/>
  <c r="G3" i="14"/>
  <c r="H3" i="14" s="1"/>
  <c r="F4" i="13"/>
  <c r="G3" i="13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F4" i="12"/>
  <c r="G3" i="12"/>
  <c r="H3" i="12" s="1"/>
  <c r="I3" i="12" s="1"/>
  <c r="J3" i="12" s="1"/>
  <c r="AQ102" i="3" l="1"/>
  <c r="AQ94" i="3"/>
  <c r="AQ86" i="3"/>
  <c r="AQ78" i="3"/>
  <c r="AQ70" i="3"/>
  <c r="AQ62" i="3"/>
  <c r="AQ54" i="3"/>
  <c r="AQ97" i="3"/>
  <c r="AQ89" i="3"/>
  <c r="AQ81" i="3"/>
  <c r="AQ73" i="3"/>
  <c r="AQ65" i="3"/>
  <c r="AQ57" i="3"/>
  <c r="AQ100" i="3"/>
  <c r="AQ92" i="3"/>
  <c r="AQ84" i="3"/>
  <c r="AQ76" i="3"/>
  <c r="AQ68" i="3"/>
  <c r="AQ60" i="3"/>
  <c r="AQ52" i="3"/>
  <c r="AQ103" i="3"/>
  <c r="AQ95" i="3"/>
  <c r="AQ87" i="3"/>
  <c r="AQ79" i="3"/>
  <c r="AQ71" i="3"/>
  <c r="AQ63" i="3"/>
  <c r="AQ55" i="3"/>
  <c r="AQ98" i="3"/>
  <c r="AQ90" i="3"/>
  <c r="AQ82" i="3"/>
  <c r="AQ74" i="3"/>
  <c r="AQ66" i="3"/>
  <c r="AQ58" i="3"/>
  <c r="AQ101" i="3"/>
  <c r="AQ93" i="3"/>
  <c r="AQ85" i="3"/>
  <c r="AQ77" i="3"/>
  <c r="AQ69" i="3"/>
  <c r="AQ61" i="3"/>
  <c r="AQ53" i="3"/>
  <c r="AQ96" i="3"/>
  <c r="AQ88" i="3"/>
  <c r="AQ80" i="3"/>
  <c r="AQ72" i="3"/>
  <c r="AQ64" i="3"/>
  <c r="AQ56" i="3"/>
  <c r="AQ99" i="3"/>
  <c r="AQ91" i="3"/>
  <c r="AQ83" i="3"/>
  <c r="AQ75" i="3"/>
  <c r="AQ67" i="3"/>
  <c r="AQ59" i="3"/>
  <c r="AQ46" i="3"/>
  <c r="AQ38" i="3"/>
  <c r="AQ30" i="3"/>
  <c r="AQ22" i="3"/>
  <c r="AQ14" i="3"/>
  <c r="AQ6" i="3"/>
  <c r="AQ49" i="3"/>
  <c r="AQ41" i="3"/>
  <c r="AQ33" i="3"/>
  <c r="AQ25" i="3"/>
  <c r="AQ17" i="3"/>
  <c r="AQ9" i="3"/>
  <c r="AQ44" i="3"/>
  <c r="AQ36" i="3"/>
  <c r="AQ28" i="3"/>
  <c r="AQ20" i="3"/>
  <c r="AQ12" i="3"/>
  <c r="AQ4" i="3"/>
  <c r="AQ47" i="3"/>
  <c r="AQ39" i="3"/>
  <c r="AQ31" i="3"/>
  <c r="AQ23" i="3"/>
  <c r="AQ15" i="3"/>
  <c r="AQ7" i="3"/>
  <c r="AQ50" i="3"/>
  <c r="AQ42" i="3"/>
  <c r="AQ34" i="3"/>
  <c r="AQ26" i="3"/>
  <c r="AQ18" i="3"/>
  <c r="AQ10" i="3"/>
  <c r="AQ45" i="3"/>
  <c r="AQ37" i="3"/>
  <c r="AQ29" i="3"/>
  <c r="AQ21" i="3"/>
  <c r="AQ13" i="3"/>
  <c r="AQ5" i="3"/>
  <c r="AQ48" i="3"/>
  <c r="AQ40" i="3"/>
  <c r="AQ32" i="3"/>
  <c r="AQ24" i="3"/>
  <c r="AQ16" i="3"/>
  <c r="AQ8" i="3"/>
  <c r="AR3" i="3"/>
  <c r="AQ51" i="3"/>
  <c r="AQ43" i="3"/>
  <c r="AQ35" i="3"/>
  <c r="AQ27" i="3"/>
  <c r="AQ19" i="3"/>
  <c r="AQ11" i="3"/>
  <c r="R4" i="18"/>
  <c r="N4" i="18"/>
  <c r="F5" i="18"/>
  <c r="J5" i="18" s="1"/>
  <c r="J4" i="18"/>
  <c r="L4" i="18"/>
  <c r="P4" i="18"/>
  <c r="H4" i="18"/>
  <c r="T3" i="18"/>
  <c r="S4" i="18"/>
  <c r="Q4" i="18"/>
  <c r="O4" i="18"/>
  <c r="M4" i="18"/>
  <c r="K4" i="18"/>
  <c r="I4" i="18"/>
  <c r="G4" i="18"/>
  <c r="I4" i="17"/>
  <c r="K4" i="17"/>
  <c r="G5" i="17"/>
  <c r="L5" i="17"/>
  <c r="H5" i="17"/>
  <c r="F5" i="17"/>
  <c r="J5" i="17" s="1"/>
  <c r="N5" i="17"/>
  <c r="M5" i="17"/>
  <c r="K5" i="17"/>
  <c r="I5" i="17"/>
  <c r="G4" i="17"/>
  <c r="J4" i="17"/>
  <c r="N3" i="17"/>
  <c r="M4" i="17"/>
  <c r="L4" i="17"/>
  <c r="H4" i="17"/>
  <c r="F26" i="15"/>
  <c r="F27" i="15" s="1"/>
  <c r="F29" i="15" s="1"/>
  <c r="F30" i="15" s="1"/>
  <c r="F31" i="15" s="1"/>
  <c r="F32" i="15" s="1"/>
  <c r="AE33" i="14"/>
  <c r="AJ33" i="14"/>
  <c r="P33" i="14"/>
  <c r="O33" i="14"/>
  <c r="J33" i="14"/>
  <c r="T33" i="14"/>
  <c r="AI33" i="14"/>
  <c r="N33" i="14"/>
  <c r="H33" i="14"/>
  <c r="AD33" i="14"/>
  <c r="AH33" i="14"/>
  <c r="F34" i="14"/>
  <c r="AJ34" i="14" s="1"/>
  <c r="Z33" i="14"/>
  <c r="AO33" i="14"/>
  <c r="Y33" i="14"/>
  <c r="I33" i="14"/>
  <c r="X33" i="14"/>
  <c r="AK33" i="14"/>
  <c r="AN33" i="14"/>
  <c r="U33" i="14"/>
  <c r="AC33" i="14"/>
  <c r="M33" i="14"/>
  <c r="AB33" i="14"/>
  <c r="AA33" i="14"/>
  <c r="AL33" i="14"/>
  <c r="G33" i="14"/>
  <c r="W33" i="14"/>
  <c r="AG33" i="14"/>
  <c r="S33" i="14"/>
  <c r="R33" i="14"/>
  <c r="L33" i="14"/>
  <c r="K33" i="14"/>
  <c r="AF33" i="14"/>
  <c r="V33" i="14"/>
  <c r="Q33" i="14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5" i="12"/>
  <c r="F6" i="12" s="1"/>
  <c r="G3" i="15"/>
  <c r="E8" i="13"/>
  <c r="E16" i="13"/>
  <c r="E24" i="13"/>
  <c r="E32" i="13"/>
  <c r="E31" i="13"/>
  <c r="E10" i="13"/>
  <c r="E18" i="13"/>
  <c r="E26" i="13"/>
  <c r="E15" i="13"/>
  <c r="E25" i="13"/>
  <c r="E11" i="13"/>
  <c r="E19" i="13"/>
  <c r="E27" i="13"/>
  <c r="E17" i="13"/>
  <c r="E12" i="13"/>
  <c r="E20" i="13"/>
  <c r="E28" i="13"/>
  <c r="E6" i="13"/>
  <c r="E14" i="13"/>
  <c r="E22" i="13"/>
  <c r="E30" i="13"/>
  <c r="E7" i="13"/>
  <c r="E23" i="13"/>
  <c r="E9" i="13"/>
  <c r="E5" i="13"/>
  <c r="E13" i="13"/>
  <c r="E21" i="13"/>
  <c r="B2" i="14"/>
  <c r="H4" i="14" s="1"/>
  <c r="B2" i="15"/>
  <c r="H3" i="15"/>
  <c r="F5" i="15"/>
  <c r="F5" i="14"/>
  <c r="I3" i="14"/>
  <c r="H3" i="13"/>
  <c r="F5" i="13"/>
  <c r="B2" i="12"/>
  <c r="K3" i="12"/>
  <c r="AR97" i="3" l="1"/>
  <c r="AR89" i="3"/>
  <c r="AR81" i="3"/>
  <c r="AR73" i="3"/>
  <c r="AR65" i="3"/>
  <c r="AR57" i="3"/>
  <c r="AR100" i="3"/>
  <c r="AR92" i="3"/>
  <c r="AR84" i="3"/>
  <c r="AR76" i="3"/>
  <c r="AR68" i="3"/>
  <c r="AR60" i="3"/>
  <c r="AR52" i="3"/>
  <c r="AR103" i="3"/>
  <c r="AR95" i="3"/>
  <c r="AR87" i="3"/>
  <c r="AR79" i="3"/>
  <c r="AR71" i="3"/>
  <c r="AR63" i="3"/>
  <c r="AR55" i="3"/>
  <c r="AR98" i="3"/>
  <c r="AR90" i="3"/>
  <c r="AR82" i="3"/>
  <c r="AR74" i="3"/>
  <c r="AR66" i="3"/>
  <c r="AR58" i="3"/>
  <c r="AR101" i="3"/>
  <c r="AR93" i="3"/>
  <c r="AR85" i="3"/>
  <c r="AR77" i="3"/>
  <c r="AR69" i="3"/>
  <c r="AR61" i="3"/>
  <c r="AR53" i="3"/>
  <c r="AR96" i="3"/>
  <c r="AR88" i="3"/>
  <c r="AR80" i="3"/>
  <c r="AR72" i="3"/>
  <c r="AR64" i="3"/>
  <c r="AR56" i="3"/>
  <c r="AR99" i="3"/>
  <c r="AR91" i="3"/>
  <c r="AR83" i="3"/>
  <c r="AR75" i="3"/>
  <c r="AR67" i="3"/>
  <c r="AR59" i="3"/>
  <c r="AR102" i="3"/>
  <c r="AR94" i="3"/>
  <c r="AR86" i="3"/>
  <c r="AR78" i="3"/>
  <c r="AR70" i="3"/>
  <c r="AR62" i="3"/>
  <c r="AR54" i="3"/>
  <c r="AR49" i="3"/>
  <c r="AR41" i="3"/>
  <c r="AR33" i="3"/>
  <c r="AR25" i="3"/>
  <c r="AR17" i="3"/>
  <c r="AR9" i="3"/>
  <c r="AR44" i="3"/>
  <c r="AR36" i="3"/>
  <c r="AR28" i="3"/>
  <c r="AR20" i="3"/>
  <c r="AR12" i="3"/>
  <c r="AR4" i="3"/>
  <c r="AR47" i="3"/>
  <c r="AR39" i="3"/>
  <c r="AR31" i="3"/>
  <c r="AR23" i="3"/>
  <c r="AR15" i="3"/>
  <c r="AR7" i="3"/>
  <c r="AR50" i="3"/>
  <c r="AR42" i="3"/>
  <c r="AR34" i="3"/>
  <c r="AR26" i="3"/>
  <c r="AR18" i="3"/>
  <c r="AR10" i="3"/>
  <c r="AR45" i="3"/>
  <c r="AR37" i="3"/>
  <c r="AR29" i="3"/>
  <c r="AR21" i="3"/>
  <c r="AR13" i="3"/>
  <c r="AR5" i="3"/>
  <c r="AR48" i="3"/>
  <c r="AR40" i="3"/>
  <c r="AR32" i="3"/>
  <c r="AR24" i="3"/>
  <c r="AR16" i="3"/>
  <c r="AR8" i="3"/>
  <c r="AS3" i="3"/>
  <c r="AR51" i="3"/>
  <c r="AR43" i="3"/>
  <c r="AR35" i="3"/>
  <c r="AR27" i="3"/>
  <c r="AR19" i="3"/>
  <c r="AR11" i="3"/>
  <c r="AR46" i="3"/>
  <c r="AR38" i="3"/>
  <c r="AR30" i="3"/>
  <c r="AR22" i="3"/>
  <c r="AR14" i="3"/>
  <c r="AR6" i="3"/>
  <c r="G5" i="18"/>
  <c r="H5" i="18"/>
  <c r="H6" i="18"/>
  <c r="F6" i="18"/>
  <c r="O6" i="18" s="1"/>
  <c r="M6" i="18"/>
  <c r="T6" i="18"/>
  <c r="Q6" i="18"/>
  <c r="R6" i="18"/>
  <c r="S5" i="18"/>
  <c r="M5" i="18"/>
  <c r="U3" i="18"/>
  <c r="T4" i="18"/>
  <c r="O5" i="18"/>
  <c r="P5" i="18"/>
  <c r="R5" i="18"/>
  <c r="I5" i="18"/>
  <c r="T5" i="18"/>
  <c r="L5" i="18"/>
  <c r="N5" i="18"/>
  <c r="Q5" i="18"/>
  <c r="K5" i="18"/>
  <c r="O3" i="17"/>
  <c r="N4" i="17"/>
  <c r="N35" i="17"/>
  <c r="M35" i="17"/>
  <c r="F6" i="17"/>
  <c r="L6" i="17" s="1"/>
  <c r="N54" i="17"/>
  <c r="I54" i="17"/>
  <c r="L54" i="17"/>
  <c r="M17" i="17"/>
  <c r="K17" i="17"/>
  <c r="N90" i="17"/>
  <c r="L90" i="17"/>
  <c r="J90" i="17"/>
  <c r="I90" i="17"/>
  <c r="O72" i="17"/>
  <c r="F33" i="15"/>
  <c r="F34" i="15" s="1"/>
  <c r="P34" i="14"/>
  <c r="T34" i="14"/>
  <c r="I34" i="14"/>
  <c r="S34" i="14"/>
  <c r="AE34" i="14"/>
  <c r="Y34" i="14"/>
  <c r="AC34" i="14"/>
  <c r="AN34" i="14"/>
  <c r="V34" i="14"/>
  <c r="AO34" i="14"/>
  <c r="M34" i="14"/>
  <c r="AM34" i="14"/>
  <c r="AH34" i="14"/>
  <c r="X34" i="14"/>
  <c r="G34" i="14"/>
  <c r="AD34" i="14"/>
  <c r="W34" i="14"/>
  <c r="U34" i="14"/>
  <c r="AI34" i="14"/>
  <c r="N34" i="14"/>
  <c r="Z34" i="14"/>
  <c r="H34" i="14"/>
  <c r="AG34" i="14"/>
  <c r="L34" i="14"/>
  <c r="Q34" i="14"/>
  <c r="AA34" i="14"/>
  <c r="K35" i="14"/>
  <c r="AA35" i="14"/>
  <c r="L35" i="14"/>
  <c r="AB35" i="14"/>
  <c r="AE35" i="14"/>
  <c r="M35" i="14"/>
  <c r="F35" i="14"/>
  <c r="R35" i="14" s="1"/>
  <c r="V35" i="14"/>
  <c r="AL35" i="14"/>
  <c r="G35" i="14"/>
  <c r="W35" i="14"/>
  <c r="H35" i="14"/>
  <c r="X35" i="14"/>
  <c r="J35" i="14"/>
  <c r="Z35" i="14"/>
  <c r="AG35" i="14"/>
  <c r="AH35" i="14"/>
  <c r="S35" i="14"/>
  <c r="AL34" i="14"/>
  <c r="K34" i="14"/>
  <c r="R34" i="14"/>
  <c r="J34" i="14"/>
  <c r="O34" i="14"/>
  <c r="AB34" i="14"/>
  <c r="AK34" i="14"/>
  <c r="AF34" i="14"/>
  <c r="G4" i="15"/>
  <c r="M4" i="15"/>
  <c r="AH31" i="12"/>
  <c r="AN4" i="12"/>
  <c r="AA32" i="12"/>
  <c r="H5" i="12"/>
  <c r="B2" i="13"/>
  <c r="G5" i="14"/>
  <c r="G4" i="14"/>
  <c r="H5" i="15"/>
  <c r="H27" i="15"/>
  <c r="G27" i="15"/>
  <c r="F6" i="15"/>
  <c r="H6" i="15" s="1"/>
  <c r="H15" i="15"/>
  <c r="G15" i="15"/>
  <c r="G5" i="15"/>
  <c r="H4" i="15"/>
  <c r="I3" i="15"/>
  <c r="I15" i="15" s="1"/>
  <c r="I4" i="14"/>
  <c r="J3" i="14"/>
  <c r="J21" i="14" s="1"/>
  <c r="I5" i="14"/>
  <c r="H5" i="14"/>
  <c r="H21" i="14"/>
  <c r="I21" i="14"/>
  <c r="I6" i="14"/>
  <c r="I3" i="13"/>
  <c r="K6" i="12"/>
  <c r="J6" i="12"/>
  <c r="H6" i="12"/>
  <c r="J4" i="12"/>
  <c r="I5" i="12"/>
  <c r="G4" i="12"/>
  <c r="I6" i="12"/>
  <c r="J5" i="12"/>
  <c r="G5" i="12"/>
  <c r="H4" i="12"/>
  <c r="G6" i="12"/>
  <c r="I4" i="12"/>
  <c r="F7" i="12"/>
  <c r="K5" i="12"/>
  <c r="K4" i="12"/>
  <c r="L3" i="12"/>
  <c r="AS100" i="3" l="1"/>
  <c r="AS92" i="3"/>
  <c r="AS84" i="3"/>
  <c r="AS76" i="3"/>
  <c r="AS68" i="3"/>
  <c r="AS60" i="3"/>
  <c r="AS52" i="3"/>
  <c r="AS103" i="3"/>
  <c r="AS95" i="3"/>
  <c r="AS87" i="3"/>
  <c r="AS79" i="3"/>
  <c r="AS71" i="3"/>
  <c r="AS63" i="3"/>
  <c r="AS55" i="3"/>
  <c r="AS98" i="3"/>
  <c r="AS90" i="3"/>
  <c r="AS82" i="3"/>
  <c r="AS74" i="3"/>
  <c r="AS66" i="3"/>
  <c r="AS58" i="3"/>
  <c r="AS101" i="3"/>
  <c r="AS93" i="3"/>
  <c r="AS85" i="3"/>
  <c r="AS77" i="3"/>
  <c r="AS69" i="3"/>
  <c r="AS61" i="3"/>
  <c r="AS53" i="3"/>
  <c r="AS96" i="3"/>
  <c r="AS88" i="3"/>
  <c r="AS80" i="3"/>
  <c r="AS72" i="3"/>
  <c r="AS64" i="3"/>
  <c r="AS56" i="3"/>
  <c r="AS99" i="3"/>
  <c r="AS91" i="3"/>
  <c r="AS83" i="3"/>
  <c r="AS75" i="3"/>
  <c r="AS67" i="3"/>
  <c r="AS59" i="3"/>
  <c r="AS102" i="3"/>
  <c r="AS94" i="3"/>
  <c r="AS86" i="3"/>
  <c r="AS78" i="3"/>
  <c r="AS70" i="3"/>
  <c r="AS62" i="3"/>
  <c r="AS54" i="3"/>
  <c r="AS97" i="3"/>
  <c r="AS89" i="3"/>
  <c r="AS81" i="3"/>
  <c r="AS73" i="3"/>
  <c r="AS65" i="3"/>
  <c r="AS57" i="3"/>
  <c r="AS44" i="3"/>
  <c r="AS36" i="3"/>
  <c r="AS28" i="3"/>
  <c r="AS20" i="3"/>
  <c r="AS12" i="3"/>
  <c r="AS4" i="3"/>
  <c r="AS47" i="3"/>
  <c r="AS39" i="3"/>
  <c r="AS31" i="3"/>
  <c r="AS23" i="3"/>
  <c r="AS15" i="3"/>
  <c r="AS7" i="3"/>
  <c r="AS50" i="3"/>
  <c r="AS42" i="3"/>
  <c r="AS34" i="3"/>
  <c r="AS26" i="3"/>
  <c r="AS18" i="3"/>
  <c r="AS10" i="3"/>
  <c r="AS45" i="3"/>
  <c r="AS37" i="3"/>
  <c r="AS29" i="3"/>
  <c r="AS21" i="3"/>
  <c r="AS13" i="3"/>
  <c r="AS5" i="3"/>
  <c r="AS48" i="3"/>
  <c r="AS40" i="3"/>
  <c r="AS32" i="3"/>
  <c r="AS24" i="3"/>
  <c r="AS16" i="3"/>
  <c r="AS8" i="3"/>
  <c r="AT3" i="3"/>
  <c r="AS51" i="3"/>
  <c r="AS43" i="3"/>
  <c r="AS35" i="3"/>
  <c r="AS27" i="3"/>
  <c r="AS19" i="3"/>
  <c r="AS11" i="3"/>
  <c r="AS46" i="3"/>
  <c r="AS38" i="3"/>
  <c r="AS30" i="3"/>
  <c r="AS22" i="3"/>
  <c r="AS14" i="3"/>
  <c r="AS6" i="3"/>
  <c r="AS49" i="3"/>
  <c r="AS41" i="3"/>
  <c r="AS33" i="3"/>
  <c r="AS25" i="3"/>
  <c r="AS17" i="3"/>
  <c r="AS9" i="3"/>
  <c r="U6" i="18"/>
  <c r="I6" i="18"/>
  <c r="K6" i="18"/>
  <c r="L6" i="18"/>
  <c r="P6" i="18"/>
  <c r="S6" i="18"/>
  <c r="G6" i="18"/>
  <c r="J6" i="18"/>
  <c r="Q7" i="18"/>
  <c r="P7" i="18"/>
  <c r="H7" i="18"/>
  <c r="M7" i="18"/>
  <c r="T7" i="18"/>
  <c r="L7" i="18"/>
  <c r="F7" i="18"/>
  <c r="S7" i="18"/>
  <c r="N7" i="18"/>
  <c r="R7" i="18"/>
  <c r="O7" i="18"/>
  <c r="K7" i="18"/>
  <c r="G7" i="18"/>
  <c r="N6" i="18"/>
  <c r="V3" i="18"/>
  <c r="U4" i="18"/>
  <c r="U5" i="18"/>
  <c r="N73" i="17"/>
  <c r="G73" i="17"/>
  <c r="L73" i="17"/>
  <c r="J73" i="17"/>
  <c r="P3" i="17"/>
  <c r="O4" i="17"/>
  <c r="O5" i="17"/>
  <c r="I72" i="17"/>
  <c r="G18" i="17"/>
  <c r="H6" i="17"/>
  <c r="K6" i="17"/>
  <c r="G35" i="17"/>
  <c r="H72" i="17"/>
  <c r="N72" i="17"/>
  <c r="H90" i="17"/>
  <c r="G90" i="17"/>
  <c r="K54" i="17"/>
  <c r="M54" i="17"/>
  <c r="G54" i="17"/>
  <c r="O6" i="17"/>
  <c r="L35" i="17"/>
  <c r="J35" i="17"/>
  <c r="I35" i="17"/>
  <c r="J17" i="17"/>
  <c r="L17" i="17"/>
  <c r="I91" i="17"/>
  <c r="O91" i="17"/>
  <c r="G91" i="17"/>
  <c r="M91" i="17"/>
  <c r="H91" i="17"/>
  <c r="P91" i="17"/>
  <c r="L91" i="17"/>
  <c r="N91" i="17"/>
  <c r="N17" i="17"/>
  <c r="G6" i="17"/>
  <c r="K35" i="17"/>
  <c r="O35" i="17"/>
  <c r="L72" i="17"/>
  <c r="J72" i="17"/>
  <c r="G72" i="17"/>
  <c r="M90" i="17"/>
  <c r="I17" i="17"/>
  <c r="O54" i="17"/>
  <c r="M7" i="17"/>
  <c r="G7" i="17"/>
  <c r="F7" i="17"/>
  <c r="O7" i="17"/>
  <c r="L7" i="17"/>
  <c r="K7" i="17"/>
  <c r="I7" i="17"/>
  <c r="I6" i="17"/>
  <c r="G17" i="17"/>
  <c r="H35" i="17"/>
  <c r="M72" i="17"/>
  <c r="K72" i="17"/>
  <c r="K90" i="17"/>
  <c r="O90" i="17"/>
  <c r="H17" i="17"/>
  <c r="O17" i="17"/>
  <c r="M55" i="17"/>
  <c r="J55" i="17"/>
  <c r="I55" i="17"/>
  <c r="H55" i="17"/>
  <c r="G55" i="17"/>
  <c r="P55" i="17"/>
  <c r="O55" i="17"/>
  <c r="N55" i="17"/>
  <c r="K55" i="17"/>
  <c r="H54" i="17"/>
  <c r="J54" i="17"/>
  <c r="N6" i="17"/>
  <c r="M6" i="17"/>
  <c r="J6" i="17"/>
  <c r="W33" i="15"/>
  <c r="AA33" i="15"/>
  <c r="AG33" i="15"/>
  <c r="AF34" i="15"/>
  <c r="AL34" i="15"/>
  <c r="N34" i="15"/>
  <c r="AB34" i="15"/>
  <c r="AC33" i="15"/>
  <c r="AJ34" i="15"/>
  <c r="H33" i="15"/>
  <c r="AC34" i="15"/>
  <c r="AA34" i="15"/>
  <c r="R33" i="15"/>
  <c r="O34" i="15"/>
  <c r="U33" i="15"/>
  <c r="Q34" i="15"/>
  <c r="AM33" i="15"/>
  <c r="AD34" i="15"/>
  <c r="AL33" i="15"/>
  <c r="N33" i="15"/>
  <c r="U34" i="15"/>
  <c r="Y34" i="15"/>
  <c r="R34" i="15"/>
  <c r="AJ33" i="15"/>
  <c r="AK33" i="15"/>
  <c r="W34" i="15"/>
  <c r="V34" i="15"/>
  <c r="P33" i="15"/>
  <c r="AG34" i="15"/>
  <c r="AD33" i="15"/>
  <c r="G33" i="15"/>
  <c r="AH33" i="15"/>
  <c r="J34" i="15"/>
  <c r="T33" i="15"/>
  <c r="I34" i="15"/>
  <c r="AN34" i="15"/>
  <c r="AK34" i="15"/>
  <c r="P34" i="15"/>
  <c r="Y33" i="15"/>
  <c r="O33" i="15"/>
  <c r="AO34" i="15"/>
  <c r="H34" i="15"/>
  <c r="AD35" i="15"/>
  <c r="T35" i="15"/>
  <c r="X34" i="15"/>
  <c r="L34" i="15"/>
  <c r="V33" i="15"/>
  <c r="M33" i="15"/>
  <c r="AO33" i="15"/>
  <c r="S33" i="15"/>
  <c r="K34" i="15"/>
  <c r="X35" i="15"/>
  <c r="AN33" i="15"/>
  <c r="AE33" i="15"/>
  <c r="X33" i="15"/>
  <c r="K35" i="15"/>
  <c r="K33" i="15"/>
  <c r="Q33" i="15"/>
  <c r="AM34" i="15"/>
  <c r="AI34" i="15"/>
  <c r="M34" i="15"/>
  <c r="AE34" i="15"/>
  <c r="AI33" i="15"/>
  <c r="J33" i="15"/>
  <c r="Z33" i="15"/>
  <c r="AF33" i="15"/>
  <c r="Z34" i="15"/>
  <c r="AH34" i="15"/>
  <c r="T34" i="15"/>
  <c r="S34" i="15"/>
  <c r="U35" i="15"/>
  <c r="G34" i="15"/>
  <c r="L33" i="15"/>
  <c r="AB33" i="15"/>
  <c r="I33" i="15"/>
  <c r="AI35" i="14"/>
  <c r="U35" i="14"/>
  <c r="Q35" i="14"/>
  <c r="T35" i="14"/>
  <c r="AK35" i="14"/>
  <c r="AF35" i="14"/>
  <c r="O35" i="14"/>
  <c r="AO35" i="14"/>
  <c r="AD35" i="14"/>
  <c r="Y35" i="14"/>
  <c r="N35" i="14"/>
  <c r="I35" i="14"/>
  <c r="AN35" i="14"/>
  <c r="F36" i="14"/>
  <c r="AJ35" i="14"/>
  <c r="P35" i="14"/>
  <c r="AM35" i="14"/>
  <c r="AC35" i="14"/>
  <c r="U8" i="13"/>
  <c r="U44" i="13"/>
  <c r="U45" i="13"/>
  <c r="U9" i="13"/>
  <c r="G4" i="13"/>
  <c r="Z33" i="13"/>
  <c r="K34" i="13"/>
  <c r="AE34" i="13"/>
  <c r="P35" i="13"/>
  <c r="AJ35" i="13"/>
  <c r="U36" i="13"/>
  <c r="AO36" i="13"/>
  <c r="Z37" i="13"/>
  <c r="K38" i="13"/>
  <c r="AE38" i="13"/>
  <c r="P39" i="13"/>
  <c r="AJ39" i="13"/>
  <c r="U40" i="13"/>
  <c r="AO40" i="13"/>
  <c r="Z41" i="13"/>
  <c r="K42" i="13"/>
  <c r="AE42" i="13"/>
  <c r="P43" i="13"/>
  <c r="AJ43" i="13"/>
  <c r="AO44" i="13"/>
  <c r="Z45" i="13"/>
  <c r="AF38" i="13"/>
  <c r="G41" i="13"/>
  <c r="L42" i="13"/>
  <c r="Q43" i="13"/>
  <c r="V44" i="13"/>
  <c r="AA45" i="13"/>
  <c r="N38" i="13"/>
  <c r="X40" i="13"/>
  <c r="N42" i="13"/>
  <c r="AM43" i="13"/>
  <c r="AC45" i="13"/>
  <c r="AD33" i="13"/>
  <c r="AI34" i="13"/>
  <c r="Y36" i="13"/>
  <c r="O38" i="13"/>
  <c r="AN39" i="13"/>
  <c r="AD41" i="13"/>
  <c r="AI42" i="13"/>
  <c r="AN43" i="13"/>
  <c r="J45" i="13"/>
  <c r="K33" i="13"/>
  <c r="P34" i="13"/>
  <c r="U35" i="13"/>
  <c r="Z36" i="13"/>
  <c r="P38" i="13"/>
  <c r="U39" i="13"/>
  <c r="K41" i="13"/>
  <c r="AJ42" i="13"/>
  <c r="AO43" i="13"/>
  <c r="AE45" i="13"/>
  <c r="X43" i="13"/>
  <c r="AH45" i="13"/>
  <c r="AI33" i="13"/>
  <c r="J36" i="13"/>
  <c r="AI37" i="13"/>
  <c r="J40" i="13"/>
  <c r="AN42" i="13"/>
  <c r="AI45" i="13"/>
  <c r="AO34" i="13"/>
  <c r="P37" i="13"/>
  <c r="K40" i="13"/>
  <c r="AO42" i="13"/>
  <c r="AJ45" i="13"/>
  <c r="AA35" i="13"/>
  <c r="AK37" i="13"/>
  <c r="AF40" i="13"/>
  <c r="G43" i="13"/>
  <c r="Q45" i="13"/>
  <c r="H35" i="13"/>
  <c r="R37" i="13"/>
  <c r="M40" i="13"/>
  <c r="H43" i="13"/>
  <c r="AL45" i="13"/>
  <c r="AC35" i="13"/>
  <c r="AM37" i="13"/>
  <c r="N40" i="13"/>
  <c r="I43" i="13"/>
  <c r="AM45" i="13"/>
  <c r="AD35" i="13"/>
  <c r="AN37" i="13"/>
  <c r="G33" i="13"/>
  <c r="AA33" i="13"/>
  <c r="L34" i="13"/>
  <c r="AF34" i="13"/>
  <c r="Q35" i="13"/>
  <c r="AK35" i="13"/>
  <c r="V36" i="13"/>
  <c r="G37" i="13"/>
  <c r="AA37" i="13"/>
  <c r="L38" i="13"/>
  <c r="Q39" i="13"/>
  <c r="AK39" i="13"/>
  <c r="V40" i="13"/>
  <c r="AA41" i="13"/>
  <c r="AF42" i="13"/>
  <c r="AK43" i="13"/>
  <c r="G45" i="13"/>
  <c r="AH38" i="13"/>
  <c r="I41" i="13"/>
  <c r="AH42" i="13"/>
  <c r="X44" i="13"/>
  <c r="I45" i="13"/>
  <c r="T35" i="13"/>
  <c r="J37" i="13"/>
  <c r="AI38" i="13"/>
  <c r="Y40" i="13"/>
  <c r="K37" i="13"/>
  <c r="AO39" i="13"/>
  <c r="AE41" i="13"/>
  <c r="AN34" i="13"/>
  <c r="O37" i="13"/>
  <c r="AD40" i="13"/>
  <c r="Y43" i="13"/>
  <c r="P33" i="13"/>
  <c r="K36" i="13"/>
  <c r="AO38" i="13"/>
  <c r="AJ41" i="13"/>
  <c r="AE44" i="13"/>
  <c r="AK33" i="13"/>
  <c r="L36" i="13"/>
  <c r="G39" i="13"/>
  <c r="AK41" i="13"/>
  <c r="L44" i="13"/>
  <c r="AL33" i="13"/>
  <c r="M36" i="13"/>
  <c r="H39" i="13"/>
  <c r="AL41" i="13"/>
  <c r="AG44" i="13"/>
  <c r="AM33" i="13"/>
  <c r="S37" i="13"/>
  <c r="AH40" i="13"/>
  <c r="AC43" i="13"/>
  <c r="T33" i="13"/>
  <c r="O36" i="13"/>
  <c r="H33" i="13"/>
  <c r="AB33" i="13"/>
  <c r="M34" i="13"/>
  <c r="AG34" i="13"/>
  <c r="R35" i="13"/>
  <c r="AL35" i="13"/>
  <c r="W36" i="13"/>
  <c r="H37" i="13"/>
  <c r="AB37" i="13"/>
  <c r="M38" i="13"/>
  <c r="AG38" i="13"/>
  <c r="R39" i="13"/>
  <c r="AL39" i="13"/>
  <c r="W40" i="13"/>
  <c r="H41" i="13"/>
  <c r="AB41" i="13"/>
  <c r="M42" i="13"/>
  <c r="AG42" i="13"/>
  <c r="R43" i="13"/>
  <c r="AL43" i="13"/>
  <c r="W44" i="13"/>
  <c r="H45" i="13"/>
  <c r="AB45" i="13"/>
  <c r="I33" i="13"/>
  <c r="AC33" i="13"/>
  <c r="N34" i="13"/>
  <c r="AH34" i="13"/>
  <c r="S35" i="13"/>
  <c r="AM35" i="13"/>
  <c r="X36" i="13"/>
  <c r="I37" i="13"/>
  <c r="AC37" i="13"/>
  <c r="S39" i="13"/>
  <c r="AM39" i="13"/>
  <c r="AC41" i="13"/>
  <c r="S43" i="13"/>
  <c r="J33" i="13"/>
  <c r="O34" i="13"/>
  <c r="AN35" i="13"/>
  <c r="AD37" i="13"/>
  <c r="T39" i="13"/>
  <c r="J41" i="13"/>
  <c r="O42" i="13"/>
  <c r="T43" i="13"/>
  <c r="Y44" i="13"/>
  <c r="AD45" i="13"/>
  <c r="AE33" i="13"/>
  <c r="AJ34" i="13"/>
  <c r="AO35" i="13"/>
  <c r="AE37" i="13"/>
  <c r="AJ38" i="13"/>
  <c r="Z40" i="13"/>
  <c r="P42" i="13"/>
  <c r="U43" i="13"/>
  <c r="Z44" i="13"/>
  <c r="K45" i="13"/>
  <c r="N41" i="13"/>
  <c r="I44" i="13"/>
  <c r="O33" i="13"/>
  <c r="Y35" i="13"/>
  <c r="AD36" i="13"/>
  <c r="Y39" i="13"/>
  <c r="AI41" i="13"/>
  <c r="AD44" i="13"/>
  <c r="AJ33" i="13"/>
  <c r="AE36" i="13"/>
  <c r="Z39" i="13"/>
  <c r="U42" i="13"/>
  <c r="P45" i="13"/>
  <c r="G35" i="13"/>
  <c r="Q37" i="13"/>
  <c r="L40" i="13"/>
  <c r="V42" i="13"/>
  <c r="AF44" i="13"/>
  <c r="W34" i="13"/>
  <c r="AG36" i="13"/>
  <c r="AB39" i="13"/>
  <c r="W42" i="13"/>
  <c r="R45" i="13"/>
  <c r="X34" i="13"/>
  <c r="AH36" i="13"/>
  <c r="AC39" i="13"/>
  <c r="X42" i="13"/>
  <c r="S45" i="13"/>
  <c r="J35" i="13"/>
  <c r="S42" i="13"/>
  <c r="T38" i="13"/>
  <c r="T42" i="13"/>
  <c r="O45" i="13"/>
  <c r="Z35" i="13"/>
  <c r="U38" i="13"/>
  <c r="P41" i="13"/>
  <c r="K44" i="13"/>
  <c r="Q33" i="13"/>
  <c r="AF36" i="13"/>
  <c r="AA39" i="13"/>
  <c r="AK45" i="13"/>
  <c r="AB35" i="13"/>
  <c r="W38" i="13"/>
  <c r="R41" i="13"/>
  <c r="M44" i="13"/>
  <c r="S33" i="13"/>
  <c r="N36" i="13"/>
  <c r="I39" i="13"/>
  <c r="AM41" i="13"/>
  <c r="AH44" i="13"/>
  <c r="AN33" i="13"/>
  <c r="AI36" i="13"/>
  <c r="L33" i="13"/>
  <c r="AF33" i="13"/>
  <c r="Q34" i="13"/>
  <c r="AK34" i="13"/>
  <c r="V35" i="13"/>
  <c r="G36" i="13"/>
  <c r="AA36" i="13"/>
  <c r="L37" i="13"/>
  <c r="AF37" i="13"/>
  <c r="Q38" i="13"/>
  <c r="AK38" i="13"/>
  <c r="V39" i="13"/>
  <c r="G40" i="13"/>
  <c r="AA40" i="13"/>
  <c r="L41" i="13"/>
  <c r="AF41" i="13"/>
  <c r="Q42" i="13"/>
  <c r="AK42" i="13"/>
  <c r="V43" i="13"/>
  <c r="G44" i="13"/>
  <c r="AA44" i="13"/>
  <c r="L45" i="13"/>
  <c r="AF45" i="13"/>
  <c r="AB36" i="13"/>
  <c r="R38" i="13"/>
  <c r="W39" i="13"/>
  <c r="AB40" i="13"/>
  <c r="R42" i="13"/>
  <c r="W43" i="13"/>
  <c r="AB44" i="13"/>
  <c r="AG45" i="13"/>
  <c r="N33" i="13"/>
  <c r="S34" i="13"/>
  <c r="X35" i="13"/>
  <c r="AC36" i="13"/>
  <c r="AH37" i="13"/>
  <c r="AM38" i="13"/>
  <c r="I40" i="13"/>
  <c r="AH41" i="13"/>
  <c r="M33" i="13"/>
  <c r="AG33" i="13"/>
  <c r="R34" i="13"/>
  <c r="AL34" i="13"/>
  <c r="W35" i="13"/>
  <c r="H36" i="13"/>
  <c r="M37" i="13"/>
  <c r="AG37" i="13"/>
  <c r="AL38" i="13"/>
  <c r="H40" i="13"/>
  <c r="M41" i="13"/>
  <c r="AG41" i="13"/>
  <c r="AL42" i="13"/>
  <c r="H44" i="13"/>
  <c r="M45" i="13"/>
  <c r="AH33" i="13"/>
  <c r="AM34" i="13"/>
  <c r="I36" i="13"/>
  <c r="N37" i="13"/>
  <c r="S38" i="13"/>
  <c r="X39" i="13"/>
  <c r="AC40" i="13"/>
  <c r="AM42" i="13"/>
  <c r="N45" i="13"/>
  <c r="T34" i="13"/>
  <c r="AN38" i="13"/>
  <c r="O41" i="13"/>
  <c r="J44" i="13"/>
  <c r="U34" i="13"/>
  <c r="AJ37" i="13"/>
  <c r="AE40" i="13"/>
  <c r="Z43" i="13"/>
  <c r="V34" i="13"/>
  <c r="V38" i="13"/>
  <c r="Q41" i="13"/>
  <c r="AA43" i="13"/>
  <c r="R33" i="13"/>
  <c r="AL37" i="13"/>
  <c r="AG40" i="13"/>
  <c r="AB43" i="13"/>
  <c r="I35" i="13"/>
  <c r="X38" i="13"/>
  <c r="S41" i="13"/>
  <c r="N44" i="13"/>
  <c r="Y34" i="13"/>
  <c r="U33" i="13"/>
  <c r="AO33" i="13"/>
  <c r="Z34" i="13"/>
  <c r="K35" i="13"/>
  <c r="AE35" i="13"/>
  <c r="P36" i="13"/>
  <c r="AJ36" i="13"/>
  <c r="U37" i="13"/>
  <c r="AO37" i="13"/>
  <c r="Z38" i="13"/>
  <c r="K39" i="13"/>
  <c r="AE39" i="13"/>
  <c r="P40" i="13"/>
  <c r="AJ40" i="13"/>
  <c r="U41" i="13"/>
  <c r="AO41" i="13"/>
  <c r="Z42" i="13"/>
  <c r="K43" i="13"/>
  <c r="AE43" i="13"/>
  <c r="P44" i="13"/>
  <c r="AJ44" i="13"/>
  <c r="AO45" i="13"/>
  <c r="V33" i="13"/>
  <c r="G34" i="13"/>
  <c r="AA34" i="13"/>
  <c r="L35" i="13"/>
  <c r="T36" i="13"/>
  <c r="L39" i="13"/>
  <c r="V41" i="13"/>
  <c r="AF43" i="13"/>
  <c r="AN45" i="13"/>
  <c r="W33" i="13"/>
  <c r="AK36" i="13"/>
  <c r="M39" i="13"/>
  <c r="W41" i="13"/>
  <c r="AG43" i="13"/>
  <c r="X33" i="13"/>
  <c r="AL36" i="13"/>
  <c r="N39" i="13"/>
  <c r="X41" i="13"/>
  <c r="AH43" i="13"/>
  <c r="Y33" i="13"/>
  <c r="AM36" i="13"/>
  <c r="O39" i="13"/>
  <c r="Y41" i="13"/>
  <c r="AI43" i="13"/>
  <c r="AN36" i="13"/>
  <c r="AD39" i="13"/>
  <c r="AN41" i="13"/>
  <c r="I34" i="13"/>
  <c r="T37" i="13"/>
  <c r="G42" i="13"/>
  <c r="Q44" i="13"/>
  <c r="V37" i="13"/>
  <c r="H42" i="13"/>
  <c r="Y37" i="13"/>
  <c r="Y42" i="13"/>
  <c r="AC44" i="13"/>
  <c r="M35" i="13"/>
  <c r="G38" i="13"/>
  <c r="Q40" i="13"/>
  <c r="AA42" i="13"/>
  <c r="AI44" i="13"/>
  <c r="N35" i="13"/>
  <c r="H38" i="13"/>
  <c r="AK44" i="13"/>
  <c r="O35" i="13"/>
  <c r="I38" i="13"/>
  <c r="AC42" i="13"/>
  <c r="AL44" i="13"/>
  <c r="AF35" i="13"/>
  <c r="AM44" i="13"/>
  <c r="Y38" i="13"/>
  <c r="AH35" i="13"/>
  <c r="AI35" i="13"/>
  <c r="V45" i="13"/>
  <c r="N43" i="13"/>
  <c r="O43" i="13"/>
  <c r="AD43" i="13"/>
  <c r="S40" i="13"/>
  <c r="J38" i="13"/>
  <c r="AG35" i="13"/>
  <c r="AN44" i="13"/>
  <c r="L43" i="13"/>
  <c r="AL40" i="13"/>
  <c r="AC38" i="13"/>
  <c r="AD38" i="13"/>
  <c r="J39" i="13"/>
  <c r="AB42" i="13"/>
  <c r="T40" i="13"/>
  <c r="AI40" i="13"/>
  <c r="AA38" i="13"/>
  <c r="T45" i="13"/>
  <c r="M43" i="13"/>
  <c r="AM40" i="13"/>
  <c r="AN40" i="13"/>
  <c r="T41" i="13"/>
  <c r="H34" i="13"/>
  <c r="O44" i="13"/>
  <c r="AF39" i="13"/>
  <c r="J34" i="13"/>
  <c r="AG39" i="13"/>
  <c r="R44" i="13"/>
  <c r="O40" i="13"/>
  <c r="W45" i="13"/>
  <c r="X45" i="13"/>
  <c r="Y45" i="13"/>
  <c r="R40" i="13"/>
  <c r="AD42" i="13"/>
  <c r="J43" i="13"/>
  <c r="AK40" i="13"/>
  <c r="AB38" i="13"/>
  <c r="Q36" i="13"/>
  <c r="R36" i="13"/>
  <c r="S36" i="13"/>
  <c r="AB34" i="13"/>
  <c r="W37" i="13"/>
  <c r="AH39" i="13"/>
  <c r="I42" i="13"/>
  <c r="S44" i="13"/>
  <c r="AC34" i="13"/>
  <c r="X37" i="13"/>
  <c r="AI39" i="13"/>
  <c r="J42" i="13"/>
  <c r="T44" i="13"/>
  <c r="AD34" i="13"/>
  <c r="G6" i="13"/>
  <c r="H5" i="13"/>
  <c r="G5" i="13"/>
  <c r="H4" i="13"/>
  <c r="G6" i="14"/>
  <c r="J6" i="14"/>
  <c r="H6" i="13"/>
  <c r="G6" i="15"/>
  <c r="I6" i="15"/>
  <c r="I4" i="15"/>
  <c r="J3" i="15"/>
  <c r="J28" i="15" s="1"/>
  <c r="I5" i="15"/>
  <c r="I27" i="15"/>
  <c r="I28" i="15"/>
  <c r="G16" i="15"/>
  <c r="J16" i="15"/>
  <c r="H7" i="15"/>
  <c r="J22" i="14"/>
  <c r="H22" i="14"/>
  <c r="I7" i="14"/>
  <c r="G21" i="14"/>
  <c r="H6" i="14"/>
  <c r="J4" i="14"/>
  <c r="K3" i="14"/>
  <c r="J5" i="14"/>
  <c r="J3" i="13"/>
  <c r="I5" i="13"/>
  <c r="I4" i="13"/>
  <c r="J7" i="13"/>
  <c r="I6" i="13"/>
  <c r="F8" i="12"/>
  <c r="J8" i="12" s="1"/>
  <c r="L5" i="12"/>
  <c r="L4" i="12"/>
  <c r="M3" i="12"/>
  <c r="L6" i="12"/>
  <c r="K7" i="12"/>
  <c r="L7" i="12"/>
  <c r="H7" i="12"/>
  <c r="J7" i="12"/>
  <c r="I7" i="12"/>
  <c r="G7" i="12"/>
  <c r="AT103" i="3" l="1"/>
  <c r="AT95" i="3"/>
  <c r="AT87" i="3"/>
  <c r="AT79" i="3"/>
  <c r="AT71" i="3"/>
  <c r="AT63" i="3"/>
  <c r="AT55" i="3"/>
  <c r="AT98" i="3"/>
  <c r="AT90" i="3"/>
  <c r="AT82" i="3"/>
  <c r="AT74" i="3"/>
  <c r="AT66" i="3"/>
  <c r="AT58" i="3"/>
  <c r="AT101" i="3"/>
  <c r="AT93" i="3"/>
  <c r="AT85" i="3"/>
  <c r="AT77" i="3"/>
  <c r="AT69" i="3"/>
  <c r="AT61" i="3"/>
  <c r="AT53" i="3"/>
  <c r="AT96" i="3"/>
  <c r="AT88" i="3"/>
  <c r="AT80" i="3"/>
  <c r="AT72" i="3"/>
  <c r="AT64" i="3"/>
  <c r="AT56" i="3"/>
  <c r="AT99" i="3"/>
  <c r="AT91" i="3"/>
  <c r="AT83" i="3"/>
  <c r="AT75" i="3"/>
  <c r="AT67" i="3"/>
  <c r="AT59" i="3"/>
  <c r="AT102" i="3"/>
  <c r="AT94" i="3"/>
  <c r="AT86" i="3"/>
  <c r="AT78" i="3"/>
  <c r="AT70" i="3"/>
  <c r="AT62" i="3"/>
  <c r="AT54" i="3"/>
  <c r="AT97" i="3"/>
  <c r="AT89" i="3"/>
  <c r="AT81" i="3"/>
  <c r="AT73" i="3"/>
  <c r="AT65" i="3"/>
  <c r="AT57" i="3"/>
  <c r="AT100" i="3"/>
  <c r="AT92" i="3"/>
  <c r="AT84" i="3"/>
  <c r="AT76" i="3"/>
  <c r="AT68" i="3"/>
  <c r="AT60" i="3"/>
  <c r="AT52" i="3"/>
  <c r="AT47" i="3"/>
  <c r="AT39" i="3"/>
  <c r="AT31" i="3"/>
  <c r="AT23" i="3"/>
  <c r="AT15" i="3"/>
  <c r="AT7" i="3"/>
  <c r="AT50" i="3"/>
  <c r="AT42" i="3"/>
  <c r="AT34" i="3"/>
  <c r="AT26" i="3"/>
  <c r="AT18" i="3"/>
  <c r="AT10" i="3"/>
  <c r="AT45" i="3"/>
  <c r="AT37" i="3"/>
  <c r="AT29" i="3"/>
  <c r="AT21" i="3"/>
  <c r="AT13" i="3"/>
  <c r="AT5" i="3"/>
  <c r="AT48" i="3"/>
  <c r="AT40" i="3"/>
  <c r="AT32" i="3"/>
  <c r="AT24" i="3"/>
  <c r="AT16" i="3"/>
  <c r="AT8" i="3"/>
  <c r="AU3" i="3"/>
  <c r="AT51" i="3"/>
  <c r="AT43" i="3"/>
  <c r="AT35" i="3"/>
  <c r="AT27" i="3"/>
  <c r="AT19" i="3"/>
  <c r="AT11" i="3"/>
  <c r="AT46" i="3"/>
  <c r="AT38" i="3"/>
  <c r="AT30" i="3"/>
  <c r="AT22" i="3"/>
  <c r="AT14" i="3"/>
  <c r="AT6" i="3"/>
  <c r="AT49" i="3"/>
  <c r="AT41" i="3"/>
  <c r="AT33" i="3"/>
  <c r="AT25" i="3"/>
  <c r="AT17" i="3"/>
  <c r="AT9" i="3"/>
  <c r="AT44" i="3"/>
  <c r="AT36" i="3"/>
  <c r="AT28" i="3"/>
  <c r="AT20" i="3"/>
  <c r="AT12" i="3"/>
  <c r="AT4" i="3"/>
  <c r="T8" i="18"/>
  <c r="L8" i="18"/>
  <c r="S8" i="18"/>
  <c r="P8" i="18"/>
  <c r="W8" i="18"/>
  <c r="G8" i="18"/>
  <c r="Q8" i="18"/>
  <c r="N8" i="18"/>
  <c r="I8" i="18"/>
  <c r="J8" i="18"/>
  <c r="V8" i="18"/>
  <c r="U8" i="18"/>
  <c r="R8" i="18"/>
  <c r="U7" i="18"/>
  <c r="I7" i="18"/>
  <c r="V7" i="18"/>
  <c r="J7" i="18"/>
  <c r="W3" i="18"/>
  <c r="V4" i="18"/>
  <c r="V5" i="18"/>
  <c r="V6" i="18"/>
  <c r="H37" i="17"/>
  <c r="O37" i="17"/>
  <c r="M37" i="17"/>
  <c r="L37" i="17"/>
  <c r="K37" i="17"/>
  <c r="G37" i="17"/>
  <c r="K36" i="17"/>
  <c r="N18" i="17"/>
  <c r="H18" i="17"/>
  <c r="H73" i="17"/>
  <c r="O36" i="17"/>
  <c r="P8" i="17"/>
  <c r="H8" i="17"/>
  <c r="N8" i="17"/>
  <c r="L8" i="17"/>
  <c r="J8" i="17"/>
  <c r="G8" i="17"/>
  <c r="K8" i="17"/>
  <c r="O8" i="17"/>
  <c r="H7" i="17"/>
  <c r="P18" i="17"/>
  <c r="Q3" i="17"/>
  <c r="P4" i="17"/>
  <c r="P5" i="17"/>
  <c r="P35" i="17"/>
  <c r="P72" i="17"/>
  <c r="P6" i="17"/>
  <c r="P90" i="17"/>
  <c r="P54" i="17"/>
  <c r="P17" i="17"/>
  <c r="I73" i="17"/>
  <c r="M73" i="17"/>
  <c r="L18" i="17"/>
  <c r="H36" i="17"/>
  <c r="P7" i="17"/>
  <c r="J92" i="17"/>
  <c r="K92" i="17"/>
  <c r="P92" i="17"/>
  <c r="I92" i="17"/>
  <c r="J91" i="17"/>
  <c r="K18" i="17"/>
  <c r="M18" i="17"/>
  <c r="J18" i="17"/>
  <c r="K73" i="17"/>
  <c r="P73" i="17"/>
  <c r="G36" i="17"/>
  <c r="P56" i="17"/>
  <c r="H56" i="17"/>
  <c r="M56" i="17"/>
  <c r="J56" i="17"/>
  <c r="I56" i="17"/>
  <c r="Q56" i="17"/>
  <c r="L56" i="17"/>
  <c r="L55" i="17"/>
  <c r="I36" i="17"/>
  <c r="J36" i="17"/>
  <c r="M36" i="17"/>
  <c r="N7" i="17"/>
  <c r="O73" i="17"/>
  <c r="N19" i="17"/>
  <c r="N36" i="17"/>
  <c r="J7" i="17"/>
  <c r="K91" i="17"/>
  <c r="O18" i="17"/>
  <c r="L36" i="17"/>
  <c r="P36" i="17"/>
  <c r="I18" i="17"/>
  <c r="I74" i="17"/>
  <c r="G74" i="17"/>
  <c r="O74" i="17"/>
  <c r="J74" i="17"/>
  <c r="S35" i="15"/>
  <c r="J35" i="15"/>
  <c r="AJ35" i="15"/>
  <c r="AM35" i="15"/>
  <c r="Z35" i="15"/>
  <c r="AC35" i="15"/>
  <c r="M35" i="15"/>
  <c r="F36" i="15"/>
  <c r="AE36" i="15" s="1"/>
  <c r="R35" i="15"/>
  <c r="G35" i="15"/>
  <c r="AH35" i="15"/>
  <c r="AO35" i="15"/>
  <c r="P35" i="15"/>
  <c r="AN35" i="15"/>
  <c r="W35" i="15"/>
  <c r="L35" i="15"/>
  <c r="O35" i="15"/>
  <c r="AF35" i="15"/>
  <c r="H35" i="15"/>
  <c r="Y35" i="15"/>
  <c r="AK35" i="15"/>
  <c r="AA35" i="15"/>
  <c r="AG35" i="15"/>
  <c r="AL35" i="15"/>
  <c r="AB35" i="15"/>
  <c r="V35" i="15"/>
  <c r="AI35" i="15"/>
  <c r="Q35" i="15"/>
  <c r="AE35" i="15"/>
  <c r="N35" i="15"/>
  <c r="I35" i="15"/>
  <c r="Q36" i="15"/>
  <c r="AF36" i="15"/>
  <c r="K36" i="15"/>
  <c r="AJ36" i="15"/>
  <c r="T36" i="15"/>
  <c r="H36" i="15"/>
  <c r="AH36" i="15"/>
  <c r="I36" i="15"/>
  <c r="V36" i="15"/>
  <c r="J36" i="15"/>
  <c r="AN36" i="15"/>
  <c r="Z36" i="15"/>
  <c r="AC36" i="15"/>
  <c r="N36" i="15"/>
  <c r="X36" i="15"/>
  <c r="R36" i="15"/>
  <c r="AA36" i="15"/>
  <c r="AM36" i="15"/>
  <c r="G36" i="15"/>
  <c r="F37" i="14"/>
  <c r="Z37" i="14" s="1"/>
  <c r="O37" i="14"/>
  <c r="V37" i="14"/>
  <c r="AL37" i="14"/>
  <c r="Y37" i="14"/>
  <c r="G37" i="14"/>
  <c r="W37" i="14"/>
  <c r="AM37" i="14"/>
  <c r="AO37" i="14"/>
  <c r="H37" i="14"/>
  <c r="K37" i="14"/>
  <c r="P37" i="14"/>
  <c r="AF37" i="14"/>
  <c r="AD37" i="14"/>
  <c r="Q37" i="14"/>
  <c r="AG37" i="14"/>
  <c r="AH37" i="14"/>
  <c r="L37" i="14"/>
  <c r="S37" i="14"/>
  <c r="AI37" i="14"/>
  <c r="AC37" i="14"/>
  <c r="AG36" i="14"/>
  <c r="K36" i="14"/>
  <c r="AA36" i="14"/>
  <c r="V36" i="14"/>
  <c r="Z36" i="14"/>
  <c r="L36" i="14"/>
  <c r="AK36" i="14"/>
  <c r="J36" i="14"/>
  <c r="AL36" i="14"/>
  <c r="U36" i="14"/>
  <c r="AE36" i="14"/>
  <c r="AJ36" i="14"/>
  <c r="AO36" i="14"/>
  <c r="T36" i="14"/>
  <c r="Y36" i="14"/>
  <c r="AI36" i="14"/>
  <c r="I36" i="14"/>
  <c r="G36" i="14"/>
  <c r="S36" i="14"/>
  <c r="P36" i="14"/>
  <c r="R36" i="14"/>
  <c r="O36" i="14"/>
  <c r="Q36" i="14"/>
  <c r="AF36" i="14"/>
  <c r="AB36" i="14"/>
  <c r="AH36" i="14"/>
  <c r="AD36" i="14"/>
  <c r="N36" i="14"/>
  <c r="AN36" i="14"/>
  <c r="AM36" i="14"/>
  <c r="AC36" i="14"/>
  <c r="X36" i="14"/>
  <c r="W36" i="14"/>
  <c r="M36" i="14"/>
  <c r="H36" i="14"/>
  <c r="H7" i="14"/>
  <c r="G7" i="14"/>
  <c r="J7" i="14"/>
  <c r="G7" i="13"/>
  <c r="H7" i="13"/>
  <c r="I7" i="15"/>
  <c r="G17" i="15"/>
  <c r="I17" i="15"/>
  <c r="I29" i="15"/>
  <c r="G28" i="15"/>
  <c r="G7" i="15"/>
  <c r="H28" i="15"/>
  <c r="H16" i="15"/>
  <c r="H8" i="15"/>
  <c r="G8" i="15"/>
  <c r="I16" i="15"/>
  <c r="J7" i="15"/>
  <c r="K3" i="15"/>
  <c r="K17" i="15" s="1"/>
  <c r="J4" i="15"/>
  <c r="J5" i="15"/>
  <c r="J15" i="15"/>
  <c r="J27" i="15"/>
  <c r="J6" i="15"/>
  <c r="L3" i="14"/>
  <c r="L23" i="14" s="1"/>
  <c r="K4" i="14"/>
  <c r="K5" i="14"/>
  <c r="K21" i="14"/>
  <c r="K6" i="14"/>
  <c r="H23" i="14"/>
  <c r="K22" i="14"/>
  <c r="I22" i="14"/>
  <c r="G22" i="14"/>
  <c r="K7" i="14"/>
  <c r="J8" i="14"/>
  <c r="G8" i="13"/>
  <c r="J4" i="13"/>
  <c r="K3" i="13"/>
  <c r="J5" i="13"/>
  <c r="J6" i="13"/>
  <c r="I7" i="13"/>
  <c r="M4" i="12"/>
  <c r="N3" i="12"/>
  <c r="M6" i="12"/>
  <c r="M5" i="12"/>
  <c r="M7" i="12"/>
  <c r="F9" i="12"/>
  <c r="I9" i="12" s="1"/>
  <c r="I8" i="12"/>
  <c r="L8" i="12"/>
  <c r="K8" i="12"/>
  <c r="M8" i="12"/>
  <c r="G8" i="12"/>
  <c r="H8" i="12"/>
  <c r="AU98" i="3" l="1"/>
  <c r="AU90" i="3"/>
  <c r="AU82" i="3"/>
  <c r="AU74" i="3"/>
  <c r="AU66" i="3"/>
  <c r="AU58" i="3"/>
  <c r="AU101" i="3"/>
  <c r="AU93" i="3"/>
  <c r="AU85" i="3"/>
  <c r="AU77" i="3"/>
  <c r="AU69" i="3"/>
  <c r="AU61" i="3"/>
  <c r="AU53" i="3"/>
  <c r="AU96" i="3"/>
  <c r="AU88" i="3"/>
  <c r="AU80" i="3"/>
  <c r="AU72" i="3"/>
  <c r="AU64" i="3"/>
  <c r="AU56" i="3"/>
  <c r="AU99" i="3"/>
  <c r="AU91" i="3"/>
  <c r="AU83" i="3"/>
  <c r="AU75" i="3"/>
  <c r="AU67" i="3"/>
  <c r="AU59" i="3"/>
  <c r="AU102" i="3"/>
  <c r="AU94" i="3"/>
  <c r="AU86" i="3"/>
  <c r="AU78" i="3"/>
  <c r="AU70" i="3"/>
  <c r="AU62" i="3"/>
  <c r="AU54" i="3"/>
  <c r="AU97" i="3"/>
  <c r="AU89" i="3"/>
  <c r="AU81" i="3"/>
  <c r="AU73" i="3"/>
  <c r="AU65" i="3"/>
  <c r="AU57" i="3"/>
  <c r="AU100" i="3"/>
  <c r="AU92" i="3"/>
  <c r="AU84" i="3"/>
  <c r="AU76" i="3"/>
  <c r="AU68" i="3"/>
  <c r="AU60" i="3"/>
  <c r="AU52" i="3"/>
  <c r="AU103" i="3"/>
  <c r="AU95" i="3"/>
  <c r="AU87" i="3"/>
  <c r="AU79" i="3"/>
  <c r="AU71" i="3"/>
  <c r="AU63" i="3"/>
  <c r="AU55" i="3"/>
  <c r="AU50" i="3"/>
  <c r="AU42" i="3"/>
  <c r="AU34" i="3"/>
  <c r="AU26" i="3"/>
  <c r="AU18" i="3"/>
  <c r="AU10" i="3"/>
  <c r="AU45" i="3"/>
  <c r="AU37" i="3"/>
  <c r="AU29" i="3"/>
  <c r="AU21" i="3"/>
  <c r="AU13" i="3"/>
  <c r="AU5" i="3"/>
  <c r="AU48" i="3"/>
  <c r="AU40" i="3"/>
  <c r="AU32" i="3"/>
  <c r="AU24" i="3"/>
  <c r="AU16" i="3"/>
  <c r="AU8" i="3"/>
  <c r="AV3" i="3"/>
  <c r="AU51" i="3"/>
  <c r="AU43" i="3"/>
  <c r="AU35" i="3"/>
  <c r="AU27" i="3"/>
  <c r="AU19" i="3"/>
  <c r="AU11" i="3"/>
  <c r="AU46" i="3"/>
  <c r="AU38" i="3"/>
  <c r="AU30" i="3"/>
  <c r="AU22" i="3"/>
  <c r="AU14" i="3"/>
  <c r="AU6" i="3"/>
  <c r="AU49" i="3"/>
  <c r="AU41" i="3"/>
  <c r="AU33" i="3"/>
  <c r="AU25" i="3"/>
  <c r="AU17" i="3"/>
  <c r="AU9" i="3"/>
  <c r="AU44" i="3"/>
  <c r="AU36" i="3"/>
  <c r="AU28" i="3"/>
  <c r="AU20" i="3"/>
  <c r="AU12" i="3"/>
  <c r="AU4" i="3"/>
  <c r="AU47" i="3"/>
  <c r="AU39" i="3"/>
  <c r="AU31" i="3"/>
  <c r="AU23" i="3"/>
  <c r="AU15" i="3"/>
  <c r="AU7" i="3"/>
  <c r="F9" i="18"/>
  <c r="F10" i="18" s="1"/>
  <c r="F11" i="18" s="1"/>
  <c r="F12" i="18" s="1"/>
  <c r="F13" i="18" s="1"/>
  <c r="F15" i="18" s="1"/>
  <c r="K8" i="18"/>
  <c r="H8" i="18"/>
  <c r="X3" i="18"/>
  <c r="W4" i="18"/>
  <c r="W5" i="18"/>
  <c r="W6" i="18"/>
  <c r="W7" i="18"/>
  <c r="M8" i="18"/>
  <c r="O8" i="18"/>
  <c r="O19" i="17"/>
  <c r="R3" i="17"/>
  <c r="Q4" i="17"/>
  <c r="Q5" i="17"/>
  <c r="Q35" i="17"/>
  <c r="Q6" i="17"/>
  <c r="Q54" i="17"/>
  <c r="Q17" i="17"/>
  <c r="Q90" i="17"/>
  <c r="Q72" i="17"/>
  <c r="Q55" i="17"/>
  <c r="Q36" i="17"/>
  <c r="Q18" i="17"/>
  <c r="Q73" i="17"/>
  <c r="Q91" i="17"/>
  <c r="Q7" i="17"/>
  <c r="I19" i="17"/>
  <c r="O93" i="17"/>
  <c r="G93" i="17"/>
  <c r="N93" i="17"/>
  <c r="R93" i="17"/>
  <c r="N92" i="17"/>
  <c r="O92" i="17"/>
  <c r="P37" i="17"/>
  <c r="H20" i="17"/>
  <c r="N20" i="17"/>
  <c r="L20" i="17"/>
  <c r="R20" i="17"/>
  <c r="J20" i="17"/>
  <c r="Q19" i="17"/>
  <c r="K19" i="17"/>
  <c r="M19" i="17"/>
  <c r="L75" i="17"/>
  <c r="K75" i="17"/>
  <c r="R75" i="17"/>
  <c r="J75" i="17"/>
  <c r="Q75" i="17"/>
  <c r="I75" i="17"/>
  <c r="O75" i="17"/>
  <c r="G75" i="17"/>
  <c r="Q74" i="17"/>
  <c r="H19" i="17"/>
  <c r="H74" i="17"/>
  <c r="P19" i="17"/>
  <c r="Q92" i="17"/>
  <c r="L74" i="17"/>
  <c r="P74" i="17"/>
  <c r="J19" i="17"/>
  <c r="L19" i="17"/>
  <c r="J57" i="17"/>
  <c r="M57" i="17"/>
  <c r="L57" i="17"/>
  <c r="G57" i="17"/>
  <c r="O57" i="17"/>
  <c r="N57" i="17"/>
  <c r="G56" i="17"/>
  <c r="M92" i="17"/>
  <c r="H9" i="17"/>
  <c r="I8" i="17"/>
  <c r="M8" i="17"/>
  <c r="P38" i="17"/>
  <c r="H38" i="17"/>
  <c r="Q38" i="17"/>
  <c r="R38" i="17"/>
  <c r="M38" i="17"/>
  <c r="L38" i="17"/>
  <c r="N74" i="17"/>
  <c r="M74" i="17"/>
  <c r="K74" i="17"/>
  <c r="G19" i="17"/>
  <c r="N56" i="17"/>
  <c r="K56" i="17"/>
  <c r="O56" i="17"/>
  <c r="G92" i="17"/>
  <c r="H92" i="17"/>
  <c r="L92" i="17"/>
  <c r="Q8" i="17"/>
  <c r="J37" i="17"/>
  <c r="Q37" i="17"/>
  <c r="I37" i="17"/>
  <c r="N37" i="17"/>
  <c r="AI36" i="15"/>
  <c r="W36" i="15"/>
  <c r="AD36" i="15"/>
  <c r="P36" i="15"/>
  <c r="S36" i="15"/>
  <c r="L36" i="15"/>
  <c r="F37" i="15"/>
  <c r="AB37" i="15" s="1"/>
  <c r="M36" i="15"/>
  <c r="AB36" i="15"/>
  <c r="AL36" i="15"/>
  <c r="Y36" i="15"/>
  <c r="AG36" i="15"/>
  <c r="O36" i="15"/>
  <c r="U36" i="15"/>
  <c r="AK36" i="15"/>
  <c r="AO36" i="15"/>
  <c r="AJ37" i="15"/>
  <c r="O37" i="15"/>
  <c r="R37" i="14"/>
  <c r="N37" i="14"/>
  <c r="AE37" i="14"/>
  <c r="AA37" i="14"/>
  <c r="AB37" i="14"/>
  <c r="F38" i="14"/>
  <c r="K38" i="14" s="1"/>
  <c r="T38" i="14"/>
  <c r="AJ38" i="14"/>
  <c r="AC38" i="14"/>
  <c r="N38" i="14"/>
  <c r="AD38" i="14"/>
  <c r="O38" i="14"/>
  <c r="AE38" i="14"/>
  <c r="AJ37" i="14"/>
  <c r="J37" i="14"/>
  <c r="I37" i="14"/>
  <c r="T37" i="14"/>
  <c r="AN37" i="14"/>
  <c r="AK37" i="14"/>
  <c r="M37" i="14"/>
  <c r="X37" i="14"/>
  <c r="U37" i="14"/>
  <c r="I8" i="15"/>
  <c r="K8" i="13"/>
  <c r="H8" i="13"/>
  <c r="I8" i="13"/>
  <c r="J8" i="13"/>
  <c r="J8" i="15"/>
  <c r="K8" i="15"/>
  <c r="K18" i="15"/>
  <c r="J18" i="15"/>
  <c r="G18" i="15"/>
  <c r="I18" i="15"/>
  <c r="H18" i="15"/>
  <c r="G29" i="15"/>
  <c r="I9" i="15"/>
  <c r="J17" i="15"/>
  <c r="H17" i="15"/>
  <c r="G30" i="15"/>
  <c r="I30" i="15"/>
  <c r="J30" i="15"/>
  <c r="H30" i="15"/>
  <c r="H29" i="15"/>
  <c r="K29" i="15"/>
  <c r="L3" i="15"/>
  <c r="L18" i="15" s="1"/>
  <c r="K4" i="15"/>
  <c r="K5" i="15"/>
  <c r="K27" i="15"/>
  <c r="K15" i="15"/>
  <c r="K6" i="15"/>
  <c r="K7" i="15"/>
  <c r="K16" i="15"/>
  <c r="K28" i="15"/>
  <c r="J29" i="15"/>
  <c r="L8" i="14"/>
  <c r="G8" i="14"/>
  <c r="I23" i="14"/>
  <c r="H8" i="14"/>
  <c r="J23" i="14"/>
  <c r="H9" i="14"/>
  <c r="I8" i="14"/>
  <c r="H24" i="14"/>
  <c r="I24" i="14"/>
  <c r="K24" i="14"/>
  <c r="J24" i="14"/>
  <c r="L24" i="14"/>
  <c r="K23" i="14"/>
  <c r="K8" i="14"/>
  <c r="G23" i="14"/>
  <c r="L4" i="14"/>
  <c r="M3" i="14"/>
  <c r="M24" i="14" s="1"/>
  <c r="L5" i="14"/>
  <c r="L6" i="14"/>
  <c r="L21" i="14"/>
  <c r="L22" i="14"/>
  <c r="L7" i="14"/>
  <c r="K4" i="13"/>
  <c r="L3" i="13"/>
  <c r="K5" i="13"/>
  <c r="K6" i="13"/>
  <c r="K7" i="13"/>
  <c r="I9" i="13"/>
  <c r="L9" i="12"/>
  <c r="G9" i="12"/>
  <c r="M9" i="12"/>
  <c r="H9" i="12"/>
  <c r="F10" i="12"/>
  <c r="N10" i="12" s="1"/>
  <c r="N4" i="12"/>
  <c r="N5" i="12"/>
  <c r="O3" i="12"/>
  <c r="N6" i="12"/>
  <c r="N7" i="12"/>
  <c r="N8" i="12"/>
  <c r="J9" i="12"/>
  <c r="K9" i="12"/>
  <c r="N9" i="12"/>
  <c r="AV101" i="3" l="1"/>
  <c r="AV93" i="3"/>
  <c r="AV85" i="3"/>
  <c r="AV77" i="3"/>
  <c r="AV69" i="3"/>
  <c r="AV61" i="3"/>
  <c r="AV53" i="3"/>
  <c r="AV96" i="3"/>
  <c r="AV88" i="3"/>
  <c r="AV80" i="3"/>
  <c r="AV72" i="3"/>
  <c r="AV64" i="3"/>
  <c r="AV56" i="3"/>
  <c r="AV99" i="3"/>
  <c r="AV91" i="3"/>
  <c r="AV83" i="3"/>
  <c r="AV75" i="3"/>
  <c r="AV67" i="3"/>
  <c r="AV59" i="3"/>
  <c r="AV102" i="3"/>
  <c r="AV94" i="3"/>
  <c r="AV86" i="3"/>
  <c r="AV78" i="3"/>
  <c r="AV70" i="3"/>
  <c r="AV62" i="3"/>
  <c r="AV54" i="3"/>
  <c r="AV97" i="3"/>
  <c r="AV89" i="3"/>
  <c r="AV81" i="3"/>
  <c r="AV73" i="3"/>
  <c r="AV65" i="3"/>
  <c r="AV57" i="3"/>
  <c r="AV100" i="3"/>
  <c r="AV92" i="3"/>
  <c r="AV84" i="3"/>
  <c r="AV76" i="3"/>
  <c r="AV68" i="3"/>
  <c r="AV60" i="3"/>
  <c r="AV52" i="3"/>
  <c r="AV103" i="3"/>
  <c r="AV95" i="3"/>
  <c r="AV87" i="3"/>
  <c r="AV79" i="3"/>
  <c r="AV71" i="3"/>
  <c r="AV63" i="3"/>
  <c r="AV55" i="3"/>
  <c r="AV98" i="3"/>
  <c r="AV90" i="3"/>
  <c r="AV82" i="3"/>
  <c r="AV74" i="3"/>
  <c r="AV66" i="3"/>
  <c r="AV58" i="3"/>
  <c r="AV45" i="3"/>
  <c r="AV37" i="3"/>
  <c r="AV29" i="3"/>
  <c r="AV21" i="3"/>
  <c r="AV13" i="3"/>
  <c r="AV5" i="3"/>
  <c r="AV48" i="3"/>
  <c r="AV40" i="3"/>
  <c r="AV32" i="3"/>
  <c r="AV24" i="3"/>
  <c r="AV16" i="3"/>
  <c r="AV8" i="3"/>
  <c r="AW3" i="3"/>
  <c r="AV51" i="3"/>
  <c r="AV43" i="3"/>
  <c r="AV35" i="3"/>
  <c r="AV27" i="3"/>
  <c r="AV19" i="3"/>
  <c r="AV11" i="3"/>
  <c r="AV46" i="3"/>
  <c r="AV38" i="3"/>
  <c r="AV30" i="3"/>
  <c r="AV22" i="3"/>
  <c r="AV14" i="3"/>
  <c r="AV6" i="3"/>
  <c r="AV49" i="3"/>
  <c r="AV41" i="3"/>
  <c r="AV33" i="3"/>
  <c r="AV25" i="3"/>
  <c r="AV17" i="3"/>
  <c r="AV9" i="3"/>
  <c r="AV44" i="3"/>
  <c r="AV36" i="3"/>
  <c r="AV28" i="3"/>
  <c r="AV20" i="3"/>
  <c r="AV12" i="3"/>
  <c r="AV4" i="3"/>
  <c r="AV47" i="3"/>
  <c r="AV39" i="3"/>
  <c r="AV31" i="3"/>
  <c r="AV23" i="3"/>
  <c r="AV15" i="3"/>
  <c r="AV7" i="3"/>
  <c r="AV50" i="3"/>
  <c r="AV42" i="3"/>
  <c r="AV34" i="3"/>
  <c r="AV26" i="3"/>
  <c r="AV18" i="3"/>
  <c r="AV10" i="3"/>
  <c r="F16" i="18"/>
  <c r="S16" i="18" s="1"/>
  <c r="V16" i="18"/>
  <c r="P9" i="18"/>
  <c r="K9" i="18"/>
  <c r="Q10" i="18"/>
  <c r="J10" i="18"/>
  <c r="W10" i="18"/>
  <c r="S9" i="18"/>
  <c r="N9" i="18"/>
  <c r="Q9" i="18"/>
  <c r="V9" i="18"/>
  <c r="I9" i="18"/>
  <c r="J9" i="18"/>
  <c r="M9" i="18"/>
  <c r="H9" i="18"/>
  <c r="R9" i="18"/>
  <c r="U9" i="18"/>
  <c r="G9" i="18"/>
  <c r="T9" i="18"/>
  <c r="L9" i="18"/>
  <c r="O9" i="18"/>
  <c r="Y3" i="18"/>
  <c r="Y10" i="18" s="1"/>
  <c r="X4" i="18"/>
  <c r="X5" i="18"/>
  <c r="X6" i="18"/>
  <c r="X7" i="18"/>
  <c r="X8" i="18"/>
  <c r="X9" i="18"/>
  <c r="W9" i="18"/>
  <c r="G38" i="17"/>
  <c r="O38" i="17"/>
  <c r="N58" i="17"/>
  <c r="K58" i="17"/>
  <c r="O58" i="17"/>
  <c r="J58" i="17"/>
  <c r="H58" i="17"/>
  <c r="R58" i="17"/>
  <c r="G58" i="17"/>
  <c r="P57" i="17"/>
  <c r="K57" i="17"/>
  <c r="L93" i="17"/>
  <c r="H93" i="17"/>
  <c r="J93" i="17"/>
  <c r="M9" i="17"/>
  <c r="P93" i="17"/>
  <c r="Q39" i="17"/>
  <c r="O39" i="17"/>
  <c r="K39" i="17"/>
  <c r="M39" i="17"/>
  <c r="L39" i="17"/>
  <c r="H39" i="17"/>
  <c r="K38" i="17"/>
  <c r="N9" i="17"/>
  <c r="P76" i="17"/>
  <c r="Q76" i="17"/>
  <c r="M76" i="17"/>
  <c r="L76" i="17"/>
  <c r="K76" i="17"/>
  <c r="J76" i="17"/>
  <c r="I20" i="17"/>
  <c r="P20" i="17"/>
  <c r="R94" i="17"/>
  <c r="J94" i="17"/>
  <c r="H94" i="17"/>
  <c r="I94" i="17"/>
  <c r="N94" i="17"/>
  <c r="L94" i="17"/>
  <c r="Q94" i="17"/>
  <c r="K94" i="17"/>
  <c r="I93" i="17"/>
  <c r="L9" i="17"/>
  <c r="R57" i="17"/>
  <c r="N75" i="17"/>
  <c r="Q20" i="17"/>
  <c r="K20" i="17"/>
  <c r="M20" i="17"/>
  <c r="Q93" i="17"/>
  <c r="K9" i="17"/>
  <c r="Q9" i="17"/>
  <c r="N38" i="17"/>
  <c r="G9" i="17"/>
  <c r="P9" i="17"/>
  <c r="Q57" i="17"/>
  <c r="I57" i="17"/>
  <c r="M75" i="17"/>
  <c r="H75" i="17"/>
  <c r="G20" i="17"/>
  <c r="K93" i="17"/>
  <c r="M93" i="17"/>
  <c r="S3" i="17"/>
  <c r="S76" i="17" s="1"/>
  <c r="R4" i="17"/>
  <c r="R5" i="17"/>
  <c r="R35" i="17"/>
  <c r="R17" i="17"/>
  <c r="R54" i="17"/>
  <c r="R90" i="17"/>
  <c r="R6" i="17"/>
  <c r="R72" i="17"/>
  <c r="R7" i="17"/>
  <c r="R36" i="17"/>
  <c r="R18" i="17"/>
  <c r="R91" i="17"/>
  <c r="R55" i="17"/>
  <c r="R73" i="17"/>
  <c r="R19" i="17"/>
  <c r="R8" i="17"/>
  <c r="R74" i="17"/>
  <c r="R37" i="17"/>
  <c r="R92" i="17"/>
  <c r="R56" i="17"/>
  <c r="J9" i="17"/>
  <c r="I9" i="17"/>
  <c r="J38" i="17"/>
  <c r="I38" i="17"/>
  <c r="O9" i="17"/>
  <c r="R9" i="17"/>
  <c r="H57" i="17"/>
  <c r="P75" i="17"/>
  <c r="O20" i="17"/>
  <c r="Z37" i="15"/>
  <c r="AC37" i="15"/>
  <c r="AF37" i="15"/>
  <c r="N37" i="15"/>
  <c r="AH37" i="15"/>
  <c r="V37" i="15"/>
  <c r="F38" i="15"/>
  <c r="AK38" i="15" s="1"/>
  <c r="Y37" i="15"/>
  <c r="X37" i="15"/>
  <c r="AD37" i="15"/>
  <c r="M37" i="15"/>
  <c r="J37" i="15"/>
  <c r="I37" i="15"/>
  <c r="H37" i="15"/>
  <c r="AG37" i="15"/>
  <c r="AL37" i="15"/>
  <c r="G37" i="15"/>
  <c r="R37" i="15"/>
  <c r="AM37" i="15"/>
  <c r="AA37" i="15"/>
  <c r="Q37" i="15"/>
  <c r="S37" i="15"/>
  <c r="AE37" i="15"/>
  <c r="U37" i="15"/>
  <c r="W37" i="15"/>
  <c r="K37" i="15"/>
  <c r="L37" i="15"/>
  <c r="T37" i="15"/>
  <c r="AO37" i="15"/>
  <c r="AN37" i="15"/>
  <c r="AI37" i="15"/>
  <c r="P37" i="15"/>
  <c r="AK37" i="15"/>
  <c r="T38" i="15"/>
  <c r="AG38" i="15"/>
  <c r="AN38" i="15"/>
  <c r="V38" i="15"/>
  <c r="Y38" i="15"/>
  <c r="I38" i="15"/>
  <c r="X38" i="15"/>
  <c r="AM38" i="15"/>
  <c r="AD38" i="15"/>
  <c r="S38" i="15"/>
  <c r="AB38" i="15"/>
  <c r="R38" i="15"/>
  <c r="L38" i="15"/>
  <c r="AA38" i="15"/>
  <c r="P38" i="15"/>
  <c r="F39" i="15"/>
  <c r="AE39" i="15" s="1"/>
  <c r="AN38" i="14"/>
  <c r="AM38" i="14"/>
  <c r="AL38" i="14"/>
  <c r="AA38" i="14"/>
  <c r="AI38" i="14"/>
  <c r="S38" i="14"/>
  <c r="F39" i="14"/>
  <c r="AI39" i="14" s="1"/>
  <c r="L38" i="14"/>
  <c r="AO38" i="14"/>
  <c r="H38" i="14"/>
  <c r="Y38" i="14"/>
  <c r="AG38" i="14"/>
  <c r="Z38" i="14"/>
  <c r="V38" i="14"/>
  <c r="Q38" i="14"/>
  <c r="X38" i="14"/>
  <c r="AH38" i="14"/>
  <c r="I38" i="14"/>
  <c r="W38" i="14"/>
  <c r="R38" i="14"/>
  <c r="M38" i="14"/>
  <c r="J38" i="14"/>
  <c r="AF38" i="14"/>
  <c r="G38" i="14"/>
  <c r="P38" i="14"/>
  <c r="AK38" i="14"/>
  <c r="AB38" i="14"/>
  <c r="U38" i="14"/>
  <c r="M9" i="14"/>
  <c r="G9" i="14"/>
  <c r="I9" i="14"/>
  <c r="L9" i="14"/>
  <c r="J9" i="14"/>
  <c r="G9" i="13"/>
  <c r="K9" i="15"/>
  <c r="G9" i="15"/>
  <c r="J9" i="15"/>
  <c r="J31" i="15"/>
  <c r="H9" i="15"/>
  <c r="L30" i="15"/>
  <c r="L9" i="15"/>
  <c r="K30" i="15"/>
  <c r="I19" i="15"/>
  <c r="H19" i="15"/>
  <c r="L19" i="15"/>
  <c r="G19" i="15"/>
  <c r="J19" i="15"/>
  <c r="L4" i="15"/>
  <c r="M3" i="15"/>
  <c r="M19" i="15" s="1"/>
  <c r="L5" i="15"/>
  <c r="L27" i="15"/>
  <c r="L6" i="15"/>
  <c r="L15" i="15"/>
  <c r="L7" i="15"/>
  <c r="L28" i="15"/>
  <c r="L16" i="15"/>
  <c r="L8" i="15"/>
  <c r="L17" i="15"/>
  <c r="L29" i="15"/>
  <c r="G24" i="14"/>
  <c r="K25" i="14"/>
  <c r="I25" i="14"/>
  <c r="L25" i="14"/>
  <c r="G10" i="14"/>
  <c r="K9" i="14"/>
  <c r="M4" i="14"/>
  <c r="N3" i="14"/>
  <c r="M5" i="14"/>
  <c r="M21" i="14"/>
  <c r="M6" i="14"/>
  <c r="M7" i="14"/>
  <c r="M22" i="14"/>
  <c r="M23" i="14"/>
  <c r="M8" i="14"/>
  <c r="L5" i="13"/>
  <c r="M3" i="13"/>
  <c r="L4" i="13"/>
  <c r="L6" i="13"/>
  <c r="L7" i="13"/>
  <c r="L8" i="13"/>
  <c r="H9" i="13"/>
  <c r="J9" i="13"/>
  <c r="K9" i="13"/>
  <c r="L10" i="13"/>
  <c r="L9" i="13"/>
  <c r="G10" i="12"/>
  <c r="M10" i="12"/>
  <c r="I10" i="12"/>
  <c r="K10" i="12"/>
  <c r="O4" i="12"/>
  <c r="O6" i="12"/>
  <c r="O5" i="12"/>
  <c r="P3" i="12"/>
  <c r="O7" i="12"/>
  <c r="O8" i="12"/>
  <c r="O9" i="12"/>
  <c r="O10" i="12"/>
  <c r="F11" i="12"/>
  <c r="L11" i="12" s="1"/>
  <c r="L10" i="12"/>
  <c r="H10" i="12"/>
  <c r="J10" i="12"/>
  <c r="AW96" i="3" l="1"/>
  <c r="AW88" i="3"/>
  <c r="AW80" i="3"/>
  <c r="AW72" i="3"/>
  <c r="AW64" i="3"/>
  <c r="AW56" i="3"/>
  <c r="AW99" i="3"/>
  <c r="AW91" i="3"/>
  <c r="AW83" i="3"/>
  <c r="AW75" i="3"/>
  <c r="AW67" i="3"/>
  <c r="AW59" i="3"/>
  <c r="AW102" i="3"/>
  <c r="AW94" i="3"/>
  <c r="AW86" i="3"/>
  <c r="AW78" i="3"/>
  <c r="AW70" i="3"/>
  <c r="AW62" i="3"/>
  <c r="AW54" i="3"/>
  <c r="AW97" i="3"/>
  <c r="AW89" i="3"/>
  <c r="AW81" i="3"/>
  <c r="AW73" i="3"/>
  <c r="AW65" i="3"/>
  <c r="AW57" i="3"/>
  <c r="AW100" i="3"/>
  <c r="AW92" i="3"/>
  <c r="AW84" i="3"/>
  <c r="AW76" i="3"/>
  <c r="AW68" i="3"/>
  <c r="AW60" i="3"/>
  <c r="AW52" i="3"/>
  <c r="AW103" i="3"/>
  <c r="AW95" i="3"/>
  <c r="AW87" i="3"/>
  <c r="AW79" i="3"/>
  <c r="AW71" i="3"/>
  <c r="AW63" i="3"/>
  <c r="AW55" i="3"/>
  <c r="AW98" i="3"/>
  <c r="AW90" i="3"/>
  <c r="AW82" i="3"/>
  <c r="AW74" i="3"/>
  <c r="AW66" i="3"/>
  <c r="AW58" i="3"/>
  <c r="AW101" i="3"/>
  <c r="AW93" i="3"/>
  <c r="AW85" i="3"/>
  <c r="AW77" i="3"/>
  <c r="AW69" i="3"/>
  <c r="AW61" i="3"/>
  <c r="AW53" i="3"/>
  <c r="AW48" i="3"/>
  <c r="AW40" i="3"/>
  <c r="AW32" i="3"/>
  <c r="AW24" i="3"/>
  <c r="AW16" i="3"/>
  <c r="AW8" i="3"/>
  <c r="AX3" i="3"/>
  <c r="AW51" i="3"/>
  <c r="AW43" i="3"/>
  <c r="AW35" i="3"/>
  <c r="AW27" i="3"/>
  <c r="AW19" i="3"/>
  <c r="AW11" i="3"/>
  <c r="AW46" i="3"/>
  <c r="AW38" i="3"/>
  <c r="AW30" i="3"/>
  <c r="AW22" i="3"/>
  <c r="AW14" i="3"/>
  <c r="AW6" i="3"/>
  <c r="AW49" i="3"/>
  <c r="AW41" i="3"/>
  <c r="AW33" i="3"/>
  <c r="AW25" i="3"/>
  <c r="AW17" i="3"/>
  <c r="AW9" i="3"/>
  <c r="AW44" i="3"/>
  <c r="AW36" i="3"/>
  <c r="AW28" i="3"/>
  <c r="AW20" i="3"/>
  <c r="AW12" i="3"/>
  <c r="AW4" i="3"/>
  <c r="AW47" i="3"/>
  <c r="AW39" i="3"/>
  <c r="AW31" i="3"/>
  <c r="AW23" i="3"/>
  <c r="AW15" i="3"/>
  <c r="AW7" i="3"/>
  <c r="AW50" i="3"/>
  <c r="AW42" i="3"/>
  <c r="AW34" i="3"/>
  <c r="AW26" i="3"/>
  <c r="AW18" i="3"/>
  <c r="AW10" i="3"/>
  <c r="AW45" i="3"/>
  <c r="AW37" i="3"/>
  <c r="AW29" i="3"/>
  <c r="AW21" i="3"/>
  <c r="AW13" i="3"/>
  <c r="AW5" i="3"/>
  <c r="X16" i="18"/>
  <c r="H16" i="18"/>
  <c r="M16" i="18"/>
  <c r="R16" i="18"/>
  <c r="G16" i="18"/>
  <c r="L16" i="18"/>
  <c r="O16" i="18"/>
  <c r="U16" i="18"/>
  <c r="J16" i="18"/>
  <c r="N16" i="18"/>
  <c r="Q16" i="18"/>
  <c r="P16" i="18"/>
  <c r="T16" i="18"/>
  <c r="K16" i="18"/>
  <c r="W16" i="18"/>
  <c r="I16" i="18"/>
  <c r="F17" i="18"/>
  <c r="I17" i="18" s="1"/>
  <c r="O17" i="18"/>
  <c r="K17" i="18"/>
  <c r="M17" i="18"/>
  <c r="T17" i="18"/>
  <c r="P17" i="18"/>
  <c r="H17" i="18"/>
  <c r="Q17" i="18"/>
  <c r="V17" i="18"/>
  <c r="R17" i="18"/>
  <c r="S17" i="18"/>
  <c r="O10" i="18"/>
  <c r="M10" i="18"/>
  <c r="U10" i="18"/>
  <c r="H10" i="18"/>
  <c r="P10" i="18"/>
  <c r="G10" i="18"/>
  <c r="S10" i="18"/>
  <c r="X10" i="18"/>
  <c r="Z3" i="18"/>
  <c r="Y4" i="18"/>
  <c r="Y5" i="18"/>
  <c r="Y16" i="18"/>
  <c r="Y6" i="18"/>
  <c r="Y7" i="18"/>
  <c r="Y17" i="18"/>
  <c r="Y8" i="18"/>
  <c r="Y9" i="18"/>
  <c r="M11" i="18"/>
  <c r="K11" i="18"/>
  <c r="X11" i="18"/>
  <c r="H11" i="18"/>
  <c r="W11" i="18"/>
  <c r="V11" i="18"/>
  <c r="J11" i="18"/>
  <c r="R10" i="18"/>
  <c r="L10" i="18"/>
  <c r="N10" i="18"/>
  <c r="K10" i="18"/>
  <c r="T10" i="18"/>
  <c r="V10" i="18"/>
  <c r="I10" i="18"/>
  <c r="P22" i="17"/>
  <c r="H22" i="17"/>
  <c r="N22" i="17"/>
  <c r="M22" i="17"/>
  <c r="S22" i="17"/>
  <c r="I22" i="17"/>
  <c r="R22" i="17"/>
  <c r="G22" i="17"/>
  <c r="Q22" i="17"/>
  <c r="O22" i="17"/>
  <c r="L22" i="17"/>
  <c r="K22" i="17"/>
  <c r="J22" i="17"/>
  <c r="R76" i="17"/>
  <c r="N39" i="17"/>
  <c r="G39" i="17"/>
  <c r="N21" i="17"/>
  <c r="G59" i="17"/>
  <c r="Q11" i="17"/>
  <c r="R11" i="17"/>
  <c r="G11" i="17"/>
  <c r="O11" i="17"/>
  <c r="K11" i="17"/>
  <c r="H21" i="17"/>
  <c r="S58" i="17"/>
  <c r="L21" i="17"/>
  <c r="S21" i="17"/>
  <c r="S39" i="17"/>
  <c r="P10" i="17"/>
  <c r="R10" i="17"/>
  <c r="N10" i="17"/>
  <c r="S95" i="17"/>
  <c r="K95" i="17"/>
  <c r="J95" i="17"/>
  <c r="R95" i="17"/>
  <c r="H95" i="17"/>
  <c r="Q95" i="17"/>
  <c r="P95" i="17"/>
  <c r="L95" i="17"/>
  <c r="O94" i="17"/>
  <c r="P94" i="17"/>
  <c r="G76" i="17"/>
  <c r="J39" i="17"/>
  <c r="P21" i="17"/>
  <c r="J21" i="17"/>
  <c r="L58" i="17"/>
  <c r="Q21" i="17"/>
  <c r="H10" i="17"/>
  <c r="M10" i="17"/>
  <c r="J10" i="17"/>
  <c r="O76" i="17"/>
  <c r="I76" i="17"/>
  <c r="P39" i="17"/>
  <c r="R39" i="17"/>
  <c r="M21" i="17"/>
  <c r="R21" i="17"/>
  <c r="P58" i="17"/>
  <c r="O10" i="17"/>
  <c r="G94" i="17"/>
  <c r="M94" i="17"/>
  <c r="H76" i="17"/>
  <c r="G21" i="17"/>
  <c r="Q58" i="17"/>
  <c r="I58" i="17"/>
  <c r="M58" i="17"/>
  <c r="T3" i="17"/>
  <c r="T22" i="17" s="1"/>
  <c r="S4" i="17"/>
  <c r="S5" i="17"/>
  <c r="S35" i="17"/>
  <c r="S17" i="17"/>
  <c r="S54" i="17"/>
  <c r="S6" i="17"/>
  <c r="S90" i="17"/>
  <c r="S72" i="17"/>
  <c r="S18" i="17"/>
  <c r="S36" i="17"/>
  <c r="S55" i="17"/>
  <c r="S73" i="17"/>
  <c r="S7" i="17"/>
  <c r="S91" i="17"/>
  <c r="S8" i="17"/>
  <c r="S56" i="17"/>
  <c r="S19" i="17"/>
  <c r="S37" i="17"/>
  <c r="S92" i="17"/>
  <c r="S74" i="17"/>
  <c r="S20" i="17"/>
  <c r="S9" i="17"/>
  <c r="S93" i="17"/>
  <c r="S75" i="17"/>
  <c r="S38" i="17"/>
  <c r="S57" i="17"/>
  <c r="G10" i="17"/>
  <c r="K10" i="17"/>
  <c r="L77" i="17"/>
  <c r="S77" i="17"/>
  <c r="R77" i="17"/>
  <c r="J77" i="17"/>
  <c r="I77" i="17"/>
  <c r="P77" i="17"/>
  <c r="H77" i="17"/>
  <c r="O77" i="17"/>
  <c r="G77" i="17"/>
  <c r="N77" i="17"/>
  <c r="M77" i="17"/>
  <c r="L40" i="17"/>
  <c r="Q40" i="17"/>
  <c r="R40" i="17"/>
  <c r="N40" i="17"/>
  <c r="I39" i="17"/>
  <c r="O21" i="17"/>
  <c r="Q10" i="17"/>
  <c r="I10" i="17"/>
  <c r="L10" i="17"/>
  <c r="S10" i="17"/>
  <c r="S94" i="17"/>
  <c r="N76" i="17"/>
  <c r="I21" i="17"/>
  <c r="K21" i="17"/>
  <c r="O38" i="15"/>
  <c r="U38" i="15"/>
  <c r="M38" i="15"/>
  <c r="Q38" i="15"/>
  <c r="J38" i="15"/>
  <c r="AL38" i="15"/>
  <c r="AH38" i="15"/>
  <c r="AJ38" i="15"/>
  <c r="Z38" i="15"/>
  <c r="K38" i="15"/>
  <c r="AF38" i="15"/>
  <c r="AC38" i="15"/>
  <c r="N38" i="15"/>
  <c r="H38" i="15"/>
  <c r="AO38" i="15"/>
  <c r="W38" i="15"/>
  <c r="AI38" i="15"/>
  <c r="AE38" i="15"/>
  <c r="G38" i="15"/>
  <c r="Q39" i="15"/>
  <c r="Y39" i="15"/>
  <c r="AJ39" i="15"/>
  <c r="T39" i="15"/>
  <c r="J39" i="15"/>
  <c r="AH39" i="15"/>
  <c r="O39" i="15"/>
  <c r="Z39" i="15"/>
  <c r="S39" i="15"/>
  <c r="R39" i="15"/>
  <c r="AB39" i="15"/>
  <c r="AF39" i="15"/>
  <c r="AL39" i="15"/>
  <c r="U39" i="15"/>
  <c r="AK39" i="15"/>
  <c r="L39" i="15"/>
  <c r="H39" i="15"/>
  <c r="AC39" i="15"/>
  <c r="AG39" i="15"/>
  <c r="V39" i="15"/>
  <c r="AM39" i="15"/>
  <c r="AD39" i="15"/>
  <c r="M39" i="15"/>
  <c r="AI39" i="15"/>
  <c r="P39" i="15"/>
  <c r="K39" i="15"/>
  <c r="I39" i="15"/>
  <c r="AN39" i="15"/>
  <c r="N39" i="15"/>
  <c r="AO39" i="15"/>
  <c r="X39" i="15"/>
  <c r="F40" i="15"/>
  <c r="G39" i="15"/>
  <c r="W39" i="15"/>
  <c r="AA39" i="15"/>
  <c r="I39" i="14"/>
  <c r="G39" i="14"/>
  <c r="J39" i="14"/>
  <c r="H39" i="14"/>
  <c r="U39" i="14"/>
  <c r="AJ39" i="14"/>
  <c r="R39" i="14"/>
  <c r="Y39" i="14"/>
  <c r="AG39" i="14"/>
  <c r="V39" i="14"/>
  <c r="Q39" i="14"/>
  <c r="AH39" i="14"/>
  <c r="AC39" i="14"/>
  <c r="AO39" i="14"/>
  <c r="AM39" i="14"/>
  <c r="M39" i="14"/>
  <c r="AF39" i="14"/>
  <c r="Z39" i="14"/>
  <c r="AB39" i="14"/>
  <c r="P39" i="14"/>
  <c r="L39" i="14"/>
  <c r="AK39" i="14"/>
  <c r="AA39" i="14"/>
  <c r="K39" i="14"/>
  <c r="X39" i="14"/>
  <c r="T39" i="14"/>
  <c r="W39" i="14"/>
  <c r="F40" i="14"/>
  <c r="L40" i="14" s="1"/>
  <c r="AN39" i="14"/>
  <c r="AE39" i="14"/>
  <c r="AD39" i="14"/>
  <c r="AL39" i="14"/>
  <c r="O39" i="14"/>
  <c r="N39" i="14"/>
  <c r="S39" i="14"/>
  <c r="I10" i="14"/>
  <c r="K10" i="14"/>
  <c r="H10" i="14"/>
  <c r="N10" i="14"/>
  <c r="H10" i="13"/>
  <c r="K10" i="13"/>
  <c r="I10" i="13"/>
  <c r="I11" i="15"/>
  <c r="K10" i="15"/>
  <c r="H10" i="15"/>
  <c r="G31" i="15"/>
  <c r="L10" i="15"/>
  <c r="G10" i="15"/>
  <c r="G20" i="15"/>
  <c r="L20" i="15"/>
  <c r="I20" i="15"/>
  <c r="I10" i="15"/>
  <c r="J10" i="15"/>
  <c r="L31" i="15"/>
  <c r="H31" i="15"/>
  <c r="M31" i="15"/>
  <c r="K31" i="15"/>
  <c r="N3" i="15"/>
  <c r="N20" i="15" s="1"/>
  <c r="M5" i="15"/>
  <c r="M15" i="15"/>
  <c r="M6" i="15"/>
  <c r="M27" i="15"/>
  <c r="M28" i="15"/>
  <c r="M16" i="15"/>
  <c r="M7" i="15"/>
  <c r="M17" i="15"/>
  <c r="M29" i="15"/>
  <c r="M8" i="15"/>
  <c r="M30" i="15"/>
  <c r="M18" i="15"/>
  <c r="M9" i="15"/>
  <c r="K19" i="15"/>
  <c r="M32" i="15"/>
  <c r="J32" i="15"/>
  <c r="G32" i="15"/>
  <c r="N32" i="15"/>
  <c r="I31" i="15"/>
  <c r="M10" i="15"/>
  <c r="J11" i="14"/>
  <c r="H25" i="14"/>
  <c r="M10" i="14"/>
  <c r="G25" i="14"/>
  <c r="J25" i="14"/>
  <c r="N4" i="14"/>
  <c r="O3" i="14"/>
  <c r="N5" i="14"/>
  <c r="N21" i="14"/>
  <c r="N6" i="14"/>
  <c r="N22" i="14"/>
  <c r="N7" i="14"/>
  <c r="N23" i="14"/>
  <c r="N8" i="14"/>
  <c r="N24" i="14"/>
  <c r="N9" i="14"/>
  <c r="G26" i="14"/>
  <c r="L26" i="14"/>
  <c r="M26" i="14"/>
  <c r="K26" i="14"/>
  <c r="I26" i="14"/>
  <c r="J26" i="14"/>
  <c r="J10" i="14"/>
  <c r="L10" i="14"/>
  <c r="M25" i="14"/>
  <c r="N25" i="14"/>
  <c r="M4" i="13"/>
  <c r="N3" i="13"/>
  <c r="M5" i="13"/>
  <c r="M6" i="13"/>
  <c r="M7" i="13"/>
  <c r="M8" i="13"/>
  <c r="M9" i="13"/>
  <c r="K11" i="13"/>
  <c r="G10" i="13"/>
  <c r="J10" i="13"/>
  <c r="M10" i="13"/>
  <c r="J11" i="12"/>
  <c r="G11" i="12"/>
  <c r="I11" i="12"/>
  <c r="H11" i="12"/>
  <c r="N11" i="12"/>
  <c r="P11" i="12"/>
  <c r="P5" i="12"/>
  <c r="Q3" i="12"/>
  <c r="P4" i="12"/>
  <c r="P6" i="12"/>
  <c r="P7" i="12"/>
  <c r="P8" i="12"/>
  <c r="P9" i="12"/>
  <c r="P10" i="12"/>
  <c r="F12" i="12"/>
  <c r="O12" i="12" s="1"/>
  <c r="O11" i="12"/>
  <c r="M11" i="12"/>
  <c r="K11" i="12"/>
  <c r="AX99" i="3" l="1"/>
  <c r="AX91" i="3"/>
  <c r="AX83" i="3"/>
  <c r="AX75" i="3"/>
  <c r="AX67" i="3"/>
  <c r="AX59" i="3"/>
  <c r="AX102" i="3"/>
  <c r="AX94" i="3"/>
  <c r="AX86" i="3"/>
  <c r="AX78" i="3"/>
  <c r="AX70" i="3"/>
  <c r="AX62" i="3"/>
  <c r="AX54" i="3"/>
  <c r="AX97" i="3"/>
  <c r="AX89" i="3"/>
  <c r="AX81" i="3"/>
  <c r="AX73" i="3"/>
  <c r="AX65" i="3"/>
  <c r="AX57" i="3"/>
  <c r="AX100" i="3"/>
  <c r="AX92" i="3"/>
  <c r="AX84" i="3"/>
  <c r="AX76" i="3"/>
  <c r="AX68" i="3"/>
  <c r="AX60" i="3"/>
  <c r="AX52" i="3"/>
  <c r="AX103" i="3"/>
  <c r="AX95" i="3"/>
  <c r="AX87" i="3"/>
  <c r="AX79" i="3"/>
  <c r="AX71" i="3"/>
  <c r="AX63" i="3"/>
  <c r="AX55" i="3"/>
  <c r="AX98" i="3"/>
  <c r="AX90" i="3"/>
  <c r="AX82" i="3"/>
  <c r="AX74" i="3"/>
  <c r="AX66" i="3"/>
  <c r="AX58" i="3"/>
  <c r="AX101" i="3"/>
  <c r="AX93" i="3"/>
  <c r="AX85" i="3"/>
  <c r="AX77" i="3"/>
  <c r="AX69" i="3"/>
  <c r="AX61" i="3"/>
  <c r="AX53" i="3"/>
  <c r="AX96" i="3"/>
  <c r="AX88" i="3"/>
  <c r="AX80" i="3"/>
  <c r="AX72" i="3"/>
  <c r="AX64" i="3"/>
  <c r="AX56" i="3"/>
  <c r="AX51" i="3"/>
  <c r="AX43" i="3"/>
  <c r="AX35" i="3"/>
  <c r="AX27" i="3"/>
  <c r="AX19" i="3"/>
  <c r="AX11" i="3"/>
  <c r="AX46" i="3"/>
  <c r="AX38" i="3"/>
  <c r="AX30" i="3"/>
  <c r="AX22" i="3"/>
  <c r="AX14" i="3"/>
  <c r="AX6" i="3"/>
  <c r="AX49" i="3"/>
  <c r="AX41" i="3"/>
  <c r="AX33" i="3"/>
  <c r="AX25" i="3"/>
  <c r="AX17" i="3"/>
  <c r="AX9" i="3"/>
  <c r="AX44" i="3"/>
  <c r="AX36" i="3"/>
  <c r="AX28" i="3"/>
  <c r="AX20" i="3"/>
  <c r="AX12" i="3"/>
  <c r="AX4" i="3"/>
  <c r="AX47" i="3"/>
  <c r="AX39" i="3"/>
  <c r="AX31" i="3"/>
  <c r="AX23" i="3"/>
  <c r="AX15" i="3"/>
  <c r="AX7" i="3"/>
  <c r="AX50" i="3"/>
  <c r="AX42" i="3"/>
  <c r="AX34" i="3"/>
  <c r="AX26" i="3"/>
  <c r="AX18" i="3"/>
  <c r="AX10" i="3"/>
  <c r="AX45" i="3"/>
  <c r="AX37" i="3"/>
  <c r="AX29" i="3"/>
  <c r="AX21" i="3"/>
  <c r="AX13" i="3"/>
  <c r="AX5" i="3"/>
  <c r="AX48" i="3"/>
  <c r="AX40" i="3"/>
  <c r="AX32" i="3"/>
  <c r="AX24" i="3"/>
  <c r="AX16" i="3"/>
  <c r="AX8" i="3"/>
  <c r="AY3" i="3"/>
  <c r="U17" i="18"/>
  <c r="J17" i="18"/>
  <c r="G17" i="18"/>
  <c r="L17" i="18"/>
  <c r="W17" i="18"/>
  <c r="N17" i="18"/>
  <c r="F18" i="18"/>
  <c r="N18" i="18" s="1"/>
  <c r="L18" i="18"/>
  <c r="I18" i="18"/>
  <c r="X17" i="18"/>
  <c r="X12" i="18"/>
  <c r="P12" i="18"/>
  <c r="W12" i="18"/>
  <c r="O12" i="18"/>
  <c r="G12" i="18"/>
  <c r="T12" i="18"/>
  <c r="L12" i="18"/>
  <c r="K12" i="18"/>
  <c r="M12" i="18"/>
  <c r="J12" i="18"/>
  <c r="Y12" i="18"/>
  <c r="U12" i="18"/>
  <c r="Q12" i="18"/>
  <c r="R12" i="18"/>
  <c r="Z11" i="18"/>
  <c r="I11" i="18"/>
  <c r="AA3" i="18"/>
  <c r="AA12" i="18" s="1"/>
  <c r="Z4" i="18"/>
  <c r="Z5" i="18"/>
  <c r="Z6" i="18"/>
  <c r="Z16" i="18"/>
  <c r="Z7" i="18"/>
  <c r="Z17" i="18"/>
  <c r="Z8" i="18"/>
  <c r="Z18" i="18"/>
  <c r="Z9" i="18"/>
  <c r="Z10" i="18"/>
  <c r="O11" i="18"/>
  <c r="G11" i="18"/>
  <c r="Q11" i="18"/>
  <c r="L11" i="18"/>
  <c r="Y11" i="18"/>
  <c r="T11" i="18"/>
  <c r="P11" i="18"/>
  <c r="N11" i="18"/>
  <c r="R11" i="18"/>
  <c r="S11" i="18"/>
  <c r="U11" i="18"/>
  <c r="K60" i="17"/>
  <c r="M60" i="17"/>
  <c r="U60" i="17"/>
  <c r="L60" i="17"/>
  <c r="L12" i="17"/>
  <c r="N59" i="17"/>
  <c r="N11" i="17"/>
  <c r="J59" i="17"/>
  <c r="I59" i="17"/>
  <c r="T77" i="17"/>
  <c r="O96" i="17"/>
  <c r="M96" i="17"/>
  <c r="U96" i="17"/>
  <c r="R96" i="17"/>
  <c r="K96" i="17"/>
  <c r="G96" i="17"/>
  <c r="M95" i="17"/>
  <c r="L11" i="17"/>
  <c r="J11" i="17"/>
  <c r="R59" i="17"/>
  <c r="M59" i="17"/>
  <c r="Q59" i="17"/>
  <c r="T11" i="17"/>
  <c r="T59" i="17"/>
  <c r="L59" i="17"/>
  <c r="G40" i="17"/>
  <c r="S40" i="17"/>
  <c r="H40" i="17"/>
  <c r="T40" i="17"/>
  <c r="O40" i="17"/>
  <c r="J40" i="17"/>
  <c r="M40" i="17"/>
  <c r="O78" i="17"/>
  <c r="L78" i="17"/>
  <c r="J78" i="17"/>
  <c r="I78" i="17"/>
  <c r="Q77" i="17"/>
  <c r="K77" i="17"/>
  <c r="O95" i="17"/>
  <c r="P11" i="17"/>
  <c r="H11" i="17"/>
  <c r="U3" i="17"/>
  <c r="U78" i="17" s="1"/>
  <c r="T4" i="17"/>
  <c r="T5" i="17"/>
  <c r="T90" i="17"/>
  <c r="T6" i="17"/>
  <c r="T17" i="17"/>
  <c r="T72" i="17"/>
  <c r="T35" i="17"/>
  <c r="T54" i="17"/>
  <c r="T55" i="17"/>
  <c r="T73" i="17"/>
  <c r="T91" i="17"/>
  <c r="T7" i="17"/>
  <c r="T36" i="17"/>
  <c r="T18" i="17"/>
  <c r="T19" i="17"/>
  <c r="T8" i="17"/>
  <c r="T74" i="17"/>
  <c r="T56" i="17"/>
  <c r="T92" i="17"/>
  <c r="T37" i="17"/>
  <c r="T38" i="17"/>
  <c r="T9" i="17"/>
  <c r="T93" i="17"/>
  <c r="T75" i="17"/>
  <c r="T57" i="17"/>
  <c r="T20" i="17"/>
  <c r="T39" i="17"/>
  <c r="T76" i="17"/>
  <c r="T94" i="17"/>
  <c r="T10" i="17"/>
  <c r="T58" i="17"/>
  <c r="T21" i="17"/>
  <c r="I40" i="17"/>
  <c r="P40" i="17"/>
  <c r="K40" i="17"/>
  <c r="N95" i="17"/>
  <c r="G95" i="17"/>
  <c r="I95" i="17"/>
  <c r="S11" i="17"/>
  <c r="S59" i="17"/>
  <c r="K59" i="17"/>
  <c r="H59" i="17"/>
  <c r="S23" i="17"/>
  <c r="I23" i="17"/>
  <c r="H41" i="17"/>
  <c r="O41" i="17"/>
  <c r="G41" i="17"/>
  <c r="U41" i="17"/>
  <c r="M41" i="17"/>
  <c r="J41" i="17"/>
  <c r="S41" i="17"/>
  <c r="R41" i="17"/>
  <c r="Q41" i="17"/>
  <c r="T41" i="17"/>
  <c r="N41" i="17"/>
  <c r="L41" i="17"/>
  <c r="K41" i="17"/>
  <c r="I41" i="17"/>
  <c r="T95" i="17"/>
  <c r="M11" i="17"/>
  <c r="I11" i="17"/>
  <c r="O59" i="17"/>
  <c r="P59" i="17"/>
  <c r="U40" i="15"/>
  <c r="AA40" i="15"/>
  <c r="Y40" i="15"/>
  <c r="AH40" i="15"/>
  <c r="AF40" i="15"/>
  <c r="AN40" i="15"/>
  <c r="AB40" i="15"/>
  <c r="N40" i="15"/>
  <c r="T40" i="15"/>
  <c r="X40" i="15"/>
  <c r="J40" i="15"/>
  <c r="I40" i="15"/>
  <c r="AG40" i="15"/>
  <c r="AJ40" i="15"/>
  <c r="AO40" i="15"/>
  <c r="L40" i="15"/>
  <c r="S40" i="15"/>
  <c r="AL40" i="15"/>
  <c r="AE40" i="15"/>
  <c r="Z40" i="15"/>
  <c r="R40" i="15"/>
  <c r="AD40" i="15"/>
  <c r="AM40" i="15"/>
  <c r="P40" i="15"/>
  <c r="W40" i="15"/>
  <c r="K40" i="15"/>
  <c r="AI40" i="15"/>
  <c r="F41" i="15"/>
  <c r="V40" i="15"/>
  <c r="O40" i="15"/>
  <c r="Q40" i="15"/>
  <c r="H40" i="15"/>
  <c r="AC40" i="15"/>
  <c r="AK40" i="15"/>
  <c r="M40" i="15"/>
  <c r="G40" i="15"/>
  <c r="AO40" i="14"/>
  <c r="T40" i="14"/>
  <c r="I40" i="14"/>
  <c r="AG40" i="14"/>
  <c r="J40" i="14"/>
  <c r="AK40" i="14"/>
  <c r="Y40" i="14"/>
  <c r="AL40" i="14"/>
  <c r="AM40" i="14"/>
  <c r="AN40" i="14"/>
  <c r="W40" i="14"/>
  <c r="G40" i="14"/>
  <c r="AD40" i="14"/>
  <c r="N40" i="14"/>
  <c r="U40" i="14"/>
  <c r="X40" i="14"/>
  <c r="H40" i="14"/>
  <c r="AC40" i="14"/>
  <c r="S40" i="14"/>
  <c r="R40" i="14"/>
  <c r="M40" i="14"/>
  <c r="V40" i="14"/>
  <c r="AF40" i="14"/>
  <c r="AA40" i="14"/>
  <c r="K40" i="14"/>
  <c r="AH40" i="14"/>
  <c r="AB40" i="14"/>
  <c r="AJ40" i="14"/>
  <c r="Q40" i="14"/>
  <c r="F41" i="14"/>
  <c r="Z41" i="14" s="1"/>
  <c r="AE40" i="14"/>
  <c r="AI40" i="14"/>
  <c r="O40" i="14"/>
  <c r="Z40" i="14"/>
  <c r="P40" i="14"/>
  <c r="H11" i="14"/>
  <c r="K11" i="14"/>
  <c r="O11" i="14"/>
  <c r="L11" i="14"/>
  <c r="G11" i="14"/>
  <c r="M11" i="15"/>
  <c r="K11" i="15"/>
  <c r="H11" i="15"/>
  <c r="N11" i="15"/>
  <c r="K21" i="15"/>
  <c r="H32" i="15"/>
  <c r="K32" i="15"/>
  <c r="N4" i="15"/>
  <c r="O3" i="15"/>
  <c r="O21" i="15" s="1"/>
  <c r="N5" i="15"/>
  <c r="N27" i="15"/>
  <c r="N15" i="15"/>
  <c r="N6" i="15"/>
  <c r="N7" i="15"/>
  <c r="N16" i="15"/>
  <c r="N28" i="15"/>
  <c r="N17" i="15"/>
  <c r="N29" i="15"/>
  <c r="N8" i="15"/>
  <c r="N30" i="15"/>
  <c r="N9" i="15"/>
  <c r="N18" i="15"/>
  <c r="N19" i="15"/>
  <c r="N10" i="15"/>
  <c r="N31" i="15"/>
  <c r="K20" i="15"/>
  <c r="H12" i="15"/>
  <c r="L11" i="15"/>
  <c r="L32" i="15"/>
  <c r="J20" i="15"/>
  <c r="H20" i="15"/>
  <c r="I32" i="15"/>
  <c r="G11" i="15"/>
  <c r="J11" i="15"/>
  <c r="M20" i="15"/>
  <c r="O26" i="14"/>
  <c r="M11" i="14"/>
  <c r="J27" i="14"/>
  <c r="H27" i="14"/>
  <c r="I27" i="14"/>
  <c r="L27" i="14"/>
  <c r="M27" i="14"/>
  <c r="H26" i="14"/>
  <c r="N26" i="14"/>
  <c r="K12" i="14"/>
  <c r="P3" i="14"/>
  <c r="P27" i="14" s="1"/>
  <c r="O4" i="14"/>
  <c r="O5" i="14"/>
  <c r="O6" i="14"/>
  <c r="O21" i="14"/>
  <c r="O22" i="14"/>
  <c r="O7" i="14"/>
  <c r="O23" i="14"/>
  <c r="O8" i="14"/>
  <c r="O9" i="14"/>
  <c r="O24" i="14"/>
  <c r="O25" i="14"/>
  <c r="O10" i="14"/>
  <c r="N11" i="14"/>
  <c r="I11" i="14"/>
  <c r="L11" i="13"/>
  <c r="I12" i="13"/>
  <c r="M11" i="13"/>
  <c r="H11" i="13"/>
  <c r="N11" i="13"/>
  <c r="I11" i="13"/>
  <c r="J11" i="13"/>
  <c r="N4" i="13"/>
  <c r="O3" i="13"/>
  <c r="N5" i="13"/>
  <c r="N6" i="13"/>
  <c r="N7" i="13"/>
  <c r="N8" i="13"/>
  <c r="N9" i="13"/>
  <c r="N10" i="13"/>
  <c r="G11" i="13"/>
  <c r="G12" i="12"/>
  <c r="M12" i="12"/>
  <c r="I12" i="12"/>
  <c r="L12" i="12"/>
  <c r="H12" i="12"/>
  <c r="J12" i="12"/>
  <c r="Q12" i="12"/>
  <c r="K12" i="12"/>
  <c r="F13" i="12"/>
  <c r="J13" i="12" s="1"/>
  <c r="Q4" i="12"/>
  <c r="R3" i="12"/>
  <c r="Q5" i="12"/>
  <c r="Q6" i="12"/>
  <c r="Q7" i="12"/>
  <c r="Q8" i="12"/>
  <c r="Q9" i="12"/>
  <c r="Q10" i="12"/>
  <c r="Q11" i="12"/>
  <c r="P12" i="12"/>
  <c r="N12" i="12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5" i="11"/>
  <c r="E3" i="11" s="1"/>
  <c r="B2" i="11" s="1"/>
  <c r="F4" i="11"/>
  <c r="G3" i="11"/>
  <c r="H3" i="11" s="1"/>
  <c r="F4" i="10"/>
  <c r="G3" i="10"/>
  <c r="H3" i="10" s="1"/>
  <c r="F4" i="9"/>
  <c r="F68" i="9" s="1"/>
  <c r="G3" i="9"/>
  <c r="F4" i="8"/>
  <c r="F19" i="8" s="1"/>
  <c r="G3" i="8"/>
  <c r="G3" i="3"/>
  <c r="H3" i="3" s="1"/>
  <c r="F4" i="3"/>
  <c r="E11" i="2"/>
  <c r="P4" i="2"/>
  <c r="E11" i="1"/>
  <c r="F11" i="1" s="1"/>
  <c r="G11" i="1" s="1"/>
  <c r="P4" i="1"/>
  <c r="AY102" i="3" l="1"/>
  <c r="AY94" i="3"/>
  <c r="AY86" i="3"/>
  <c r="AY78" i="3"/>
  <c r="AY70" i="3"/>
  <c r="AY62" i="3"/>
  <c r="AY54" i="3"/>
  <c r="AY97" i="3"/>
  <c r="AY89" i="3"/>
  <c r="AY81" i="3"/>
  <c r="AY73" i="3"/>
  <c r="AY65" i="3"/>
  <c r="AY57" i="3"/>
  <c r="AY100" i="3"/>
  <c r="AY92" i="3"/>
  <c r="AY84" i="3"/>
  <c r="AY76" i="3"/>
  <c r="AY68" i="3"/>
  <c r="AY60" i="3"/>
  <c r="AY52" i="3"/>
  <c r="AY103" i="3"/>
  <c r="AY95" i="3"/>
  <c r="AY87" i="3"/>
  <c r="AY79" i="3"/>
  <c r="AY71" i="3"/>
  <c r="AY63" i="3"/>
  <c r="AY55" i="3"/>
  <c r="AY98" i="3"/>
  <c r="AY90" i="3"/>
  <c r="AY82" i="3"/>
  <c r="AY74" i="3"/>
  <c r="AY66" i="3"/>
  <c r="AY58" i="3"/>
  <c r="AY101" i="3"/>
  <c r="AY93" i="3"/>
  <c r="AY85" i="3"/>
  <c r="AY77" i="3"/>
  <c r="AY69" i="3"/>
  <c r="AY61" i="3"/>
  <c r="AY53" i="3"/>
  <c r="AY96" i="3"/>
  <c r="AY88" i="3"/>
  <c r="AY80" i="3"/>
  <c r="AY72" i="3"/>
  <c r="AY64" i="3"/>
  <c r="AY56" i="3"/>
  <c r="AY99" i="3"/>
  <c r="AY91" i="3"/>
  <c r="AY83" i="3"/>
  <c r="AY75" i="3"/>
  <c r="AY67" i="3"/>
  <c r="AY59" i="3"/>
  <c r="AY51" i="3"/>
  <c r="AY46" i="3"/>
  <c r="AY38" i="3"/>
  <c r="AY30" i="3"/>
  <c r="AY22" i="3"/>
  <c r="AY14" i="3"/>
  <c r="AY6" i="3"/>
  <c r="AY49" i="3"/>
  <c r="AY41" i="3"/>
  <c r="AY33" i="3"/>
  <c r="AY25" i="3"/>
  <c r="AY17" i="3"/>
  <c r="AY9" i="3"/>
  <c r="AY44" i="3"/>
  <c r="AY36" i="3"/>
  <c r="AY28" i="3"/>
  <c r="AY20" i="3"/>
  <c r="AY12" i="3"/>
  <c r="AY4" i="3"/>
  <c r="AY47" i="3"/>
  <c r="AY39" i="3"/>
  <c r="AY31" i="3"/>
  <c r="AY23" i="3"/>
  <c r="AY15" i="3"/>
  <c r="AY7" i="3"/>
  <c r="AY50" i="3"/>
  <c r="AY42" i="3"/>
  <c r="AY34" i="3"/>
  <c r="AY26" i="3"/>
  <c r="AY18" i="3"/>
  <c r="AY10" i="3"/>
  <c r="AY45" i="3"/>
  <c r="AY37" i="3"/>
  <c r="AY29" i="3"/>
  <c r="AY21" i="3"/>
  <c r="AY13" i="3"/>
  <c r="AY5" i="3"/>
  <c r="AY48" i="3"/>
  <c r="AY40" i="3"/>
  <c r="AY32" i="3"/>
  <c r="AY24" i="3"/>
  <c r="AY16" i="3"/>
  <c r="AY8" i="3"/>
  <c r="AZ3" i="3"/>
  <c r="AY43" i="3"/>
  <c r="AY35" i="3"/>
  <c r="AY27" i="3"/>
  <c r="AY19" i="3"/>
  <c r="AY11" i="3"/>
  <c r="X18" i="18"/>
  <c r="W18" i="18"/>
  <c r="G18" i="18"/>
  <c r="U18" i="18"/>
  <c r="J18" i="18"/>
  <c r="P18" i="18"/>
  <c r="O18" i="18"/>
  <c r="V18" i="18"/>
  <c r="H18" i="18"/>
  <c r="M18" i="18"/>
  <c r="Q18" i="18"/>
  <c r="T18" i="18"/>
  <c r="S18" i="18"/>
  <c r="R18" i="18"/>
  <c r="K18" i="18"/>
  <c r="R19" i="18"/>
  <c r="Y18" i="18"/>
  <c r="AA13" i="18"/>
  <c r="S13" i="18"/>
  <c r="K13" i="18"/>
  <c r="J13" i="18"/>
  <c r="Y13" i="18"/>
  <c r="Q13" i="18"/>
  <c r="I13" i="18"/>
  <c r="W13" i="18"/>
  <c r="O13" i="18"/>
  <c r="G13" i="18"/>
  <c r="V13" i="18"/>
  <c r="T13" i="18"/>
  <c r="P13" i="18"/>
  <c r="H13" i="18"/>
  <c r="L13" i="18"/>
  <c r="AB13" i="18"/>
  <c r="U13" i="18"/>
  <c r="X13" i="18"/>
  <c r="Z12" i="18"/>
  <c r="S12" i="18"/>
  <c r="N12" i="18"/>
  <c r="I12" i="18"/>
  <c r="V12" i="18"/>
  <c r="H12" i="18"/>
  <c r="AB3" i="18"/>
  <c r="AA4" i="18"/>
  <c r="AA5" i="18"/>
  <c r="AA16" i="18"/>
  <c r="AA6" i="18"/>
  <c r="AA17" i="18"/>
  <c r="AA7" i="18"/>
  <c r="AA8" i="18"/>
  <c r="AA18" i="18"/>
  <c r="AA9" i="18"/>
  <c r="AA10" i="18"/>
  <c r="AA11" i="18"/>
  <c r="H12" i="17"/>
  <c r="O12" i="17"/>
  <c r="L23" i="17"/>
  <c r="Q78" i="17"/>
  <c r="K78" i="17"/>
  <c r="M78" i="17"/>
  <c r="V97" i="17"/>
  <c r="H97" i="17"/>
  <c r="M97" i="17"/>
  <c r="I97" i="17"/>
  <c r="P12" i="17"/>
  <c r="S12" i="17"/>
  <c r="T12" i="17"/>
  <c r="P60" i="17"/>
  <c r="S60" i="17"/>
  <c r="S78" i="17"/>
  <c r="G78" i="17"/>
  <c r="I96" i="17"/>
  <c r="L96" i="17"/>
  <c r="N96" i="17"/>
  <c r="M12" i="17"/>
  <c r="H60" i="17"/>
  <c r="S42" i="17"/>
  <c r="P41" i="17"/>
  <c r="P23" i="17"/>
  <c r="T23" i="17"/>
  <c r="Q23" i="17"/>
  <c r="Q96" i="17"/>
  <c r="I12" i="17"/>
  <c r="N60" i="17"/>
  <c r="I60" i="17"/>
  <c r="M23" i="17"/>
  <c r="G12" i="17"/>
  <c r="J12" i="17"/>
  <c r="Q12" i="17"/>
  <c r="Q60" i="17"/>
  <c r="V3" i="17"/>
  <c r="U4" i="17"/>
  <c r="U5" i="17"/>
  <c r="U17" i="17"/>
  <c r="U54" i="17"/>
  <c r="U35" i="17"/>
  <c r="U72" i="17"/>
  <c r="U6" i="17"/>
  <c r="U90" i="17"/>
  <c r="U36" i="17"/>
  <c r="U18" i="17"/>
  <c r="U73" i="17"/>
  <c r="U55" i="17"/>
  <c r="U7" i="17"/>
  <c r="U91" i="17"/>
  <c r="U8" i="17"/>
  <c r="U37" i="17"/>
  <c r="U92" i="17"/>
  <c r="U56" i="17"/>
  <c r="U19" i="17"/>
  <c r="U74" i="17"/>
  <c r="U93" i="17"/>
  <c r="U20" i="17"/>
  <c r="U9" i="17"/>
  <c r="U75" i="17"/>
  <c r="U57" i="17"/>
  <c r="U38" i="17"/>
  <c r="U58" i="17"/>
  <c r="U21" i="17"/>
  <c r="U10" i="17"/>
  <c r="U39" i="17"/>
  <c r="U76" i="17"/>
  <c r="U94" i="17"/>
  <c r="U40" i="17"/>
  <c r="U22" i="17"/>
  <c r="U95" i="17"/>
  <c r="U59" i="17"/>
  <c r="U77" i="17"/>
  <c r="U11" i="17"/>
  <c r="L79" i="17"/>
  <c r="R12" i="17"/>
  <c r="U12" i="17"/>
  <c r="N12" i="17"/>
  <c r="N61" i="17"/>
  <c r="K61" i="17"/>
  <c r="Q61" i="17"/>
  <c r="I61" i="17"/>
  <c r="H61" i="17"/>
  <c r="J60" i="17"/>
  <c r="T60" i="17"/>
  <c r="V24" i="17"/>
  <c r="N24" i="17"/>
  <c r="T24" i="17"/>
  <c r="L24" i="17"/>
  <c r="S24" i="17"/>
  <c r="I24" i="17"/>
  <c r="R24" i="17"/>
  <c r="H24" i="17"/>
  <c r="Q24" i="17"/>
  <c r="G24" i="17"/>
  <c r="P24" i="17"/>
  <c r="O24" i="17"/>
  <c r="M24" i="17"/>
  <c r="K24" i="17"/>
  <c r="U24" i="17"/>
  <c r="J24" i="17"/>
  <c r="H23" i="17"/>
  <c r="G23" i="17"/>
  <c r="J23" i="17"/>
  <c r="P78" i="17"/>
  <c r="R78" i="17"/>
  <c r="T78" i="17"/>
  <c r="N78" i="17"/>
  <c r="J96" i="17"/>
  <c r="H96" i="17"/>
  <c r="R60" i="17"/>
  <c r="O60" i="17"/>
  <c r="O23" i="17"/>
  <c r="R23" i="17"/>
  <c r="U23" i="17"/>
  <c r="N23" i="17"/>
  <c r="K23" i="17"/>
  <c r="H78" i="17"/>
  <c r="S96" i="17"/>
  <c r="T96" i="17"/>
  <c r="P96" i="17"/>
  <c r="K12" i="17"/>
  <c r="G60" i="17"/>
  <c r="AE41" i="15"/>
  <c r="AD41" i="15"/>
  <c r="AI41" i="15"/>
  <c r="K41" i="15"/>
  <c r="F42" i="15"/>
  <c r="O42" i="15" s="1"/>
  <c r="N41" i="15"/>
  <c r="V41" i="15"/>
  <c r="H41" i="15"/>
  <c r="AL41" i="15"/>
  <c r="W41" i="15"/>
  <c r="O41" i="15"/>
  <c r="AJ41" i="15"/>
  <c r="Z41" i="15"/>
  <c r="AM41" i="15"/>
  <c r="AA41" i="15"/>
  <c r="R41" i="15"/>
  <c r="AO41" i="15"/>
  <c r="S41" i="15"/>
  <c r="AB41" i="15"/>
  <c r="Y41" i="15"/>
  <c r="J41" i="15"/>
  <c r="P41" i="15"/>
  <c r="I41" i="15"/>
  <c r="L41" i="15"/>
  <c r="AK41" i="15"/>
  <c r="T41" i="15"/>
  <c r="AC41" i="15"/>
  <c r="G41" i="15"/>
  <c r="U41" i="15"/>
  <c r="X41" i="15"/>
  <c r="AH41" i="15"/>
  <c r="AF41" i="15"/>
  <c r="AG41" i="15"/>
  <c r="M41" i="15"/>
  <c r="AN41" i="15"/>
  <c r="AL42" i="15"/>
  <c r="K42" i="15"/>
  <c r="G42" i="15"/>
  <c r="Q42" i="15"/>
  <c r="W42" i="15"/>
  <c r="J42" i="15"/>
  <c r="AO42" i="15"/>
  <c r="AB42" i="15"/>
  <c r="T42" i="15"/>
  <c r="Q41" i="15"/>
  <c r="AI42" i="15"/>
  <c r="I42" i="15"/>
  <c r="L42" i="15"/>
  <c r="S42" i="15"/>
  <c r="AH42" i="15"/>
  <c r="AD41" i="14"/>
  <c r="M41" i="14"/>
  <c r="AJ41" i="14"/>
  <c r="T41" i="14"/>
  <c r="S41" i="14"/>
  <c r="F42" i="14"/>
  <c r="Y42" i="14" s="1"/>
  <c r="J41" i="14"/>
  <c r="AE41" i="14"/>
  <c r="AH41" i="14"/>
  <c r="O41" i="14"/>
  <c r="AN41" i="14"/>
  <c r="AF41" i="14"/>
  <c r="AO41" i="14"/>
  <c r="X41" i="14"/>
  <c r="AG41" i="14"/>
  <c r="Y41" i="14"/>
  <c r="H41" i="14"/>
  <c r="AI41" i="14"/>
  <c r="I41" i="14"/>
  <c r="R41" i="14"/>
  <c r="Q41" i="14"/>
  <c r="AM41" i="14"/>
  <c r="P41" i="14"/>
  <c r="W41" i="14"/>
  <c r="N41" i="14"/>
  <c r="G41" i="14"/>
  <c r="AC41" i="14"/>
  <c r="AL41" i="14"/>
  <c r="AB41" i="14"/>
  <c r="V41" i="14"/>
  <c r="L41" i="14"/>
  <c r="AK41" i="14"/>
  <c r="AA41" i="14"/>
  <c r="U41" i="14"/>
  <c r="K41" i="14"/>
  <c r="F89" i="11"/>
  <c r="F90" i="11" s="1"/>
  <c r="F71" i="11"/>
  <c r="L12" i="15"/>
  <c r="G12" i="14"/>
  <c r="F72" i="11"/>
  <c r="E3" i="10"/>
  <c r="B2" i="10" s="1"/>
  <c r="G4" i="10" s="1"/>
  <c r="F52" i="10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E3" i="3"/>
  <c r="B2" i="3" s="1"/>
  <c r="H4" i="3" s="1"/>
  <c r="I12" i="14"/>
  <c r="J12" i="14"/>
  <c r="L12" i="14"/>
  <c r="M12" i="14"/>
  <c r="O12" i="13"/>
  <c r="L12" i="13"/>
  <c r="E3" i="9"/>
  <c r="B2" i="9" s="1"/>
  <c r="G4" i="9" s="1"/>
  <c r="E3" i="8"/>
  <c r="B2" i="8" s="1"/>
  <c r="G4" i="8" s="1"/>
  <c r="M12" i="15"/>
  <c r="K12" i="15"/>
  <c r="G12" i="15"/>
  <c r="O12" i="15"/>
  <c r="M21" i="15"/>
  <c r="N21" i="15"/>
  <c r="I21" i="15"/>
  <c r="L21" i="15"/>
  <c r="J13" i="15"/>
  <c r="K13" i="15"/>
  <c r="L13" i="15"/>
  <c r="G13" i="15"/>
  <c r="H13" i="15"/>
  <c r="J12" i="15"/>
  <c r="I12" i="15"/>
  <c r="N12" i="15"/>
  <c r="G21" i="15"/>
  <c r="O4" i="15"/>
  <c r="P3" i="15"/>
  <c r="P13" i="15" s="1"/>
  <c r="O5" i="15"/>
  <c r="O27" i="15"/>
  <c r="O6" i="15"/>
  <c r="O15" i="15"/>
  <c r="O7" i="15"/>
  <c r="O28" i="15"/>
  <c r="O16" i="15"/>
  <c r="O17" i="15"/>
  <c r="O29" i="15"/>
  <c r="O8" i="15"/>
  <c r="O18" i="15"/>
  <c r="O9" i="15"/>
  <c r="O30" i="15"/>
  <c r="O31" i="15"/>
  <c r="O19" i="15"/>
  <c r="O10" i="15"/>
  <c r="O11" i="15"/>
  <c r="O32" i="15"/>
  <c r="O20" i="15"/>
  <c r="H21" i="15"/>
  <c r="G22" i="15"/>
  <c r="I22" i="15"/>
  <c r="P22" i="15"/>
  <c r="M22" i="15"/>
  <c r="J22" i="15"/>
  <c r="H22" i="15"/>
  <c r="J21" i="15"/>
  <c r="Q3" i="14"/>
  <c r="P4" i="14"/>
  <c r="P5" i="14"/>
  <c r="P6" i="14"/>
  <c r="P21" i="14"/>
  <c r="P22" i="14"/>
  <c r="P7" i="14"/>
  <c r="P23" i="14"/>
  <c r="P8" i="14"/>
  <c r="P24" i="14"/>
  <c r="P9" i="14"/>
  <c r="P25" i="14"/>
  <c r="P10" i="14"/>
  <c r="P26" i="14"/>
  <c r="P11" i="14"/>
  <c r="I13" i="14"/>
  <c r="J13" i="14"/>
  <c r="G27" i="14"/>
  <c r="O12" i="14"/>
  <c r="N12" i="14"/>
  <c r="O27" i="14"/>
  <c r="H12" i="14"/>
  <c r="P12" i="14"/>
  <c r="L28" i="14"/>
  <c r="J28" i="14"/>
  <c r="I28" i="14"/>
  <c r="O28" i="14"/>
  <c r="G28" i="14"/>
  <c r="N28" i="14"/>
  <c r="K27" i="14"/>
  <c r="N27" i="14"/>
  <c r="G12" i="13"/>
  <c r="M12" i="13"/>
  <c r="H12" i="13"/>
  <c r="K12" i="13"/>
  <c r="P3" i="13"/>
  <c r="O4" i="13"/>
  <c r="O5" i="13"/>
  <c r="O6" i="13"/>
  <c r="O7" i="13"/>
  <c r="O8" i="13"/>
  <c r="O9" i="13"/>
  <c r="O10" i="13"/>
  <c r="O11" i="13"/>
  <c r="L13" i="13"/>
  <c r="N12" i="13"/>
  <c r="J12" i="13"/>
  <c r="L13" i="12"/>
  <c r="M13" i="12"/>
  <c r="I13" i="12"/>
  <c r="Q13" i="12"/>
  <c r="G13" i="12"/>
  <c r="O13" i="12"/>
  <c r="R4" i="12"/>
  <c r="S3" i="12"/>
  <c r="R6" i="12"/>
  <c r="R5" i="12"/>
  <c r="R7" i="12"/>
  <c r="R8" i="12"/>
  <c r="R9" i="12"/>
  <c r="R10" i="12"/>
  <c r="R11" i="12"/>
  <c r="R12" i="12"/>
  <c r="P13" i="12"/>
  <c r="N13" i="12"/>
  <c r="H13" i="12"/>
  <c r="K13" i="12"/>
  <c r="F14" i="12"/>
  <c r="R14" i="12" s="1"/>
  <c r="R13" i="12"/>
  <c r="F79" i="10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23" i="10"/>
  <c r="F24" i="10" s="1"/>
  <c r="F25" i="10" s="1"/>
  <c r="F26" i="10" s="1"/>
  <c r="F27" i="10" s="1"/>
  <c r="F28" i="10" s="1"/>
  <c r="AR5" i="10"/>
  <c r="F32" i="9"/>
  <c r="F33" i="9" s="1"/>
  <c r="F16" i="11"/>
  <c r="F34" i="1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5" i="11"/>
  <c r="H5" i="11" s="1"/>
  <c r="G4" i="11"/>
  <c r="H4" i="11"/>
  <c r="I3" i="11"/>
  <c r="I3" i="10"/>
  <c r="F5" i="10"/>
  <c r="I3" i="3"/>
  <c r="H3" i="9"/>
  <c r="F5" i="9"/>
  <c r="H3" i="8"/>
  <c r="F5" i="8"/>
  <c r="F5" i="3"/>
  <c r="E12" i="1"/>
  <c r="F11" i="2"/>
  <c r="E12" i="2" s="1"/>
  <c r="AZ97" i="3" l="1"/>
  <c r="AZ89" i="3"/>
  <c r="AZ81" i="3"/>
  <c r="AZ73" i="3"/>
  <c r="AZ65" i="3"/>
  <c r="AZ57" i="3"/>
  <c r="AZ100" i="3"/>
  <c r="AZ92" i="3"/>
  <c r="AZ84" i="3"/>
  <c r="AZ76" i="3"/>
  <c r="AZ68" i="3"/>
  <c r="AZ60" i="3"/>
  <c r="AZ52" i="3"/>
  <c r="AZ103" i="3"/>
  <c r="AZ95" i="3"/>
  <c r="AZ87" i="3"/>
  <c r="AZ79" i="3"/>
  <c r="AZ71" i="3"/>
  <c r="AZ63" i="3"/>
  <c r="AZ55" i="3"/>
  <c r="AZ98" i="3"/>
  <c r="AZ90" i="3"/>
  <c r="AZ82" i="3"/>
  <c r="AZ74" i="3"/>
  <c r="AZ66" i="3"/>
  <c r="AZ58" i="3"/>
  <c r="AZ101" i="3"/>
  <c r="AZ93" i="3"/>
  <c r="AZ85" i="3"/>
  <c r="AZ77" i="3"/>
  <c r="AZ69" i="3"/>
  <c r="AZ61" i="3"/>
  <c r="AZ53" i="3"/>
  <c r="AZ96" i="3"/>
  <c r="AZ88" i="3"/>
  <c r="AZ80" i="3"/>
  <c r="AZ72" i="3"/>
  <c r="AZ64" i="3"/>
  <c r="AZ56" i="3"/>
  <c r="AZ99" i="3"/>
  <c r="AZ91" i="3"/>
  <c r="AZ83" i="3"/>
  <c r="AZ75" i="3"/>
  <c r="AZ67" i="3"/>
  <c r="AZ59" i="3"/>
  <c r="AZ51" i="3"/>
  <c r="AZ102" i="3"/>
  <c r="AZ94" i="3"/>
  <c r="AZ86" i="3"/>
  <c r="AZ78" i="3"/>
  <c r="AZ70" i="3"/>
  <c r="AZ62" i="3"/>
  <c r="AZ54" i="3"/>
  <c r="AZ49" i="3"/>
  <c r="AZ41" i="3"/>
  <c r="AZ33" i="3"/>
  <c r="AZ25" i="3"/>
  <c r="AZ17" i="3"/>
  <c r="AZ9" i="3"/>
  <c r="AZ44" i="3"/>
  <c r="AZ36" i="3"/>
  <c r="AZ28" i="3"/>
  <c r="AZ20" i="3"/>
  <c r="AZ12" i="3"/>
  <c r="AZ4" i="3"/>
  <c r="AZ47" i="3"/>
  <c r="AZ39" i="3"/>
  <c r="AZ31" i="3"/>
  <c r="AZ23" i="3"/>
  <c r="AZ15" i="3"/>
  <c r="AZ7" i="3"/>
  <c r="AZ50" i="3"/>
  <c r="AZ42" i="3"/>
  <c r="AZ34" i="3"/>
  <c r="AZ26" i="3"/>
  <c r="AZ18" i="3"/>
  <c r="AZ10" i="3"/>
  <c r="AZ45" i="3"/>
  <c r="AZ37" i="3"/>
  <c r="AZ29" i="3"/>
  <c r="AZ21" i="3"/>
  <c r="AZ13" i="3"/>
  <c r="AZ5" i="3"/>
  <c r="AZ48" i="3"/>
  <c r="AZ40" i="3"/>
  <c r="AZ32" i="3"/>
  <c r="AZ24" i="3"/>
  <c r="AZ16" i="3"/>
  <c r="AZ8" i="3"/>
  <c r="BA3" i="3"/>
  <c r="AZ43" i="3"/>
  <c r="AZ35" i="3"/>
  <c r="AZ27" i="3"/>
  <c r="AZ19" i="3"/>
  <c r="AZ11" i="3"/>
  <c r="AZ46" i="3"/>
  <c r="AZ38" i="3"/>
  <c r="AZ30" i="3"/>
  <c r="AZ22" i="3"/>
  <c r="AZ14" i="3"/>
  <c r="AZ6" i="3"/>
  <c r="AA19" i="18"/>
  <c r="J19" i="18"/>
  <c r="M19" i="18"/>
  <c r="S19" i="18"/>
  <c r="K19" i="18"/>
  <c r="Q19" i="18"/>
  <c r="Y19" i="18"/>
  <c r="N19" i="18"/>
  <c r="U19" i="18"/>
  <c r="H19" i="18"/>
  <c r="L19" i="18"/>
  <c r="I19" i="18"/>
  <c r="X19" i="18"/>
  <c r="O19" i="18"/>
  <c r="P19" i="18"/>
  <c r="G19" i="18"/>
  <c r="T19" i="18"/>
  <c r="V19" i="18"/>
  <c r="W19" i="18"/>
  <c r="F20" i="18"/>
  <c r="Y20" i="18" s="1"/>
  <c r="Z19" i="18"/>
  <c r="V14" i="18"/>
  <c r="N14" i="18"/>
  <c r="Z14" i="18"/>
  <c r="U14" i="18"/>
  <c r="AB14" i="18"/>
  <c r="T14" i="18"/>
  <c r="L14" i="18"/>
  <c r="R14" i="18"/>
  <c r="Y14" i="18"/>
  <c r="Q14" i="18"/>
  <c r="I14" i="18"/>
  <c r="W14" i="18"/>
  <c r="S14" i="18"/>
  <c r="P14" i="18"/>
  <c r="K14" i="18"/>
  <c r="H14" i="18"/>
  <c r="AA14" i="18"/>
  <c r="R13" i="18"/>
  <c r="AC3" i="18"/>
  <c r="AC14" i="18" s="1"/>
  <c r="AB4" i="18"/>
  <c r="AB5" i="18"/>
  <c r="AB6" i="18"/>
  <c r="AB16" i="18"/>
  <c r="AB7" i="18"/>
  <c r="AB17" i="18"/>
  <c r="AB8" i="18"/>
  <c r="AB18" i="18"/>
  <c r="AB9" i="18"/>
  <c r="AB19" i="18"/>
  <c r="AB10" i="18"/>
  <c r="AB11" i="18"/>
  <c r="AB12" i="18"/>
  <c r="M13" i="18"/>
  <c r="N13" i="18"/>
  <c r="Z13" i="18"/>
  <c r="V79" i="17"/>
  <c r="W14" i="17"/>
  <c r="N14" i="17"/>
  <c r="L14" i="17"/>
  <c r="U14" i="17"/>
  <c r="S14" i="17"/>
  <c r="J61" i="17"/>
  <c r="L61" i="17"/>
  <c r="P79" i="17"/>
  <c r="J79" i="17"/>
  <c r="N42" i="17"/>
  <c r="T42" i="17"/>
  <c r="H42" i="17"/>
  <c r="T97" i="17"/>
  <c r="Q13" i="17"/>
  <c r="S13" i="17"/>
  <c r="P61" i="17"/>
  <c r="T61" i="17"/>
  <c r="G61" i="17"/>
  <c r="S79" i="17"/>
  <c r="M79" i="17"/>
  <c r="R79" i="17"/>
  <c r="P42" i="17"/>
  <c r="K42" i="17"/>
  <c r="N97" i="17"/>
  <c r="O97" i="17"/>
  <c r="K97" i="17"/>
  <c r="N13" i="17"/>
  <c r="H79" i="17"/>
  <c r="I13" i="17"/>
  <c r="T13" i="17"/>
  <c r="S61" i="17"/>
  <c r="O61" i="17"/>
  <c r="K79" i="17"/>
  <c r="U79" i="17"/>
  <c r="G79" i="17"/>
  <c r="O42" i="17"/>
  <c r="G42" i="17"/>
  <c r="P97" i="17"/>
  <c r="S97" i="17"/>
  <c r="G13" i="17"/>
  <c r="U43" i="17"/>
  <c r="K43" i="17"/>
  <c r="L43" i="17"/>
  <c r="T43" i="17"/>
  <c r="H43" i="17"/>
  <c r="J43" i="17"/>
  <c r="G43" i="17"/>
  <c r="Q25" i="17"/>
  <c r="G25" i="17"/>
  <c r="V25" i="17"/>
  <c r="S25" i="17"/>
  <c r="L25" i="17"/>
  <c r="P25" i="17"/>
  <c r="O79" i="17"/>
  <c r="W3" i="17"/>
  <c r="W25" i="17" s="1"/>
  <c r="V4" i="17"/>
  <c r="V5" i="17"/>
  <c r="V35" i="17"/>
  <c r="V72" i="17"/>
  <c r="V90" i="17"/>
  <c r="V17" i="17"/>
  <c r="V54" i="17"/>
  <c r="V6" i="17"/>
  <c r="V36" i="17"/>
  <c r="V7" i="17"/>
  <c r="V55" i="17"/>
  <c r="V18" i="17"/>
  <c r="V91" i="17"/>
  <c r="V73" i="17"/>
  <c r="V8" i="17"/>
  <c r="V56" i="17"/>
  <c r="V74" i="17"/>
  <c r="V19" i="17"/>
  <c r="V92" i="17"/>
  <c r="V37" i="17"/>
  <c r="V57" i="17"/>
  <c r="V75" i="17"/>
  <c r="V9" i="17"/>
  <c r="V20" i="17"/>
  <c r="V38" i="17"/>
  <c r="V93" i="17"/>
  <c r="V39" i="17"/>
  <c r="V10" i="17"/>
  <c r="V58" i="17"/>
  <c r="V94" i="17"/>
  <c r="V21" i="17"/>
  <c r="V76" i="17"/>
  <c r="V77" i="17"/>
  <c r="V40" i="17"/>
  <c r="V22" i="17"/>
  <c r="V11" i="17"/>
  <c r="V59" i="17"/>
  <c r="V95" i="17"/>
  <c r="V78" i="17"/>
  <c r="V41" i="17"/>
  <c r="V23" i="17"/>
  <c r="V60" i="17"/>
  <c r="V96" i="17"/>
  <c r="V12" i="17"/>
  <c r="Q42" i="17"/>
  <c r="U42" i="17"/>
  <c r="G97" i="17"/>
  <c r="J97" i="17"/>
  <c r="K13" i="17"/>
  <c r="H13" i="17"/>
  <c r="J13" i="17"/>
  <c r="O13" i="17"/>
  <c r="R62" i="17"/>
  <c r="J62" i="17"/>
  <c r="Q62" i="17"/>
  <c r="W62" i="17"/>
  <c r="T62" i="17"/>
  <c r="S62" i="17"/>
  <c r="N62" i="17"/>
  <c r="M62" i="17"/>
  <c r="V62" i="17"/>
  <c r="K62" i="17"/>
  <c r="H62" i="17"/>
  <c r="U62" i="17"/>
  <c r="I79" i="17"/>
  <c r="I42" i="17"/>
  <c r="V42" i="17"/>
  <c r="R97" i="17"/>
  <c r="U97" i="17"/>
  <c r="V13" i="17"/>
  <c r="P13" i="17"/>
  <c r="R13" i="17"/>
  <c r="U13" i="17"/>
  <c r="Q97" i="17"/>
  <c r="T80" i="17"/>
  <c r="R80" i="17"/>
  <c r="J80" i="17"/>
  <c r="P80" i="17"/>
  <c r="O80" i="17"/>
  <c r="N80" i="17"/>
  <c r="W80" i="17"/>
  <c r="M80" i="17"/>
  <c r="V80" i="17"/>
  <c r="K80" i="17"/>
  <c r="U80" i="17"/>
  <c r="I80" i="17"/>
  <c r="S80" i="17"/>
  <c r="H80" i="17"/>
  <c r="Q80" i="17"/>
  <c r="G80" i="17"/>
  <c r="Q79" i="17"/>
  <c r="L42" i="17"/>
  <c r="J42" i="17"/>
  <c r="U61" i="17"/>
  <c r="M61" i="17"/>
  <c r="R61" i="17"/>
  <c r="V61" i="17"/>
  <c r="T79" i="17"/>
  <c r="N79" i="17"/>
  <c r="M42" i="17"/>
  <c r="R42" i="17"/>
  <c r="L97" i="17"/>
  <c r="M13" i="17"/>
  <c r="L13" i="17"/>
  <c r="H42" i="15"/>
  <c r="AK42" i="15"/>
  <c r="U42" i="15"/>
  <c r="X42" i="15"/>
  <c r="Y42" i="15"/>
  <c r="P42" i="15"/>
  <c r="AD42" i="15"/>
  <c r="R42" i="15"/>
  <c r="F43" i="15"/>
  <c r="AG42" i="15"/>
  <c r="AA42" i="15"/>
  <c r="AJ42" i="15"/>
  <c r="N42" i="15"/>
  <c r="AC42" i="15"/>
  <c r="V42" i="15"/>
  <c r="M42" i="15"/>
  <c r="AF42" i="15"/>
  <c r="AN42" i="15"/>
  <c r="AE42" i="15"/>
  <c r="AM42" i="15"/>
  <c r="Z42" i="15"/>
  <c r="AJ42" i="14"/>
  <c r="T42" i="14"/>
  <c r="I42" i="14"/>
  <c r="AA42" i="14"/>
  <c r="AC42" i="14"/>
  <c r="F43" i="14"/>
  <c r="AJ43" i="14" s="1"/>
  <c r="AN42" i="14"/>
  <c r="AI42" i="14"/>
  <c r="X42" i="14"/>
  <c r="S42" i="14"/>
  <c r="H42" i="14"/>
  <c r="AH42" i="14"/>
  <c r="Z42" i="14"/>
  <c r="R42" i="14"/>
  <c r="AM42" i="14"/>
  <c r="P42" i="14"/>
  <c r="W42" i="14"/>
  <c r="AG42" i="14"/>
  <c r="G42" i="14"/>
  <c r="Q42" i="14"/>
  <c r="AB42" i="14"/>
  <c r="AE42" i="14"/>
  <c r="N42" i="14"/>
  <c r="K42" i="14"/>
  <c r="M42" i="14"/>
  <c r="O42" i="14"/>
  <c r="J42" i="14"/>
  <c r="AK42" i="14"/>
  <c r="AD42" i="14"/>
  <c r="AL42" i="14"/>
  <c r="U42" i="14"/>
  <c r="L42" i="14"/>
  <c r="V42" i="14"/>
  <c r="AF42" i="14"/>
  <c r="AO42" i="14"/>
  <c r="H13" i="14"/>
  <c r="H13" i="13"/>
  <c r="H69" i="10"/>
  <c r="H5" i="10"/>
  <c r="H4" i="10"/>
  <c r="I4" i="3"/>
  <c r="G4" i="3"/>
  <c r="P13" i="14"/>
  <c r="L13" i="14"/>
  <c r="N13" i="14"/>
  <c r="G13" i="14"/>
  <c r="N14" i="12"/>
  <c r="H4" i="9"/>
  <c r="H4" i="8"/>
  <c r="K22" i="15"/>
  <c r="O22" i="15"/>
  <c r="P4" i="15"/>
  <c r="Q3" i="15"/>
  <c r="P5" i="15"/>
  <c r="P15" i="15"/>
  <c r="P6" i="15"/>
  <c r="P27" i="15"/>
  <c r="P16" i="15"/>
  <c r="P28" i="15"/>
  <c r="P7" i="15"/>
  <c r="P17" i="15"/>
  <c r="P29" i="15"/>
  <c r="P8" i="15"/>
  <c r="P30" i="15"/>
  <c r="P18" i="15"/>
  <c r="P9" i="15"/>
  <c r="P31" i="15"/>
  <c r="P19" i="15"/>
  <c r="P10" i="15"/>
  <c r="P20" i="15"/>
  <c r="P11" i="15"/>
  <c r="P32" i="15"/>
  <c r="P12" i="15"/>
  <c r="P21" i="15"/>
  <c r="M13" i="15"/>
  <c r="I13" i="15"/>
  <c r="L23" i="15"/>
  <c r="I23" i="15"/>
  <c r="P23" i="15"/>
  <c r="M23" i="15"/>
  <c r="G23" i="15"/>
  <c r="O13" i="15"/>
  <c r="N13" i="15"/>
  <c r="L22" i="15"/>
  <c r="N22" i="15"/>
  <c r="O14" i="15"/>
  <c r="G14" i="15"/>
  <c r="N14" i="15"/>
  <c r="P14" i="15"/>
  <c r="M14" i="15"/>
  <c r="K14" i="15"/>
  <c r="I14" i="15"/>
  <c r="H14" i="15"/>
  <c r="J14" i="15"/>
  <c r="Q14" i="15"/>
  <c r="L14" i="15"/>
  <c r="O29" i="14"/>
  <c r="G29" i="14"/>
  <c r="N29" i="14"/>
  <c r="L29" i="14"/>
  <c r="Q29" i="14"/>
  <c r="K29" i="14"/>
  <c r="K13" i="14"/>
  <c r="M13" i="14"/>
  <c r="P28" i="14"/>
  <c r="H28" i="14"/>
  <c r="Q28" i="14"/>
  <c r="K28" i="14"/>
  <c r="M28" i="14"/>
  <c r="O13" i="14"/>
  <c r="O14" i="14"/>
  <c r="L14" i="14"/>
  <c r="K14" i="14"/>
  <c r="H14" i="14"/>
  <c r="J14" i="14"/>
  <c r="N14" i="14"/>
  <c r="Q13" i="14"/>
  <c r="Q4" i="14"/>
  <c r="R3" i="14"/>
  <c r="R29" i="14" s="1"/>
  <c r="Q5" i="14"/>
  <c r="Q21" i="14"/>
  <c r="Q6" i="14"/>
  <c r="Q7" i="14"/>
  <c r="Q22" i="14"/>
  <c r="Q23" i="14"/>
  <c r="Q8" i="14"/>
  <c r="Q24" i="14"/>
  <c r="Q9" i="14"/>
  <c r="Q25" i="14"/>
  <c r="Q10" i="14"/>
  <c r="Q26" i="14"/>
  <c r="Q11" i="14"/>
  <c r="Q27" i="14"/>
  <c r="Q12" i="14"/>
  <c r="P13" i="13"/>
  <c r="I13" i="13"/>
  <c r="K13" i="13"/>
  <c r="M13" i="13"/>
  <c r="O13" i="13"/>
  <c r="P4" i="13"/>
  <c r="Q3" i="13"/>
  <c r="P5" i="13"/>
  <c r="P6" i="13"/>
  <c r="P7" i="13"/>
  <c r="P8" i="13"/>
  <c r="P9" i="13"/>
  <c r="P10" i="13"/>
  <c r="P11" i="13"/>
  <c r="P12" i="13"/>
  <c r="G13" i="13"/>
  <c r="J13" i="13"/>
  <c r="I14" i="13"/>
  <c r="N13" i="13"/>
  <c r="J14" i="12"/>
  <c r="O14" i="12"/>
  <c r="G14" i="12"/>
  <c r="P14" i="12"/>
  <c r="L14" i="12"/>
  <c r="F15" i="12"/>
  <c r="L15" i="12" s="1"/>
  <c r="I14" i="12"/>
  <c r="K14" i="12"/>
  <c r="Q14" i="12"/>
  <c r="M14" i="12"/>
  <c r="S5" i="12"/>
  <c r="S4" i="12"/>
  <c r="T3" i="12"/>
  <c r="S6" i="12"/>
  <c r="S7" i="12"/>
  <c r="S8" i="12"/>
  <c r="S9" i="12"/>
  <c r="S10" i="12"/>
  <c r="S11" i="12"/>
  <c r="S12" i="12"/>
  <c r="S13" i="12"/>
  <c r="S14" i="12"/>
  <c r="H14" i="12"/>
  <c r="G33" i="9"/>
  <c r="G5" i="10"/>
  <c r="I5" i="3"/>
  <c r="I5" i="11"/>
  <c r="F29" i="10"/>
  <c r="I4" i="11"/>
  <c r="J3" i="11"/>
  <c r="J84" i="11" s="1"/>
  <c r="G5" i="11"/>
  <c r="H84" i="11"/>
  <c r="I84" i="11"/>
  <c r="I58" i="11"/>
  <c r="G84" i="11"/>
  <c r="F6" i="11"/>
  <c r="G6" i="11" s="1"/>
  <c r="J3" i="10"/>
  <c r="I5" i="10"/>
  <c r="I4" i="10"/>
  <c r="F6" i="10"/>
  <c r="H6" i="10" s="1"/>
  <c r="I70" i="10"/>
  <c r="G69" i="10"/>
  <c r="I69" i="10"/>
  <c r="H33" i="9"/>
  <c r="G5" i="9"/>
  <c r="F34" i="9"/>
  <c r="H34" i="9" s="1"/>
  <c r="H5" i="9"/>
  <c r="G5" i="8"/>
  <c r="H5" i="8"/>
  <c r="G5" i="3"/>
  <c r="J3" i="3"/>
  <c r="H5" i="3"/>
  <c r="I3" i="9"/>
  <c r="F6" i="9"/>
  <c r="H6" i="9" s="1"/>
  <c r="F6" i="8"/>
  <c r="I3" i="8"/>
  <c r="F6" i="3"/>
  <c r="H6" i="3" s="1"/>
  <c r="E13" i="2"/>
  <c r="F12" i="2"/>
  <c r="G12" i="2" s="1"/>
  <c r="F12" i="1"/>
  <c r="G12" i="1" s="1"/>
  <c r="E13" i="1"/>
  <c r="G11" i="2"/>
  <c r="BA100" i="3" l="1"/>
  <c r="BA92" i="3"/>
  <c r="BA84" i="3"/>
  <c r="BA76" i="3"/>
  <c r="BA68" i="3"/>
  <c r="BA60" i="3"/>
  <c r="BA52" i="3"/>
  <c r="BA103" i="3"/>
  <c r="BA95" i="3"/>
  <c r="BA87" i="3"/>
  <c r="BA79" i="3"/>
  <c r="BA71" i="3"/>
  <c r="BA63" i="3"/>
  <c r="BA55" i="3"/>
  <c r="BA98" i="3"/>
  <c r="BA90" i="3"/>
  <c r="BA82" i="3"/>
  <c r="BA74" i="3"/>
  <c r="BA66" i="3"/>
  <c r="BA58" i="3"/>
  <c r="BA101" i="3"/>
  <c r="BA93" i="3"/>
  <c r="BA85" i="3"/>
  <c r="BA77" i="3"/>
  <c r="BA69" i="3"/>
  <c r="BA61" i="3"/>
  <c r="BA53" i="3"/>
  <c r="BA96" i="3"/>
  <c r="BA88" i="3"/>
  <c r="BA80" i="3"/>
  <c r="BA72" i="3"/>
  <c r="BA64" i="3"/>
  <c r="BA56" i="3"/>
  <c r="BA99" i="3"/>
  <c r="BA91" i="3"/>
  <c r="BA83" i="3"/>
  <c r="BA75" i="3"/>
  <c r="BA67" i="3"/>
  <c r="BA59" i="3"/>
  <c r="BA51" i="3"/>
  <c r="BA102" i="3"/>
  <c r="BA94" i="3"/>
  <c r="BA86" i="3"/>
  <c r="BA78" i="3"/>
  <c r="BA70" i="3"/>
  <c r="BA62" i="3"/>
  <c r="BA54" i="3"/>
  <c r="BA97" i="3"/>
  <c r="BA89" i="3"/>
  <c r="BA81" i="3"/>
  <c r="BA73" i="3"/>
  <c r="BA65" i="3"/>
  <c r="BA57" i="3"/>
  <c r="BA44" i="3"/>
  <c r="BA36" i="3"/>
  <c r="BA28" i="3"/>
  <c r="BA20" i="3"/>
  <c r="BA12" i="3"/>
  <c r="BA4" i="3"/>
  <c r="BA47" i="3"/>
  <c r="BA39" i="3"/>
  <c r="BA31" i="3"/>
  <c r="BA23" i="3"/>
  <c r="BA15" i="3"/>
  <c r="BA7" i="3"/>
  <c r="BA50" i="3"/>
  <c r="BA42" i="3"/>
  <c r="BA34" i="3"/>
  <c r="BA26" i="3"/>
  <c r="BA18" i="3"/>
  <c r="BA10" i="3"/>
  <c r="BA45" i="3"/>
  <c r="BA37" i="3"/>
  <c r="BA29" i="3"/>
  <c r="BA21" i="3"/>
  <c r="BA13" i="3"/>
  <c r="BA5" i="3"/>
  <c r="BA48" i="3"/>
  <c r="BA40" i="3"/>
  <c r="BA32" i="3"/>
  <c r="BA24" i="3"/>
  <c r="BA16" i="3"/>
  <c r="BA8" i="3"/>
  <c r="BB3" i="3"/>
  <c r="BA43" i="3"/>
  <c r="BA35" i="3"/>
  <c r="BA27" i="3"/>
  <c r="BA19" i="3"/>
  <c r="BA11" i="3"/>
  <c r="BA46" i="3"/>
  <c r="BA38" i="3"/>
  <c r="BA30" i="3"/>
  <c r="BA22" i="3"/>
  <c r="BA14" i="3"/>
  <c r="BA6" i="3"/>
  <c r="BA49" i="3"/>
  <c r="BA41" i="3"/>
  <c r="BA33" i="3"/>
  <c r="BA25" i="3"/>
  <c r="BA17" i="3"/>
  <c r="BA9" i="3"/>
  <c r="H20" i="18"/>
  <c r="X20" i="18"/>
  <c r="AB20" i="18"/>
  <c r="N20" i="18"/>
  <c r="S20" i="18"/>
  <c r="Z20" i="18"/>
  <c r="O20" i="18"/>
  <c r="V20" i="18"/>
  <c r="Q20" i="18"/>
  <c r="I20" i="18"/>
  <c r="F21" i="18"/>
  <c r="V21" i="18" s="1"/>
  <c r="W21" i="18"/>
  <c r="U21" i="18"/>
  <c r="P21" i="18"/>
  <c r="K21" i="18"/>
  <c r="AA21" i="18"/>
  <c r="AA20" i="18"/>
  <c r="U20" i="18"/>
  <c r="P20" i="18"/>
  <c r="W20" i="18"/>
  <c r="K20" i="18"/>
  <c r="T20" i="18"/>
  <c r="L20" i="18"/>
  <c r="M20" i="18"/>
  <c r="AB21" i="18"/>
  <c r="R20" i="18"/>
  <c r="J20" i="18"/>
  <c r="G20" i="18"/>
  <c r="G14" i="18"/>
  <c r="O14" i="18"/>
  <c r="J14" i="18"/>
  <c r="M14" i="18"/>
  <c r="X14" i="18"/>
  <c r="AD3" i="18"/>
  <c r="AC4" i="18"/>
  <c r="AC5" i="18"/>
  <c r="AC16" i="18"/>
  <c r="AC6" i="18"/>
  <c r="AC17" i="18"/>
  <c r="AC7" i="18"/>
  <c r="AC18" i="18"/>
  <c r="AC8" i="18"/>
  <c r="AC9" i="18"/>
  <c r="AC19" i="18"/>
  <c r="AC20" i="18"/>
  <c r="AC10" i="18"/>
  <c r="AC21" i="18"/>
  <c r="AC11" i="18"/>
  <c r="AC12" i="18"/>
  <c r="AC13" i="18"/>
  <c r="Y15" i="18"/>
  <c r="Q15" i="18"/>
  <c r="I15" i="18"/>
  <c r="X15" i="18"/>
  <c r="P15" i="18"/>
  <c r="H15" i="18"/>
  <c r="W15" i="18"/>
  <c r="O15" i="18"/>
  <c r="G15" i="18"/>
  <c r="AC15" i="18"/>
  <c r="U15" i="18"/>
  <c r="M15" i="18"/>
  <c r="AB15" i="18"/>
  <c r="T15" i="18"/>
  <c r="L15" i="18"/>
  <c r="AD15" i="18"/>
  <c r="J15" i="18"/>
  <c r="AA15" i="18"/>
  <c r="Z15" i="18"/>
  <c r="V15" i="18"/>
  <c r="S15" i="18"/>
  <c r="R15" i="18"/>
  <c r="K15" i="18"/>
  <c r="N15" i="18"/>
  <c r="I99" i="17"/>
  <c r="W99" i="17"/>
  <c r="O99" i="17"/>
  <c r="G99" i="17"/>
  <c r="V99" i="17"/>
  <c r="N99" i="17"/>
  <c r="S99" i="17"/>
  <c r="L99" i="17"/>
  <c r="K99" i="17"/>
  <c r="J99" i="17"/>
  <c r="T99" i="17"/>
  <c r="R99" i="17"/>
  <c r="P99" i="17"/>
  <c r="K98" i="17"/>
  <c r="J98" i="17"/>
  <c r="N98" i="17"/>
  <c r="U63" i="17"/>
  <c r="M63" i="17"/>
  <c r="T63" i="17"/>
  <c r="L63" i="17"/>
  <c r="R63" i="17"/>
  <c r="J63" i="17"/>
  <c r="V63" i="17"/>
  <c r="H63" i="17"/>
  <c r="S63" i="17"/>
  <c r="G63" i="17"/>
  <c r="Q63" i="17"/>
  <c r="P63" i="17"/>
  <c r="O63" i="17"/>
  <c r="N63" i="17"/>
  <c r="K63" i="17"/>
  <c r="I63" i="17"/>
  <c r="W63" i="17"/>
  <c r="I62" i="17"/>
  <c r="I98" i="17"/>
  <c r="P98" i="17"/>
  <c r="V98" i="17"/>
  <c r="N44" i="17"/>
  <c r="J44" i="17"/>
  <c r="U44" i="17"/>
  <c r="T44" i="17"/>
  <c r="U15" i="17"/>
  <c r="R15" i="17"/>
  <c r="J15" i="17"/>
  <c r="K15" i="17"/>
  <c r="V15" i="17"/>
  <c r="H15" i="17"/>
  <c r="T15" i="17"/>
  <c r="G15" i="17"/>
  <c r="M15" i="17"/>
  <c r="O15" i="17"/>
  <c r="N15" i="17"/>
  <c r="I14" i="17"/>
  <c r="V14" i="17"/>
  <c r="P14" i="17"/>
  <c r="J14" i="17"/>
  <c r="H98" i="17"/>
  <c r="R98" i="17"/>
  <c r="M26" i="17"/>
  <c r="W26" i="17"/>
  <c r="J25" i="17"/>
  <c r="O25" i="17"/>
  <c r="U81" i="17"/>
  <c r="J81" i="17"/>
  <c r="S81" i="17"/>
  <c r="H81" i="17"/>
  <c r="Q81" i="17"/>
  <c r="O81" i="17"/>
  <c r="L81" i="17"/>
  <c r="L80" i="17"/>
  <c r="S98" i="17"/>
  <c r="M98" i="17"/>
  <c r="L98" i="17"/>
  <c r="L62" i="17"/>
  <c r="G62" i="17"/>
  <c r="R25" i="17"/>
  <c r="T25" i="17"/>
  <c r="M25" i="17"/>
  <c r="P43" i="17"/>
  <c r="S43" i="17"/>
  <c r="N43" i="17"/>
  <c r="Q14" i="17"/>
  <c r="T14" i="17"/>
  <c r="R14" i="17"/>
  <c r="P62" i="17"/>
  <c r="O62" i="17"/>
  <c r="O43" i="17"/>
  <c r="I43" i="17"/>
  <c r="V43" i="17"/>
  <c r="M14" i="17"/>
  <c r="U98" i="17"/>
  <c r="W98" i="17"/>
  <c r="G98" i="17"/>
  <c r="T98" i="17"/>
  <c r="Q98" i="17"/>
  <c r="X3" i="17"/>
  <c r="X15" i="17" s="1"/>
  <c r="W4" i="17"/>
  <c r="W5" i="17"/>
  <c r="W90" i="17"/>
  <c r="W72" i="17"/>
  <c r="W54" i="17"/>
  <c r="W6" i="17"/>
  <c r="W35" i="17"/>
  <c r="W17" i="17"/>
  <c r="W18" i="17"/>
  <c r="W55" i="17"/>
  <c r="W73" i="17"/>
  <c r="W36" i="17"/>
  <c r="W91" i="17"/>
  <c r="W7" i="17"/>
  <c r="W92" i="17"/>
  <c r="W37" i="17"/>
  <c r="W8" i="17"/>
  <c r="W19" i="17"/>
  <c r="W56" i="17"/>
  <c r="W74" i="17"/>
  <c r="W75" i="17"/>
  <c r="W9" i="17"/>
  <c r="W38" i="17"/>
  <c r="W57" i="17"/>
  <c r="W93" i="17"/>
  <c r="W20" i="17"/>
  <c r="W21" i="17"/>
  <c r="W58" i="17"/>
  <c r="W94" i="17"/>
  <c r="W76" i="17"/>
  <c r="W10" i="17"/>
  <c r="W39" i="17"/>
  <c r="W59" i="17"/>
  <c r="W40" i="17"/>
  <c r="W77" i="17"/>
  <c r="W11" i="17"/>
  <c r="W95" i="17"/>
  <c r="W22" i="17"/>
  <c r="W41" i="17"/>
  <c r="W60" i="17"/>
  <c r="W23" i="17"/>
  <c r="W78" i="17"/>
  <c r="W12" i="17"/>
  <c r="W96" i="17"/>
  <c r="W42" i="17"/>
  <c r="W13" i="17"/>
  <c r="W79" i="17"/>
  <c r="W61" i="17"/>
  <c r="W97" i="17"/>
  <c r="W24" i="17"/>
  <c r="K25" i="17"/>
  <c r="Q43" i="17"/>
  <c r="W43" i="17"/>
  <c r="G14" i="17"/>
  <c r="O98" i="17"/>
  <c r="H25" i="17"/>
  <c r="U25" i="17"/>
  <c r="N25" i="17"/>
  <c r="I25" i="17"/>
  <c r="R43" i="17"/>
  <c r="M43" i="17"/>
  <c r="H14" i="17"/>
  <c r="K14" i="17"/>
  <c r="O14" i="17"/>
  <c r="K43" i="15"/>
  <c r="O43" i="15"/>
  <c r="AH43" i="15"/>
  <c r="AA43" i="15"/>
  <c r="AM43" i="15"/>
  <c r="P43" i="15"/>
  <c r="V43" i="15"/>
  <c r="Z43" i="15"/>
  <c r="R43" i="15"/>
  <c r="I43" i="15"/>
  <c r="H43" i="15"/>
  <c r="N43" i="15"/>
  <c r="S43" i="15"/>
  <c r="AC43" i="15"/>
  <c r="G43" i="15"/>
  <c r="L43" i="15"/>
  <c r="AN43" i="15"/>
  <c r="Q43" i="15"/>
  <c r="AL43" i="15"/>
  <c r="T43" i="15"/>
  <c r="AD43" i="15"/>
  <c r="F44" i="15"/>
  <c r="AB43" i="15"/>
  <c r="M43" i="15"/>
  <c r="AF43" i="15"/>
  <c r="AO43" i="15"/>
  <c r="Y43" i="15"/>
  <c r="W43" i="15"/>
  <c r="J43" i="15"/>
  <c r="AK43" i="15"/>
  <c r="AI43" i="15"/>
  <c r="X43" i="15"/>
  <c r="AE43" i="15"/>
  <c r="AG43" i="15"/>
  <c r="U43" i="15"/>
  <c r="AJ43" i="15"/>
  <c r="AE43" i="14"/>
  <c r="O43" i="14"/>
  <c r="AD43" i="14"/>
  <c r="Z43" i="14"/>
  <c r="AO43" i="14"/>
  <c r="G43" i="14"/>
  <c r="AK43" i="14"/>
  <c r="Y43" i="14"/>
  <c r="H43" i="14"/>
  <c r="U43" i="14"/>
  <c r="AG43" i="14"/>
  <c r="Q43" i="14"/>
  <c r="AF43" i="14"/>
  <c r="P43" i="14"/>
  <c r="N43" i="14"/>
  <c r="U44" i="14"/>
  <c r="F44" i="14"/>
  <c r="G44" i="14" s="1"/>
  <c r="T43" i="14"/>
  <c r="L43" i="14"/>
  <c r="AA43" i="14"/>
  <c r="M43" i="14"/>
  <c r="J43" i="14"/>
  <c r="AC43" i="14"/>
  <c r="AB43" i="14"/>
  <c r="AN43" i="14"/>
  <c r="K43" i="14"/>
  <c r="X43" i="14"/>
  <c r="AM43" i="14"/>
  <c r="I43" i="14"/>
  <c r="W43" i="14"/>
  <c r="AI43" i="14"/>
  <c r="AH43" i="14"/>
  <c r="AL43" i="14"/>
  <c r="S43" i="14"/>
  <c r="R43" i="14"/>
  <c r="V43" i="14"/>
  <c r="R14" i="14"/>
  <c r="T15" i="12"/>
  <c r="Q14" i="13"/>
  <c r="O23" i="15"/>
  <c r="K23" i="15"/>
  <c r="J23" i="15"/>
  <c r="N23" i="15"/>
  <c r="R3" i="15"/>
  <c r="Q4" i="15"/>
  <c r="Q5" i="15"/>
  <c r="Q6" i="15"/>
  <c r="Q15" i="15"/>
  <c r="Q27" i="15"/>
  <c r="Q16" i="15"/>
  <c r="Q28" i="15"/>
  <c r="Q7" i="15"/>
  <c r="Q17" i="15"/>
  <c r="Q29" i="15"/>
  <c r="Q8" i="15"/>
  <c r="Q18" i="15"/>
  <c r="Q30" i="15"/>
  <c r="Q9" i="15"/>
  <c r="Q10" i="15"/>
  <c r="Q19" i="15"/>
  <c r="Q31" i="15"/>
  <c r="Q32" i="15"/>
  <c r="Q20" i="15"/>
  <c r="Q11" i="15"/>
  <c r="Q21" i="15"/>
  <c r="Q12" i="15"/>
  <c r="Q22" i="15"/>
  <c r="Q13" i="15"/>
  <c r="H24" i="15"/>
  <c r="H23" i="15"/>
  <c r="Q23" i="15"/>
  <c r="J30" i="14"/>
  <c r="H30" i="14"/>
  <c r="Q14" i="14"/>
  <c r="H29" i="14"/>
  <c r="P29" i="14"/>
  <c r="M15" i="14"/>
  <c r="K15" i="14"/>
  <c r="R15" i="14"/>
  <c r="J15" i="14"/>
  <c r="P15" i="14"/>
  <c r="H15" i="14"/>
  <c r="O15" i="14"/>
  <c r="L15" i="14"/>
  <c r="G15" i="14"/>
  <c r="I14" i="14"/>
  <c r="M14" i="14"/>
  <c r="P14" i="14"/>
  <c r="R4" i="14"/>
  <c r="S3" i="14"/>
  <c r="R5" i="14"/>
  <c r="R21" i="14"/>
  <c r="R6" i="14"/>
  <c r="R22" i="14"/>
  <c r="R7" i="14"/>
  <c r="R23" i="14"/>
  <c r="R8" i="14"/>
  <c r="R9" i="14"/>
  <c r="R24" i="14"/>
  <c r="R25" i="14"/>
  <c r="R10" i="14"/>
  <c r="R11" i="14"/>
  <c r="R26" i="14"/>
  <c r="R12" i="14"/>
  <c r="R27" i="14"/>
  <c r="R13" i="14"/>
  <c r="R28" i="14"/>
  <c r="G14" i="14"/>
  <c r="I29" i="14"/>
  <c r="J29" i="14"/>
  <c r="M29" i="14"/>
  <c r="L14" i="13"/>
  <c r="Q4" i="13"/>
  <c r="Q5" i="13"/>
  <c r="R3" i="13"/>
  <c r="Q6" i="13"/>
  <c r="Q7" i="13"/>
  <c r="Q8" i="13"/>
  <c r="Q9" i="13"/>
  <c r="Q10" i="13"/>
  <c r="Q11" i="13"/>
  <c r="Q12" i="13"/>
  <c r="Q13" i="13"/>
  <c r="K15" i="13"/>
  <c r="P14" i="13"/>
  <c r="O14" i="13"/>
  <c r="M14" i="13"/>
  <c r="N14" i="13"/>
  <c r="J14" i="13"/>
  <c r="G14" i="13"/>
  <c r="H14" i="13"/>
  <c r="K14" i="13"/>
  <c r="M15" i="12"/>
  <c r="J15" i="12"/>
  <c r="R15" i="12"/>
  <c r="F16" i="12"/>
  <c r="S16" i="12" s="1"/>
  <c r="H15" i="12"/>
  <c r="N15" i="12"/>
  <c r="P15" i="12"/>
  <c r="T5" i="12"/>
  <c r="T4" i="12"/>
  <c r="U3" i="12"/>
  <c r="T6" i="12"/>
  <c r="T7" i="12"/>
  <c r="T8" i="12"/>
  <c r="T9" i="12"/>
  <c r="T10" i="12"/>
  <c r="T11" i="12"/>
  <c r="T12" i="12"/>
  <c r="T13" i="12"/>
  <c r="T14" i="12"/>
  <c r="I15" i="12"/>
  <c r="Q15" i="12"/>
  <c r="K15" i="12"/>
  <c r="G15" i="12"/>
  <c r="S15" i="12"/>
  <c r="O15" i="12"/>
  <c r="I6" i="8"/>
  <c r="I6" i="9"/>
  <c r="G6" i="10"/>
  <c r="G6" i="9"/>
  <c r="I34" i="9"/>
  <c r="H6" i="11"/>
  <c r="J58" i="11"/>
  <c r="F30" i="10"/>
  <c r="H85" i="11"/>
  <c r="F7" i="11"/>
  <c r="J7" i="11" s="1"/>
  <c r="I6" i="11"/>
  <c r="J6" i="11"/>
  <c r="J59" i="11"/>
  <c r="H59" i="11"/>
  <c r="G59" i="11"/>
  <c r="G58" i="11"/>
  <c r="H58" i="11"/>
  <c r="J85" i="11"/>
  <c r="G85" i="11"/>
  <c r="J4" i="11"/>
  <c r="K3" i="11"/>
  <c r="J5" i="11"/>
  <c r="G70" i="10"/>
  <c r="H70" i="10"/>
  <c r="K3" i="10"/>
  <c r="J4" i="10"/>
  <c r="J69" i="10"/>
  <c r="J5" i="10"/>
  <c r="F7" i="10"/>
  <c r="J7" i="10" s="1"/>
  <c r="I6" i="10"/>
  <c r="J6" i="10"/>
  <c r="J70" i="10"/>
  <c r="H71" i="10"/>
  <c r="F35" i="9"/>
  <c r="I35" i="9" s="1"/>
  <c r="G34" i="9"/>
  <c r="I4" i="9"/>
  <c r="I33" i="9"/>
  <c r="I5" i="9"/>
  <c r="H6" i="8"/>
  <c r="G6" i="8"/>
  <c r="I4" i="8"/>
  <c r="I5" i="8"/>
  <c r="K3" i="3"/>
  <c r="J4" i="3"/>
  <c r="J5" i="3"/>
  <c r="J6" i="3"/>
  <c r="I6" i="3"/>
  <c r="G6" i="3"/>
  <c r="F7" i="9"/>
  <c r="G7" i="9" s="1"/>
  <c r="J3" i="9"/>
  <c r="J35" i="9" s="1"/>
  <c r="J3" i="8"/>
  <c r="F7" i="8"/>
  <c r="H7" i="8" s="1"/>
  <c r="F7" i="3"/>
  <c r="E14" i="1"/>
  <c r="F13" i="1"/>
  <c r="G13" i="1" s="1"/>
  <c r="F13" i="2"/>
  <c r="G13" i="2" s="1"/>
  <c r="E14" i="2"/>
  <c r="BB103" i="3" l="1"/>
  <c r="BB95" i="3"/>
  <c r="BB87" i="3"/>
  <c r="BB79" i="3"/>
  <c r="BB71" i="3"/>
  <c r="BB63" i="3"/>
  <c r="BB55" i="3"/>
  <c r="BB98" i="3"/>
  <c r="BB90" i="3"/>
  <c r="BB82" i="3"/>
  <c r="BB74" i="3"/>
  <c r="BB66" i="3"/>
  <c r="BB58" i="3"/>
  <c r="BB101" i="3"/>
  <c r="BB93" i="3"/>
  <c r="BB85" i="3"/>
  <c r="BB77" i="3"/>
  <c r="BB69" i="3"/>
  <c r="BB61" i="3"/>
  <c r="BB53" i="3"/>
  <c r="BB96" i="3"/>
  <c r="BB88" i="3"/>
  <c r="BB80" i="3"/>
  <c r="BB72" i="3"/>
  <c r="BB64" i="3"/>
  <c r="BB56" i="3"/>
  <c r="BB99" i="3"/>
  <c r="BB91" i="3"/>
  <c r="BB83" i="3"/>
  <c r="BB75" i="3"/>
  <c r="BB67" i="3"/>
  <c r="BB59" i="3"/>
  <c r="BB51" i="3"/>
  <c r="BB102" i="3"/>
  <c r="BB94" i="3"/>
  <c r="BB86" i="3"/>
  <c r="BB78" i="3"/>
  <c r="BB70" i="3"/>
  <c r="BB62" i="3"/>
  <c r="BB54" i="3"/>
  <c r="BB97" i="3"/>
  <c r="BB89" i="3"/>
  <c r="BB81" i="3"/>
  <c r="BB73" i="3"/>
  <c r="BB65" i="3"/>
  <c r="BB57" i="3"/>
  <c r="BB100" i="3"/>
  <c r="BB92" i="3"/>
  <c r="BB84" i="3"/>
  <c r="BB76" i="3"/>
  <c r="BB68" i="3"/>
  <c r="BB60" i="3"/>
  <c r="BB52" i="3"/>
  <c r="BB47" i="3"/>
  <c r="BB39" i="3"/>
  <c r="BB31" i="3"/>
  <c r="BB23" i="3"/>
  <c r="BB15" i="3"/>
  <c r="BB7" i="3"/>
  <c r="BB50" i="3"/>
  <c r="BB42" i="3"/>
  <c r="BB34" i="3"/>
  <c r="BB26" i="3"/>
  <c r="BB18" i="3"/>
  <c r="BB10" i="3"/>
  <c r="BB45" i="3"/>
  <c r="BB37" i="3"/>
  <c r="BB29" i="3"/>
  <c r="BB21" i="3"/>
  <c r="BB13" i="3"/>
  <c r="BB5" i="3"/>
  <c r="BB48" i="3"/>
  <c r="BB40" i="3"/>
  <c r="BB32" i="3"/>
  <c r="BB24" i="3"/>
  <c r="BB16" i="3"/>
  <c r="BB8" i="3"/>
  <c r="BB43" i="3"/>
  <c r="BB35" i="3"/>
  <c r="BB27" i="3"/>
  <c r="BB19" i="3"/>
  <c r="BB11" i="3"/>
  <c r="BB46" i="3"/>
  <c r="BB38" i="3"/>
  <c r="BB30" i="3"/>
  <c r="BB22" i="3"/>
  <c r="BB14" i="3"/>
  <c r="BB6" i="3"/>
  <c r="BB49" i="3"/>
  <c r="BB41" i="3"/>
  <c r="BB33" i="3"/>
  <c r="BB25" i="3"/>
  <c r="BB17" i="3"/>
  <c r="BB9" i="3"/>
  <c r="BB44" i="3"/>
  <c r="BB36" i="3"/>
  <c r="BB28" i="3"/>
  <c r="BB20" i="3"/>
  <c r="BB12" i="3"/>
  <c r="BB4" i="3"/>
  <c r="O21" i="18"/>
  <c r="M21" i="18"/>
  <c r="Z21" i="18"/>
  <c r="S21" i="18"/>
  <c r="R21" i="18"/>
  <c r="J21" i="18"/>
  <c r="L21" i="18"/>
  <c r="X21" i="18"/>
  <c r="Q21" i="18"/>
  <c r="H21" i="18"/>
  <c r="N21" i="18"/>
  <c r="Y21" i="18"/>
  <c r="T21" i="18"/>
  <c r="G21" i="18"/>
  <c r="I21" i="18"/>
  <c r="F22" i="18"/>
  <c r="AA22" i="18" s="1"/>
  <c r="AE3" i="18"/>
  <c r="AD4" i="18"/>
  <c r="AD5" i="18"/>
  <c r="AD16" i="18"/>
  <c r="AD6" i="18"/>
  <c r="AD17" i="18"/>
  <c r="AD7" i="18"/>
  <c r="AD8" i="18"/>
  <c r="AD18" i="18"/>
  <c r="AD9" i="18"/>
  <c r="AD19" i="18"/>
  <c r="AD20" i="18"/>
  <c r="AD10" i="18"/>
  <c r="AD21" i="18"/>
  <c r="AD11" i="18"/>
  <c r="AD12" i="18"/>
  <c r="AD13" i="18"/>
  <c r="AD14" i="18"/>
  <c r="G81" i="17"/>
  <c r="V26" i="17"/>
  <c r="O26" i="17"/>
  <c r="Q26" i="17"/>
  <c r="U26" i="17"/>
  <c r="T26" i="17"/>
  <c r="Q15" i="17"/>
  <c r="I15" i="17"/>
  <c r="R44" i="17"/>
  <c r="P44" i="17"/>
  <c r="X81" i="17"/>
  <c r="K81" i="17"/>
  <c r="L15" i="17"/>
  <c r="W15" i="17"/>
  <c r="S15" i="17"/>
  <c r="P15" i="17"/>
  <c r="S44" i="17"/>
  <c r="X44" i="17"/>
  <c r="X63" i="17"/>
  <c r="R100" i="17"/>
  <c r="J100" i="17"/>
  <c r="U100" i="17"/>
  <c r="G100" i="17"/>
  <c r="X100" i="17"/>
  <c r="V100" i="17"/>
  <c r="S100" i="17"/>
  <c r="L100" i="17"/>
  <c r="R82" i="17"/>
  <c r="J82" i="17"/>
  <c r="X82" i="17"/>
  <c r="P82" i="17"/>
  <c r="Q82" i="17"/>
  <c r="H82" i="17"/>
  <c r="O82" i="17"/>
  <c r="N82" i="17"/>
  <c r="W82" i="17"/>
  <c r="M82" i="17"/>
  <c r="V82" i="17"/>
  <c r="U82" i="17"/>
  <c r="K82" i="17"/>
  <c r="T82" i="17"/>
  <c r="I82" i="17"/>
  <c r="S82" i="17"/>
  <c r="I81" i="17"/>
  <c r="V81" i="17"/>
  <c r="W81" i="17"/>
  <c r="I45" i="17"/>
  <c r="W45" i="17"/>
  <c r="P45" i="17"/>
  <c r="J45" i="17"/>
  <c r="U27" i="17"/>
  <c r="M27" i="17"/>
  <c r="X27" i="17"/>
  <c r="J27" i="17"/>
  <c r="H27" i="17"/>
  <c r="G27" i="17"/>
  <c r="H26" i="17"/>
  <c r="J26" i="17"/>
  <c r="N81" i="17"/>
  <c r="M81" i="17"/>
  <c r="P26" i="17"/>
  <c r="S26" i="17"/>
  <c r="R26" i="17"/>
  <c r="K44" i="17"/>
  <c r="V44" i="17"/>
  <c r="I44" i="17"/>
  <c r="X64" i="17"/>
  <c r="H64" i="17"/>
  <c r="G64" i="17"/>
  <c r="U64" i="17"/>
  <c r="T64" i="17"/>
  <c r="W64" i="17"/>
  <c r="Q64" i="17"/>
  <c r="K64" i="17"/>
  <c r="H99" i="17"/>
  <c r="U99" i="17"/>
  <c r="M99" i="17"/>
  <c r="Q99" i="17"/>
  <c r="N26" i="17"/>
  <c r="G44" i="17"/>
  <c r="W44" i="17"/>
  <c r="Q44" i="17"/>
  <c r="Y3" i="17"/>
  <c r="Y100" i="17" s="1"/>
  <c r="X4" i="17"/>
  <c r="X5" i="17"/>
  <c r="X72" i="17"/>
  <c r="X17" i="17"/>
  <c r="X35" i="17"/>
  <c r="X6" i="17"/>
  <c r="X90" i="17"/>
  <c r="X54" i="17"/>
  <c r="X7" i="17"/>
  <c r="X73" i="17"/>
  <c r="X36" i="17"/>
  <c r="X55" i="17"/>
  <c r="X18" i="17"/>
  <c r="X91" i="17"/>
  <c r="X74" i="17"/>
  <c r="X19" i="17"/>
  <c r="X37" i="17"/>
  <c r="X56" i="17"/>
  <c r="X8" i="17"/>
  <c r="X92" i="17"/>
  <c r="X9" i="17"/>
  <c r="X20" i="17"/>
  <c r="X93" i="17"/>
  <c r="X38" i="17"/>
  <c r="X57" i="17"/>
  <c r="X75" i="17"/>
  <c r="X21" i="17"/>
  <c r="X94" i="17"/>
  <c r="X39" i="17"/>
  <c r="X10" i="17"/>
  <c r="X58" i="17"/>
  <c r="X76" i="17"/>
  <c r="X40" i="17"/>
  <c r="X22" i="17"/>
  <c r="X59" i="17"/>
  <c r="X95" i="17"/>
  <c r="X77" i="17"/>
  <c r="X11" i="17"/>
  <c r="X12" i="17"/>
  <c r="X96" i="17"/>
  <c r="X41" i="17"/>
  <c r="X78" i="17"/>
  <c r="X23" i="17"/>
  <c r="X60" i="17"/>
  <c r="X24" i="17"/>
  <c r="X97" i="17"/>
  <c r="X42" i="17"/>
  <c r="X13" i="17"/>
  <c r="X79" i="17"/>
  <c r="X61" i="17"/>
  <c r="X80" i="17"/>
  <c r="X14" i="17"/>
  <c r="X98" i="17"/>
  <c r="X25" i="17"/>
  <c r="X62" i="17"/>
  <c r="X43" i="17"/>
  <c r="X26" i="17"/>
  <c r="P81" i="17"/>
  <c r="R81" i="17"/>
  <c r="T81" i="17"/>
  <c r="K26" i="17"/>
  <c r="G26" i="17"/>
  <c r="I26" i="17"/>
  <c r="L26" i="17"/>
  <c r="T16" i="17"/>
  <c r="L16" i="17"/>
  <c r="S16" i="17"/>
  <c r="K16" i="17"/>
  <c r="R16" i="17"/>
  <c r="J16" i="17"/>
  <c r="Q16" i="17"/>
  <c r="I16" i="17"/>
  <c r="X16" i="17"/>
  <c r="P16" i="17"/>
  <c r="H16" i="17"/>
  <c r="W16" i="17"/>
  <c r="O16" i="17"/>
  <c r="V16" i="17"/>
  <c r="N16" i="17"/>
  <c r="U16" i="17"/>
  <c r="M16" i="17"/>
  <c r="G16" i="17"/>
  <c r="L44" i="17"/>
  <c r="O44" i="17"/>
  <c r="M44" i="17"/>
  <c r="H44" i="17"/>
  <c r="X99" i="17"/>
  <c r="V44" i="15"/>
  <c r="I44" i="15"/>
  <c r="X44" i="15"/>
  <c r="AO44" i="15"/>
  <c r="L44" i="15"/>
  <c r="U44" i="15"/>
  <c r="AM44" i="15"/>
  <c r="AE44" i="15"/>
  <c r="H44" i="15"/>
  <c r="AI44" i="15"/>
  <c r="O44" i="15"/>
  <c r="AL44" i="15"/>
  <c r="Q44" i="15"/>
  <c r="W44" i="15"/>
  <c r="T44" i="15"/>
  <c r="J44" i="15"/>
  <c r="M44" i="15"/>
  <c r="S44" i="15"/>
  <c r="AA44" i="15"/>
  <c r="AF44" i="15"/>
  <c r="AB44" i="15"/>
  <c r="AC44" i="15"/>
  <c r="AD44" i="15"/>
  <c r="R44" i="15"/>
  <c r="Z44" i="15"/>
  <c r="P44" i="15"/>
  <c r="N44" i="15"/>
  <c r="AG44" i="15"/>
  <c r="AJ45" i="15"/>
  <c r="G45" i="15"/>
  <c r="AJ44" i="15"/>
  <c r="AH44" i="15"/>
  <c r="Y44" i="15"/>
  <c r="AN44" i="15"/>
  <c r="G44" i="15"/>
  <c r="F45" i="15"/>
  <c r="V45" i="15" s="1"/>
  <c r="K44" i="15"/>
  <c r="AK44" i="15"/>
  <c r="S45" i="15"/>
  <c r="I44" i="14"/>
  <c r="AC44" i="14"/>
  <c r="AO44" i="14"/>
  <c r="N44" i="14"/>
  <c r="Z44" i="14"/>
  <c r="M44" i="14"/>
  <c r="AH44" i="14"/>
  <c r="X44" i="14"/>
  <c r="R44" i="14"/>
  <c r="AB44" i="14"/>
  <c r="H44" i="14"/>
  <c r="L44" i="14"/>
  <c r="AH45" i="14"/>
  <c r="T45" i="14"/>
  <c r="AM45" i="14"/>
  <c r="N45" i="14"/>
  <c r="F45" i="14"/>
  <c r="O45" i="14" s="1"/>
  <c r="AK44" i="14"/>
  <c r="AA44" i="14"/>
  <c r="AJ44" i="14"/>
  <c r="K44" i="14"/>
  <c r="AG44" i="14"/>
  <c r="J44" i="14"/>
  <c r="Q44" i="14"/>
  <c r="AE44" i="14"/>
  <c r="W44" i="14"/>
  <c r="Y44" i="14"/>
  <c r="O44" i="14"/>
  <c r="V44" i="14"/>
  <c r="AL44" i="14"/>
  <c r="AN44" i="14"/>
  <c r="T44" i="14"/>
  <c r="AF44" i="14"/>
  <c r="AM44" i="14"/>
  <c r="AI44" i="14"/>
  <c r="P44" i="14"/>
  <c r="AD44" i="14"/>
  <c r="S44" i="14"/>
  <c r="U16" i="12"/>
  <c r="M15" i="13"/>
  <c r="G15" i="13"/>
  <c r="J15" i="13"/>
  <c r="J7" i="8"/>
  <c r="P24" i="15"/>
  <c r="K24" i="15"/>
  <c r="R24" i="15"/>
  <c r="H25" i="15"/>
  <c r="J25" i="15"/>
  <c r="R25" i="15"/>
  <c r="N25" i="15"/>
  <c r="Q25" i="15"/>
  <c r="L25" i="15"/>
  <c r="K25" i="15"/>
  <c r="O24" i="15"/>
  <c r="G24" i="15"/>
  <c r="Q24" i="15"/>
  <c r="L24" i="15"/>
  <c r="S3" i="15"/>
  <c r="S25" i="15" s="1"/>
  <c r="R4" i="15"/>
  <c r="R5" i="15"/>
  <c r="R15" i="15"/>
  <c r="R6" i="15"/>
  <c r="R27" i="15"/>
  <c r="R16" i="15"/>
  <c r="R28" i="15"/>
  <c r="R7" i="15"/>
  <c r="R17" i="15"/>
  <c r="R29" i="15"/>
  <c r="R8" i="15"/>
  <c r="R30" i="15"/>
  <c r="R9" i="15"/>
  <c r="R18" i="15"/>
  <c r="R19" i="15"/>
  <c r="R31" i="15"/>
  <c r="R10" i="15"/>
  <c r="R11" i="15"/>
  <c r="R20" i="15"/>
  <c r="R32" i="15"/>
  <c r="R21" i="15"/>
  <c r="R12" i="15"/>
  <c r="R22" i="15"/>
  <c r="R13" i="15"/>
  <c r="R14" i="15"/>
  <c r="R23" i="15"/>
  <c r="J24" i="15"/>
  <c r="I24" i="15"/>
  <c r="N24" i="15"/>
  <c r="M24" i="15"/>
  <c r="L30" i="14"/>
  <c r="G30" i="14"/>
  <c r="R30" i="14"/>
  <c r="T3" i="14"/>
  <c r="S4" i="14"/>
  <c r="S5" i="14"/>
  <c r="S6" i="14"/>
  <c r="S21" i="14"/>
  <c r="S7" i="14"/>
  <c r="S22" i="14"/>
  <c r="S23" i="14"/>
  <c r="S8" i="14"/>
  <c r="S9" i="14"/>
  <c r="S24" i="14"/>
  <c r="S10" i="14"/>
  <c r="S25" i="14"/>
  <c r="S11" i="14"/>
  <c r="S26" i="14"/>
  <c r="S12" i="14"/>
  <c r="S27" i="14"/>
  <c r="S28" i="14"/>
  <c r="S13" i="14"/>
  <c r="S29" i="14"/>
  <c r="S14" i="14"/>
  <c r="N30" i="14"/>
  <c r="O30" i="14"/>
  <c r="I30" i="14"/>
  <c r="I16" i="14"/>
  <c r="N16" i="14"/>
  <c r="P16" i="14"/>
  <c r="S16" i="14"/>
  <c r="K16" i="14"/>
  <c r="L16" i="14"/>
  <c r="J16" i="14"/>
  <c r="Q30" i="14"/>
  <c r="K30" i="14"/>
  <c r="Q15" i="14"/>
  <c r="I15" i="14"/>
  <c r="S15" i="14"/>
  <c r="N15" i="14"/>
  <c r="M30" i="14"/>
  <c r="S30" i="14"/>
  <c r="N31" i="14"/>
  <c r="G31" i="14"/>
  <c r="M31" i="14"/>
  <c r="T31" i="14"/>
  <c r="L31" i="14"/>
  <c r="K31" i="14"/>
  <c r="R31" i="14"/>
  <c r="J31" i="14"/>
  <c r="P31" i="14"/>
  <c r="H31" i="14"/>
  <c r="O31" i="14"/>
  <c r="I31" i="14"/>
  <c r="Q31" i="14"/>
  <c r="P30" i="14"/>
  <c r="I15" i="13"/>
  <c r="R15" i="13"/>
  <c r="L15" i="13"/>
  <c r="Q15" i="13"/>
  <c r="H15" i="13"/>
  <c r="N15" i="13"/>
  <c r="P15" i="13"/>
  <c r="R4" i="13"/>
  <c r="S3" i="13"/>
  <c r="R5" i="13"/>
  <c r="R6" i="13"/>
  <c r="R7" i="13"/>
  <c r="R8" i="13"/>
  <c r="R9" i="13"/>
  <c r="R10" i="13"/>
  <c r="R11" i="13"/>
  <c r="R12" i="13"/>
  <c r="R13" i="13"/>
  <c r="R14" i="13"/>
  <c r="I16" i="13"/>
  <c r="O15" i="13"/>
  <c r="M16" i="12"/>
  <c r="Q16" i="12"/>
  <c r="O16" i="12"/>
  <c r="R16" i="12"/>
  <c r="K16" i="12"/>
  <c r="L16" i="12"/>
  <c r="I16" i="12"/>
  <c r="G16" i="12"/>
  <c r="T16" i="12"/>
  <c r="V3" i="12"/>
  <c r="U4" i="12"/>
  <c r="U6" i="12"/>
  <c r="U5" i="12"/>
  <c r="U7" i="12"/>
  <c r="U8" i="12"/>
  <c r="U9" i="12"/>
  <c r="U10" i="12"/>
  <c r="U11" i="12"/>
  <c r="U12" i="12"/>
  <c r="U13" i="12"/>
  <c r="U14" i="12"/>
  <c r="U15" i="12"/>
  <c r="F17" i="12"/>
  <c r="M17" i="12" s="1"/>
  <c r="H16" i="12"/>
  <c r="N16" i="12"/>
  <c r="P16" i="12"/>
  <c r="J16" i="12"/>
  <c r="G7" i="10"/>
  <c r="I7" i="9"/>
  <c r="H35" i="9"/>
  <c r="G7" i="8"/>
  <c r="K7" i="3"/>
  <c r="H7" i="11"/>
  <c r="I7" i="11"/>
  <c r="K7" i="11"/>
  <c r="F31" i="10"/>
  <c r="I85" i="11"/>
  <c r="I60" i="11"/>
  <c r="J60" i="11"/>
  <c r="K85" i="11"/>
  <c r="G86" i="11"/>
  <c r="G60" i="11"/>
  <c r="I86" i="11"/>
  <c r="F8" i="11"/>
  <c r="K8" i="11" s="1"/>
  <c r="L3" i="11"/>
  <c r="K4" i="11"/>
  <c r="K5" i="11"/>
  <c r="K84" i="11"/>
  <c r="K58" i="11"/>
  <c r="K6" i="11"/>
  <c r="K59" i="11"/>
  <c r="I59" i="11"/>
  <c r="G7" i="11"/>
  <c r="K5" i="10"/>
  <c r="K4" i="10"/>
  <c r="L3" i="10"/>
  <c r="K69" i="10"/>
  <c r="K6" i="10"/>
  <c r="K70" i="10"/>
  <c r="I71" i="10"/>
  <c r="H7" i="10"/>
  <c r="I7" i="10"/>
  <c r="J71" i="10"/>
  <c r="K71" i="10"/>
  <c r="H72" i="10"/>
  <c r="K7" i="10"/>
  <c r="F8" i="10"/>
  <c r="G8" i="10" s="1"/>
  <c r="G71" i="10"/>
  <c r="F36" i="9"/>
  <c r="H36" i="9" s="1"/>
  <c r="J7" i="9"/>
  <c r="G35" i="9"/>
  <c r="J4" i="9"/>
  <c r="J33" i="9"/>
  <c r="J5" i="9"/>
  <c r="J6" i="9"/>
  <c r="J34" i="9"/>
  <c r="H7" i="9"/>
  <c r="I7" i="8"/>
  <c r="J4" i="8"/>
  <c r="J5" i="8"/>
  <c r="J6" i="8"/>
  <c r="G7" i="3"/>
  <c r="I7" i="3"/>
  <c r="J7" i="3"/>
  <c r="H7" i="3"/>
  <c r="L3" i="3"/>
  <c r="K4" i="3"/>
  <c r="K5" i="3"/>
  <c r="K6" i="3"/>
  <c r="K3" i="9"/>
  <c r="F8" i="9"/>
  <c r="I8" i="9" s="1"/>
  <c r="F8" i="8"/>
  <c r="H8" i="8" s="1"/>
  <c r="K3" i="8"/>
  <c r="F8" i="3"/>
  <c r="I8" i="3" s="1"/>
  <c r="F14" i="2"/>
  <c r="G14" i="2" s="1"/>
  <c r="E15" i="2"/>
  <c r="E15" i="1"/>
  <c r="F14" i="1"/>
  <c r="G14" i="1" s="1"/>
  <c r="U22" i="18" l="1"/>
  <c r="K22" i="18"/>
  <c r="Y22" i="18"/>
  <c r="AD22" i="18"/>
  <c r="S22" i="18"/>
  <c r="AB22" i="18"/>
  <c r="V22" i="18"/>
  <c r="N22" i="18"/>
  <c r="O22" i="18"/>
  <c r="Z22" i="18"/>
  <c r="G22" i="18"/>
  <c r="M22" i="18"/>
  <c r="H22" i="18"/>
  <c r="R22" i="18"/>
  <c r="L22" i="18"/>
  <c r="W22" i="18"/>
  <c r="J22" i="18"/>
  <c r="X22" i="18"/>
  <c r="Q22" i="18"/>
  <c r="P22" i="18"/>
  <c r="T22" i="18"/>
  <c r="I22" i="18"/>
  <c r="F23" i="18"/>
  <c r="W23" i="18" s="1"/>
  <c r="G23" i="18"/>
  <c r="X23" i="18"/>
  <c r="Y23" i="18"/>
  <c r="M23" i="18"/>
  <c r="I23" i="18"/>
  <c r="V23" i="18"/>
  <c r="AC22" i="18"/>
  <c r="AF3" i="18"/>
  <c r="AE4" i="18"/>
  <c r="AE5" i="18"/>
  <c r="AE6" i="18"/>
  <c r="AE16" i="18"/>
  <c r="AE7" i="18"/>
  <c r="AE17" i="18"/>
  <c r="AE18" i="18"/>
  <c r="AE8" i="18"/>
  <c r="AE19" i="18"/>
  <c r="AE9" i="18"/>
  <c r="AE20" i="18"/>
  <c r="AE10" i="18"/>
  <c r="AE11" i="18"/>
  <c r="AE21" i="18"/>
  <c r="AE22" i="18"/>
  <c r="AE12" i="18"/>
  <c r="AE23" i="18"/>
  <c r="AE13" i="18"/>
  <c r="AE14" i="18"/>
  <c r="AE15" i="18"/>
  <c r="V64" i="17"/>
  <c r="Y27" i="17"/>
  <c r="U45" i="17"/>
  <c r="X45" i="17"/>
  <c r="G82" i="17"/>
  <c r="L82" i="17"/>
  <c r="I100" i="17"/>
  <c r="S65" i="17"/>
  <c r="K65" i="17"/>
  <c r="R65" i="17"/>
  <c r="J65" i="17"/>
  <c r="X65" i="17"/>
  <c r="P65" i="17"/>
  <c r="H65" i="17"/>
  <c r="W65" i="17"/>
  <c r="L65" i="17"/>
  <c r="V65" i="17"/>
  <c r="I65" i="17"/>
  <c r="U65" i="17"/>
  <c r="G65" i="17"/>
  <c r="T65" i="17"/>
  <c r="Q65" i="17"/>
  <c r="O65" i="17"/>
  <c r="N65" i="17"/>
  <c r="Y65" i="17"/>
  <c r="M65" i="17"/>
  <c r="K27" i="17"/>
  <c r="V45" i="17"/>
  <c r="G45" i="17"/>
  <c r="K100" i="17"/>
  <c r="Q100" i="17"/>
  <c r="N64" i="17"/>
  <c r="S64" i="17"/>
  <c r="M64" i="17"/>
  <c r="Q28" i="17"/>
  <c r="P28" i="17"/>
  <c r="W28" i="17"/>
  <c r="I27" i="17"/>
  <c r="V27" i="17"/>
  <c r="P27" i="17"/>
  <c r="O27" i="17"/>
  <c r="O45" i="17"/>
  <c r="K45" i="17"/>
  <c r="O101" i="17"/>
  <c r="G101" i="17"/>
  <c r="U101" i="17"/>
  <c r="M101" i="17"/>
  <c r="T101" i="17"/>
  <c r="L101" i="17"/>
  <c r="V101" i="17"/>
  <c r="I101" i="17"/>
  <c r="Q101" i="17"/>
  <c r="P101" i="17"/>
  <c r="N101" i="17"/>
  <c r="Y101" i="17"/>
  <c r="X101" i="17"/>
  <c r="S101" i="17"/>
  <c r="R101" i="17"/>
  <c r="J101" i="17"/>
  <c r="H101" i="17"/>
  <c r="W100" i="17"/>
  <c r="O100" i="17"/>
  <c r="T100" i="17"/>
  <c r="Z3" i="17"/>
  <c r="Z28" i="17" s="1"/>
  <c r="Y4" i="17"/>
  <c r="Y5" i="17"/>
  <c r="Y17" i="17"/>
  <c r="Y54" i="17"/>
  <c r="Y72" i="17"/>
  <c r="Y35" i="17"/>
  <c r="Y6" i="17"/>
  <c r="Y90" i="17"/>
  <c r="Y36" i="17"/>
  <c r="Y73" i="17"/>
  <c r="Y55" i="17"/>
  <c r="Y18" i="17"/>
  <c r="Y91" i="17"/>
  <c r="Y7" i="17"/>
  <c r="Y37" i="17"/>
  <c r="Y92" i="17"/>
  <c r="Y8" i="17"/>
  <c r="Y74" i="17"/>
  <c r="Y19" i="17"/>
  <c r="Y56" i="17"/>
  <c r="Y20" i="17"/>
  <c r="Y75" i="17"/>
  <c r="Y57" i="17"/>
  <c r="Y9" i="17"/>
  <c r="Y93" i="17"/>
  <c r="Y38" i="17"/>
  <c r="Y76" i="17"/>
  <c r="Y10" i="17"/>
  <c r="Y58" i="17"/>
  <c r="Y39" i="17"/>
  <c r="Y21" i="17"/>
  <c r="Y94" i="17"/>
  <c r="Y22" i="17"/>
  <c r="Y95" i="17"/>
  <c r="Y77" i="17"/>
  <c r="Y40" i="17"/>
  <c r="Y59" i="17"/>
  <c r="Y11" i="17"/>
  <c r="Y96" i="17"/>
  <c r="Y60" i="17"/>
  <c r="Y12" i="17"/>
  <c r="Y23" i="17"/>
  <c r="Y41" i="17"/>
  <c r="Y78" i="17"/>
  <c r="Y97" i="17"/>
  <c r="Y79" i="17"/>
  <c r="Y24" i="17"/>
  <c r="Y61" i="17"/>
  <c r="Y13" i="17"/>
  <c r="Y42" i="17"/>
  <c r="Y98" i="17"/>
  <c r="Y62" i="17"/>
  <c r="Y80" i="17"/>
  <c r="Y14" i="17"/>
  <c r="Y43" i="17"/>
  <c r="Y25" i="17"/>
  <c r="Y44" i="17"/>
  <c r="Y99" i="17"/>
  <c r="Y81" i="17"/>
  <c r="Y63" i="17"/>
  <c r="Y15" i="17"/>
  <c r="Y26" i="17"/>
  <c r="Q27" i="17"/>
  <c r="S27" i="17"/>
  <c r="W27" i="17"/>
  <c r="N45" i="17"/>
  <c r="S45" i="17"/>
  <c r="H100" i="17"/>
  <c r="Y16" i="17"/>
  <c r="I64" i="17"/>
  <c r="P64" i="17"/>
  <c r="L27" i="17"/>
  <c r="U83" i="17"/>
  <c r="P100" i="17"/>
  <c r="M100" i="17"/>
  <c r="Y64" i="17"/>
  <c r="W46" i="17"/>
  <c r="N46" i="17"/>
  <c r="O46" i="17"/>
  <c r="L46" i="17"/>
  <c r="Z46" i="17"/>
  <c r="M46" i="17"/>
  <c r="K46" i="17"/>
  <c r="J46" i="17"/>
  <c r="X46" i="17"/>
  <c r="S46" i="17"/>
  <c r="I46" i="17"/>
  <c r="Q45" i="17"/>
  <c r="L45" i="17"/>
  <c r="L64" i="17"/>
  <c r="R64" i="17"/>
  <c r="J64" i="17"/>
  <c r="O64" i="17"/>
  <c r="R27" i="17"/>
  <c r="T27" i="17"/>
  <c r="N27" i="17"/>
  <c r="H45" i="17"/>
  <c r="R45" i="17"/>
  <c r="M45" i="17"/>
  <c r="Y45" i="17"/>
  <c r="T45" i="17"/>
  <c r="Y82" i="17"/>
  <c r="N100" i="17"/>
  <c r="AM45" i="15"/>
  <c r="AD45" i="15"/>
  <c r="AC45" i="15"/>
  <c r="X45" i="15"/>
  <c r="T45" i="15"/>
  <c r="AK45" i="15"/>
  <c r="O45" i="15"/>
  <c r="AE45" i="15"/>
  <c r="AF45" i="15"/>
  <c r="K45" i="15"/>
  <c r="M45" i="15"/>
  <c r="AI45" i="15"/>
  <c r="R45" i="15"/>
  <c r="AA45" i="15"/>
  <c r="Z45" i="15"/>
  <c r="AH45" i="15"/>
  <c r="I45" i="15"/>
  <c r="AN45" i="15"/>
  <c r="L45" i="15"/>
  <c r="J45" i="15"/>
  <c r="Y45" i="15"/>
  <c r="Q45" i="15"/>
  <c r="N45" i="15"/>
  <c r="AO45" i="15"/>
  <c r="H45" i="15"/>
  <c r="AL45" i="15"/>
  <c r="AB45" i="15"/>
  <c r="P45" i="15"/>
  <c r="U45" i="15"/>
  <c r="W45" i="15"/>
  <c r="AG45" i="15"/>
  <c r="AB45" i="14"/>
  <c r="L45" i="14"/>
  <c r="V45" i="14"/>
  <c r="AA45" i="14"/>
  <c r="I45" i="14"/>
  <c r="Z45" i="14"/>
  <c r="AC45" i="14"/>
  <c r="AK45" i="14"/>
  <c r="AN45" i="14"/>
  <c r="X45" i="14"/>
  <c r="H45" i="14"/>
  <c r="W45" i="14"/>
  <c r="U45" i="14"/>
  <c r="AI45" i="14"/>
  <c r="AJ45" i="14"/>
  <c r="AG45" i="14"/>
  <c r="S45" i="14"/>
  <c r="AD45" i="14"/>
  <c r="AL45" i="14"/>
  <c r="M45" i="14"/>
  <c r="K45" i="14"/>
  <c r="R45" i="14"/>
  <c r="J45" i="14"/>
  <c r="AF45" i="14"/>
  <c r="P45" i="14"/>
  <c r="G45" i="14"/>
  <c r="Q45" i="14"/>
  <c r="AO45" i="14"/>
  <c r="AE45" i="14"/>
  <c r="Y45" i="14"/>
  <c r="T17" i="12"/>
  <c r="J16" i="13"/>
  <c r="K16" i="13"/>
  <c r="H16" i="13"/>
  <c r="G16" i="13"/>
  <c r="U17" i="12"/>
  <c r="L17" i="12"/>
  <c r="S26" i="15"/>
  <c r="K26" i="15"/>
  <c r="R26" i="15"/>
  <c r="J26" i="15"/>
  <c r="O26" i="15"/>
  <c r="N26" i="15"/>
  <c r="L26" i="15"/>
  <c r="H26" i="15"/>
  <c r="Q26" i="15"/>
  <c r="I26" i="15"/>
  <c r="G26" i="15"/>
  <c r="P26" i="15"/>
  <c r="M26" i="15"/>
  <c r="P25" i="15"/>
  <c r="M25" i="15"/>
  <c r="G25" i="15"/>
  <c r="T3" i="15"/>
  <c r="S4" i="15"/>
  <c r="S5" i="15"/>
  <c r="S27" i="15"/>
  <c r="S6" i="15"/>
  <c r="S15" i="15"/>
  <c r="S7" i="15"/>
  <c r="S16" i="15"/>
  <c r="S28" i="15"/>
  <c r="S29" i="15"/>
  <c r="S17" i="15"/>
  <c r="S8" i="15"/>
  <c r="S9" i="15"/>
  <c r="S18" i="15"/>
  <c r="S30" i="15"/>
  <c r="S19" i="15"/>
  <c r="S10" i="15"/>
  <c r="S31" i="15"/>
  <c r="S20" i="15"/>
  <c r="S32" i="15"/>
  <c r="S11" i="15"/>
  <c r="S21" i="15"/>
  <c r="S12" i="15"/>
  <c r="S13" i="15"/>
  <c r="S22" i="15"/>
  <c r="S14" i="15"/>
  <c r="S23" i="15"/>
  <c r="S24" i="15"/>
  <c r="I25" i="15"/>
  <c r="O25" i="15"/>
  <c r="S31" i="14"/>
  <c r="T16" i="14"/>
  <c r="Q16" i="14"/>
  <c r="O16" i="14"/>
  <c r="M16" i="14"/>
  <c r="H16" i="14"/>
  <c r="I32" i="14"/>
  <c r="H32" i="14"/>
  <c r="N32" i="14"/>
  <c r="Q32" i="14"/>
  <c r="S32" i="14"/>
  <c r="K32" i="14"/>
  <c r="R32" i="14"/>
  <c r="L32" i="14"/>
  <c r="J32" i="14"/>
  <c r="G16" i="14"/>
  <c r="R16" i="14"/>
  <c r="T4" i="14"/>
  <c r="U3" i="14"/>
  <c r="T5" i="14"/>
  <c r="T6" i="14"/>
  <c r="T21" i="14"/>
  <c r="T22" i="14"/>
  <c r="T7" i="14"/>
  <c r="T8" i="14"/>
  <c r="T23" i="14"/>
  <c r="T24" i="14"/>
  <c r="T9" i="14"/>
  <c r="T25" i="14"/>
  <c r="T10" i="14"/>
  <c r="T11" i="14"/>
  <c r="T26" i="14"/>
  <c r="T12" i="14"/>
  <c r="T27" i="14"/>
  <c r="T13" i="14"/>
  <c r="T28" i="14"/>
  <c r="T29" i="14"/>
  <c r="T14" i="14"/>
  <c r="T15" i="14"/>
  <c r="T30" i="14"/>
  <c r="K17" i="14"/>
  <c r="N17" i="14"/>
  <c r="P17" i="14"/>
  <c r="M17" i="14"/>
  <c r="L16" i="13"/>
  <c r="Q16" i="13"/>
  <c r="P16" i="13"/>
  <c r="K17" i="13"/>
  <c r="S16" i="13"/>
  <c r="N16" i="13"/>
  <c r="R16" i="13"/>
  <c r="O16" i="13"/>
  <c r="M16" i="13"/>
  <c r="S4" i="13"/>
  <c r="T3" i="13"/>
  <c r="S5" i="13"/>
  <c r="S6" i="13"/>
  <c r="S7" i="13"/>
  <c r="S8" i="13"/>
  <c r="S9" i="13"/>
  <c r="S10" i="13"/>
  <c r="S11" i="13"/>
  <c r="S12" i="13"/>
  <c r="S13" i="13"/>
  <c r="S14" i="13"/>
  <c r="S15" i="13"/>
  <c r="G17" i="12"/>
  <c r="I17" i="12"/>
  <c r="Q17" i="12"/>
  <c r="F18" i="12"/>
  <c r="P17" i="12"/>
  <c r="K17" i="12"/>
  <c r="R17" i="12"/>
  <c r="N17" i="12"/>
  <c r="V4" i="12"/>
  <c r="W3" i="12"/>
  <c r="V6" i="12"/>
  <c r="V5" i="12"/>
  <c r="V7" i="12"/>
  <c r="V8" i="12"/>
  <c r="V9" i="12"/>
  <c r="V10" i="12"/>
  <c r="V11" i="12"/>
  <c r="V12" i="12"/>
  <c r="V13" i="12"/>
  <c r="V14" i="12"/>
  <c r="V15" i="12"/>
  <c r="V16" i="12"/>
  <c r="O17" i="12"/>
  <c r="J17" i="12"/>
  <c r="H17" i="12"/>
  <c r="S17" i="12"/>
  <c r="V17" i="12"/>
  <c r="J8" i="9"/>
  <c r="H8" i="9"/>
  <c r="J36" i="9"/>
  <c r="I36" i="9"/>
  <c r="G36" i="9"/>
  <c r="J8" i="8"/>
  <c r="J8" i="3"/>
  <c r="G8" i="11"/>
  <c r="H8" i="11"/>
  <c r="J8" i="11"/>
  <c r="I8" i="11"/>
  <c r="F32" i="10"/>
  <c r="K86" i="11"/>
  <c r="K60" i="11"/>
  <c r="L60" i="11"/>
  <c r="G61" i="11"/>
  <c r="F9" i="11"/>
  <c r="I9" i="11" s="1"/>
  <c r="J61" i="11"/>
  <c r="H61" i="11"/>
  <c r="K61" i="11"/>
  <c r="I87" i="11"/>
  <c r="L87" i="11"/>
  <c r="K87" i="11"/>
  <c r="J86" i="11"/>
  <c r="L4" i="11"/>
  <c r="M3" i="11"/>
  <c r="M61" i="11" s="1"/>
  <c r="L5" i="11"/>
  <c r="L6" i="11"/>
  <c r="L84" i="11"/>
  <c r="L58" i="11"/>
  <c r="L85" i="11"/>
  <c r="L7" i="11"/>
  <c r="L59" i="11"/>
  <c r="L8" i="11"/>
  <c r="H86" i="11"/>
  <c r="L86" i="11"/>
  <c r="H60" i="11"/>
  <c r="I72" i="10"/>
  <c r="J72" i="10"/>
  <c r="K72" i="10"/>
  <c r="H8" i="10"/>
  <c r="L8" i="10"/>
  <c r="K8" i="10"/>
  <c r="F9" i="10"/>
  <c r="H9" i="10" s="1"/>
  <c r="I8" i="10"/>
  <c r="H73" i="10"/>
  <c r="L72" i="10"/>
  <c r="G72" i="10"/>
  <c r="M3" i="10"/>
  <c r="L5" i="10"/>
  <c r="L4" i="10"/>
  <c r="L69" i="10"/>
  <c r="L6" i="10"/>
  <c r="L70" i="10"/>
  <c r="L7" i="10"/>
  <c r="L71" i="10"/>
  <c r="J8" i="10"/>
  <c r="K4" i="9"/>
  <c r="K33" i="9"/>
  <c r="K5" i="9"/>
  <c r="K34" i="9"/>
  <c r="K6" i="9"/>
  <c r="K35" i="9"/>
  <c r="K7" i="9"/>
  <c r="K36" i="9"/>
  <c r="K8" i="9"/>
  <c r="G8" i="9"/>
  <c r="F37" i="9"/>
  <c r="G37" i="9" s="1"/>
  <c r="K4" i="8"/>
  <c r="K5" i="8"/>
  <c r="K6" i="8"/>
  <c r="K7" i="8"/>
  <c r="G8" i="8"/>
  <c r="K8" i="8"/>
  <c r="I8" i="8"/>
  <c r="M3" i="3"/>
  <c r="L4" i="3"/>
  <c r="L5" i="3"/>
  <c r="L6" i="3"/>
  <c r="L7" i="3"/>
  <c r="H8" i="3"/>
  <c r="K8" i="3"/>
  <c r="L8" i="3"/>
  <c r="G8" i="3"/>
  <c r="F9" i="9"/>
  <c r="I9" i="9" s="1"/>
  <c r="L3" i="9"/>
  <c r="L3" i="8"/>
  <c r="F9" i="8"/>
  <c r="F9" i="3"/>
  <c r="H9" i="3" s="1"/>
  <c r="E16" i="2"/>
  <c r="F15" i="2"/>
  <c r="G15" i="2" s="1"/>
  <c r="F15" i="1"/>
  <c r="G15" i="1" s="1"/>
  <c r="E16" i="1"/>
  <c r="L23" i="18" l="1"/>
  <c r="AC23" i="18"/>
  <c r="J23" i="18"/>
  <c r="AA23" i="18"/>
  <c r="O23" i="18"/>
  <c r="H23" i="18"/>
  <c r="Z23" i="18"/>
  <c r="Q23" i="18"/>
  <c r="N23" i="18"/>
  <c r="T23" i="18"/>
  <c r="P23" i="18"/>
  <c r="K23" i="18"/>
  <c r="R23" i="18"/>
  <c r="U23" i="18"/>
  <c r="S23" i="18"/>
  <c r="AB23" i="18"/>
  <c r="F24" i="18"/>
  <c r="S24" i="18" s="1"/>
  <c r="AC24" i="18"/>
  <c r="N24" i="18"/>
  <c r="Q24" i="18"/>
  <c r="O24" i="18"/>
  <c r="X24" i="18"/>
  <c r="AD23" i="18"/>
  <c r="AG3" i="18"/>
  <c r="AF4" i="18"/>
  <c r="AF5" i="18"/>
  <c r="AF16" i="18"/>
  <c r="AF6" i="18"/>
  <c r="AF7" i="18"/>
  <c r="AF17" i="18"/>
  <c r="AF18" i="18"/>
  <c r="AF8" i="18"/>
  <c r="AF19" i="18"/>
  <c r="AF9" i="18"/>
  <c r="AF10" i="18"/>
  <c r="AF20" i="18"/>
  <c r="AF11" i="18"/>
  <c r="AF21" i="18"/>
  <c r="AF22" i="18"/>
  <c r="AF12" i="18"/>
  <c r="AF23" i="18"/>
  <c r="AF13" i="18"/>
  <c r="AF14" i="18"/>
  <c r="AF24" i="18"/>
  <c r="AF15" i="18"/>
  <c r="Q83" i="17"/>
  <c r="I83" i="17"/>
  <c r="H46" i="17"/>
  <c r="U46" i="17"/>
  <c r="G83" i="17"/>
  <c r="S83" i="17"/>
  <c r="V83" i="17"/>
  <c r="R102" i="17"/>
  <c r="K101" i="17"/>
  <c r="W101" i="17"/>
  <c r="Y28" i="17"/>
  <c r="K28" i="17"/>
  <c r="R28" i="17"/>
  <c r="W66" i="17"/>
  <c r="U66" i="17"/>
  <c r="Z66" i="17"/>
  <c r="P66" i="17"/>
  <c r="M66" i="17"/>
  <c r="Y66" i="17"/>
  <c r="N66" i="17"/>
  <c r="V66" i="17"/>
  <c r="K66" i="17"/>
  <c r="L66" i="17"/>
  <c r="J66" i="17"/>
  <c r="X66" i="17"/>
  <c r="H66" i="17"/>
  <c r="T66" i="17"/>
  <c r="G66" i="17"/>
  <c r="R66" i="17"/>
  <c r="Q66" i="17"/>
  <c r="Z83" i="17"/>
  <c r="R83" i="17"/>
  <c r="J83" i="17"/>
  <c r="L28" i="17"/>
  <c r="G28" i="17"/>
  <c r="U28" i="17"/>
  <c r="Z47" i="17"/>
  <c r="R47" i="17"/>
  <c r="J47" i="17"/>
  <c r="Y47" i="17"/>
  <c r="Q47" i="17"/>
  <c r="I47" i="17"/>
  <c r="W47" i="17"/>
  <c r="O47" i="17"/>
  <c r="S47" i="17"/>
  <c r="N47" i="17"/>
  <c r="T47" i="17"/>
  <c r="P47" i="17"/>
  <c r="H47" i="17"/>
  <c r="X47" i="17"/>
  <c r="V47" i="17"/>
  <c r="U47" i="17"/>
  <c r="L47" i="17"/>
  <c r="K47" i="17"/>
  <c r="P83" i="17"/>
  <c r="X83" i="17"/>
  <c r="V28" i="17"/>
  <c r="O28" i="17"/>
  <c r="S28" i="17"/>
  <c r="H83" i="17"/>
  <c r="M83" i="17"/>
  <c r="AA3" i="17"/>
  <c r="AA66" i="17" s="1"/>
  <c r="Z4" i="17"/>
  <c r="Z5" i="17"/>
  <c r="Z35" i="17"/>
  <c r="Z17" i="17"/>
  <c r="Z6" i="17"/>
  <c r="Z54" i="17"/>
  <c r="Z90" i="17"/>
  <c r="Z72" i="17"/>
  <c r="Z36" i="17"/>
  <c r="Z18" i="17"/>
  <c r="Z91" i="17"/>
  <c r="Z55" i="17"/>
  <c r="Z73" i="17"/>
  <c r="Z7" i="17"/>
  <c r="Z74" i="17"/>
  <c r="Z92" i="17"/>
  <c r="Z56" i="17"/>
  <c r="Z8" i="17"/>
  <c r="Z19" i="17"/>
  <c r="Z37" i="17"/>
  <c r="Z57" i="17"/>
  <c r="Z93" i="17"/>
  <c r="Z75" i="17"/>
  <c r="Z20" i="17"/>
  <c r="Z38" i="17"/>
  <c r="Z9" i="17"/>
  <c r="Z58" i="17"/>
  <c r="Z76" i="17"/>
  <c r="Z21" i="17"/>
  <c r="Z39" i="17"/>
  <c r="Z10" i="17"/>
  <c r="Z94" i="17"/>
  <c r="Z40" i="17"/>
  <c r="Z77" i="17"/>
  <c r="Z22" i="17"/>
  <c r="Z11" i="17"/>
  <c r="Z59" i="17"/>
  <c r="Z95" i="17"/>
  <c r="Z78" i="17"/>
  <c r="Z60" i="17"/>
  <c r="Z41" i="17"/>
  <c r="Z23" i="17"/>
  <c r="Z12" i="17"/>
  <c r="Z96" i="17"/>
  <c r="Z13" i="17"/>
  <c r="Z42" i="17"/>
  <c r="Z97" i="17"/>
  <c r="Z79" i="17"/>
  <c r="Z24" i="17"/>
  <c r="Z61" i="17"/>
  <c r="Z43" i="17"/>
  <c r="Z14" i="17"/>
  <c r="Z98" i="17"/>
  <c r="Z80" i="17"/>
  <c r="Z25" i="17"/>
  <c r="Z62" i="17"/>
  <c r="Z63" i="17"/>
  <c r="Z15" i="17"/>
  <c r="Z26" i="17"/>
  <c r="Z44" i="17"/>
  <c r="Z99" i="17"/>
  <c r="Z81" i="17"/>
  <c r="Z100" i="17"/>
  <c r="Z82" i="17"/>
  <c r="Z27" i="17"/>
  <c r="Z45" i="17"/>
  <c r="Z16" i="17"/>
  <c r="Z64" i="17"/>
  <c r="H28" i="17"/>
  <c r="Z65" i="17"/>
  <c r="R46" i="17"/>
  <c r="P46" i="17"/>
  <c r="Q46" i="17"/>
  <c r="V46" i="17"/>
  <c r="T83" i="17"/>
  <c r="L83" i="17"/>
  <c r="Z101" i="17"/>
  <c r="M28" i="17"/>
  <c r="Y84" i="17"/>
  <c r="P84" i="17"/>
  <c r="H84" i="17"/>
  <c r="N84" i="17"/>
  <c r="X84" i="17"/>
  <c r="AA84" i="17"/>
  <c r="M84" i="17"/>
  <c r="W84" i="17"/>
  <c r="U84" i="17"/>
  <c r="J84" i="17"/>
  <c r="G84" i="17"/>
  <c r="R84" i="17"/>
  <c r="Y83" i="17"/>
  <c r="H29" i="17"/>
  <c r="N29" i="17"/>
  <c r="X29" i="17"/>
  <c r="U29" i="17"/>
  <c r="M29" i="17"/>
  <c r="J29" i="17"/>
  <c r="AA29" i="17"/>
  <c r="K29" i="17"/>
  <c r="Y29" i="17"/>
  <c r="R29" i="17"/>
  <c r="O29" i="17"/>
  <c r="I28" i="17"/>
  <c r="X28" i="17"/>
  <c r="T28" i="17"/>
  <c r="Y46" i="17"/>
  <c r="T46" i="17"/>
  <c r="G46" i="17"/>
  <c r="O83" i="17"/>
  <c r="W83" i="17"/>
  <c r="K83" i="17"/>
  <c r="N83" i="17"/>
  <c r="N28" i="17"/>
  <c r="J28" i="17"/>
  <c r="G17" i="13"/>
  <c r="O17" i="13"/>
  <c r="J17" i="13"/>
  <c r="L17" i="13"/>
  <c r="P17" i="13"/>
  <c r="T4" i="15"/>
  <c r="U3" i="15"/>
  <c r="T5" i="15"/>
  <c r="T27" i="15"/>
  <c r="T6" i="15"/>
  <c r="T15" i="15"/>
  <c r="T28" i="15"/>
  <c r="T7" i="15"/>
  <c r="T16" i="15"/>
  <c r="T17" i="15"/>
  <c r="T29" i="15"/>
  <c r="T8" i="15"/>
  <c r="T30" i="15"/>
  <c r="T18" i="15"/>
  <c r="T9" i="15"/>
  <c r="T19" i="15"/>
  <c r="T10" i="15"/>
  <c r="T31" i="15"/>
  <c r="T32" i="15"/>
  <c r="T11" i="15"/>
  <c r="T20" i="15"/>
  <c r="T12" i="15"/>
  <c r="T21" i="15"/>
  <c r="T22" i="15"/>
  <c r="T13" i="15"/>
  <c r="T23" i="15"/>
  <c r="T14" i="15"/>
  <c r="T24" i="15"/>
  <c r="T25" i="15"/>
  <c r="T26" i="15"/>
  <c r="Q17" i="14"/>
  <c r="L17" i="14"/>
  <c r="T32" i="14"/>
  <c r="P32" i="14"/>
  <c r="G17" i="14"/>
  <c r="R17" i="14"/>
  <c r="T17" i="14"/>
  <c r="U4" i="14"/>
  <c r="V3" i="14"/>
  <c r="U5" i="14"/>
  <c r="U21" i="14"/>
  <c r="U6" i="14"/>
  <c r="U7" i="14"/>
  <c r="U22" i="14"/>
  <c r="U23" i="14"/>
  <c r="U8" i="14"/>
  <c r="U9" i="14"/>
  <c r="U24" i="14"/>
  <c r="U25" i="14"/>
  <c r="U10" i="14"/>
  <c r="U11" i="14"/>
  <c r="U26" i="14"/>
  <c r="U12" i="14"/>
  <c r="U27" i="14"/>
  <c r="U28" i="14"/>
  <c r="U13" i="14"/>
  <c r="U14" i="14"/>
  <c r="U29" i="14"/>
  <c r="U30" i="14"/>
  <c r="U15" i="14"/>
  <c r="U16" i="14"/>
  <c r="U31" i="14"/>
  <c r="M32" i="14"/>
  <c r="I17" i="14"/>
  <c r="H17" i="14"/>
  <c r="U32" i="14"/>
  <c r="G32" i="14"/>
  <c r="O17" i="14"/>
  <c r="J17" i="14"/>
  <c r="U17" i="14"/>
  <c r="O32" i="14"/>
  <c r="V18" i="14"/>
  <c r="U18" i="14"/>
  <c r="K18" i="14"/>
  <c r="I18" i="14"/>
  <c r="P18" i="14"/>
  <c r="M18" i="14"/>
  <c r="J18" i="14"/>
  <c r="S17" i="14"/>
  <c r="T4" i="13"/>
  <c r="U3" i="13"/>
  <c r="T5" i="13"/>
  <c r="T6" i="13"/>
  <c r="T7" i="13"/>
  <c r="T8" i="13"/>
  <c r="T9" i="13"/>
  <c r="T10" i="13"/>
  <c r="T11" i="13"/>
  <c r="T12" i="13"/>
  <c r="T13" i="13"/>
  <c r="T14" i="13"/>
  <c r="T15" i="13"/>
  <c r="T16" i="13"/>
  <c r="K18" i="13"/>
  <c r="S17" i="13"/>
  <c r="T17" i="13"/>
  <c r="N17" i="13"/>
  <c r="M17" i="13"/>
  <c r="I17" i="13"/>
  <c r="Q17" i="13"/>
  <c r="R17" i="13"/>
  <c r="H17" i="13"/>
  <c r="F19" i="12"/>
  <c r="N19" i="12" s="1"/>
  <c r="L18" i="12"/>
  <c r="V18" i="12"/>
  <c r="N18" i="12"/>
  <c r="W4" i="12"/>
  <c r="W6" i="12"/>
  <c r="W5" i="12"/>
  <c r="X3" i="12"/>
  <c r="W7" i="12"/>
  <c r="W8" i="12"/>
  <c r="W9" i="12"/>
  <c r="W10" i="12"/>
  <c r="W11" i="12"/>
  <c r="W12" i="12"/>
  <c r="W13" i="12"/>
  <c r="W14" i="12"/>
  <c r="W15" i="12"/>
  <c r="W16" i="12"/>
  <c r="W17" i="12"/>
  <c r="H18" i="12"/>
  <c r="P18" i="12"/>
  <c r="R18" i="12"/>
  <c r="M18" i="12"/>
  <c r="W18" i="12"/>
  <c r="U18" i="12"/>
  <c r="I18" i="12"/>
  <c r="J18" i="12"/>
  <c r="S18" i="12"/>
  <c r="Q18" i="12"/>
  <c r="G18" i="12"/>
  <c r="O18" i="12"/>
  <c r="K18" i="12"/>
  <c r="T18" i="12"/>
  <c r="J9" i="10"/>
  <c r="I9" i="10"/>
  <c r="K9" i="10"/>
  <c r="L9" i="10"/>
  <c r="G9" i="10"/>
  <c r="K37" i="9"/>
  <c r="H9" i="9"/>
  <c r="G9" i="11"/>
  <c r="L9" i="11"/>
  <c r="K9" i="11"/>
  <c r="F33" i="10"/>
  <c r="G33" i="10" s="1"/>
  <c r="L88" i="11"/>
  <c r="J88" i="11"/>
  <c r="H87" i="11"/>
  <c r="I61" i="11"/>
  <c r="M9" i="11"/>
  <c r="L61" i="11"/>
  <c r="J9" i="11"/>
  <c r="M87" i="11"/>
  <c r="J87" i="11"/>
  <c r="G87" i="11"/>
  <c r="I62" i="11"/>
  <c r="M4" i="11"/>
  <c r="N3" i="11"/>
  <c r="N88" i="11" s="1"/>
  <c r="M5" i="11"/>
  <c r="M6" i="11"/>
  <c r="M58" i="11"/>
  <c r="M84" i="11"/>
  <c r="M85" i="11"/>
  <c r="M7" i="11"/>
  <c r="M59" i="11"/>
  <c r="M60" i="11"/>
  <c r="M8" i="11"/>
  <c r="M86" i="11"/>
  <c r="M88" i="11"/>
  <c r="H62" i="11"/>
  <c r="F10" i="11"/>
  <c r="I10" i="11" s="1"/>
  <c r="H9" i="11"/>
  <c r="M4" i="10"/>
  <c r="N3" i="10"/>
  <c r="M5" i="10"/>
  <c r="M69" i="10"/>
  <c r="M6" i="10"/>
  <c r="M70" i="10"/>
  <c r="M7" i="10"/>
  <c r="M71" i="10"/>
  <c r="M8" i="10"/>
  <c r="M72" i="10"/>
  <c r="J73" i="10"/>
  <c r="I73" i="10"/>
  <c r="M73" i="10"/>
  <c r="K73" i="10"/>
  <c r="G73" i="10"/>
  <c r="L73" i="10"/>
  <c r="F10" i="10"/>
  <c r="J10" i="10" s="1"/>
  <c r="M9" i="10"/>
  <c r="N74" i="10"/>
  <c r="F38" i="9"/>
  <c r="H38" i="9" s="1"/>
  <c r="L4" i="9"/>
  <c r="L5" i="9"/>
  <c r="L33" i="9"/>
  <c r="L6" i="9"/>
  <c r="L34" i="9"/>
  <c r="L35" i="9"/>
  <c r="L7" i="9"/>
  <c r="L36" i="9"/>
  <c r="L8" i="9"/>
  <c r="I37" i="9"/>
  <c r="L9" i="9"/>
  <c r="J37" i="9"/>
  <c r="L37" i="9"/>
  <c r="G9" i="9"/>
  <c r="K9" i="9"/>
  <c r="H37" i="9"/>
  <c r="J9" i="9"/>
  <c r="K9" i="8"/>
  <c r="I9" i="8"/>
  <c r="L4" i="8"/>
  <c r="L5" i="8"/>
  <c r="L6" i="8"/>
  <c r="L7" i="8"/>
  <c r="L8" i="8"/>
  <c r="G9" i="8"/>
  <c r="L9" i="8"/>
  <c r="J9" i="8"/>
  <c r="H9" i="8"/>
  <c r="K9" i="3"/>
  <c r="G9" i="3"/>
  <c r="M9" i="3"/>
  <c r="J9" i="3"/>
  <c r="I9" i="3"/>
  <c r="L9" i="3"/>
  <c r="N3" i="3"/>
  <c r="M4" i="3"/>
  <c r="M5" i="3"/>
  <c r="M6" i="3"/>
  <c r="M7" i="3"/>
  <c r="M8" i="3"/>
  <c r="F10" i="9"/>
  <c r="J10" i="9" s="1"/>
  <c r="M3" i="9"/>
  <c r="F10" i="8"/>
  <c r="I10" i="8" s="1"/>
  <c r="M3" i="8"/>
  <c r="F10" i="3"/>
  <c r="K10" i="3" s="1"/>
  <c r="F16" i="1"/>
  <c r="E17" i="1" s="1"/>
  <c r="F16" i="2"/>
  <c r="E17" i="2" s="1"/>
  <c r="J24" i="18" l="1"/>
  <c r="AD24" i="18"/>
  <c r="AA24" i="18"/>
  <c r="AB24" i="18"/>
  <c r="G24" i="18"/>
  <c r="K24" i="18"/>
  <c r="I24" i="18"/>
  <c r="M24" i="18"/>
  <c r="L24" i="18"/>
  <c r="Y24" i="18"/>
  <c r="W24" i="18"/>
  <c r="R24" i="18"/>
  <c r="T24" i="18"/>
  <c r="P24" i="18"/>
  <c r="H24" i="18"/>
  <c r="U24" i="18"/>
  <c r="Z24" i="18"/>
  <c r="V24" i="18"/>
  <c r="F25" i="18"/>
  <c r="N25" i="18" s="1"/>
  <c r="AE24" i="18"/>
  <c r="AH3" i="18"/>
  <c r="AG4" i="18"/>
  <c r="AG5" i="18"/>
  <c r="AG16" i="18"/>
  <c r="AG6" i="18"/>
  <c r="AG17" i="18"/>
  <c r="AG7" i="18"/>
  <c r="AG8" i="18"/>
  <c r="AG18" i="18"/>
  <c r="AG9" i="18"/>
  <c r="AG19" i="18"/>
  <c r="AG10" i="18"/>
  <c r="AG20" i="18"/>
  <c r="AG21" i="18"/>
  <c r="AG11" i="18"/>
  <c r="AG12" i="18"/>
  <c r="AG22" i="18"/>
  <c r="AG13" i="18"/>
  <c r="AG23" i="18"/>
  <c r="AG14" i="18"/>
  <c r="AG24" i="18"/>
  <c r="AG15" i="18"/>
  <c r="T84" i="17"/>
  <c r="L84" i="17"/>
  <c r="V84" i="17"/>
  <c r="I84" i="17"/>
  <c r="Z29" i="17"/>
  <c r="O84" i="17"/>
  <c r="Z84" i="17"/>
  <c r="Q84" i="17"/>
  <c r="W48" i="17"/>
  <c r="M47" i="17"/>
  <c r="G47" i="17"/>
  <c r="S66" i="17"/>
  <c r="I66" i="17"/>
  <c r="N102" i="17"/>
  <c r="X102" i="17"/>
  <c r="AA47" i="17"/>
  <c r="I102" i="17"/>
  <c r="G102" i="17"/>
  <c r="AB3" i="17"/>
  <c r="AA4" i="17"/>
  <c r="AA5" i="17"/>
  <c r="AA17" i="17"/>
  <c r="AA90" i="17"/>
  <c r="AA35" i="17"/>
  <c r="AA6" i="17"/>
  <c r="AA72" i="17"/>
  <c r="AA54" i="17"/>
  <c r="AA18" i="17"/>
  <c r="AA73" i="17"/>
  <c r="AA7" i="17"/>
  <c r="AA55" i="17"/>
  <c r="AA36" i="17"/>
  <c r="AA91" i="17"/>
  <c r="AA92" i="17"/>
  <c r="AA19" i="17"/>
  <c r="AA37" i="17"/>
  <c r="AA74" i="17"/>
  <c r="AA8" i="17"/>
  <c r="AA56" i="17"/>
  <c r="AA20" i="17"/>
  <c r="AA57" i="17"/>
  <c r="AA93" i="17"/>
  <c r="AA75" i="17"/>
  <c r="AA38" i="17"/>
  <c r="AA9" i="17"/>
  <c r="AA39" i="17"/>
  <c r="AA76" i="17"/>
  <c r="AA94" i="17"/>
  <c r="AA58" i="17"/>
  <c r="AA10" i="17"/>
  <c r="AA21" i="17"/>
  <c r="AA77" i="17"/>
  <c r="AA11" i="17"/>
  <c r="AA40" i="17"/>
  <c r="AA59" i="17"/>
  <c r="AA22" i="17"/>
  <c r="AA95" i="17"/>
  <c r="AA96" i="17"/>
  <c r="AA41" i="17"/>
  <c r="AA78" i="17"/>
  <c r="AA60" i="17"/>
  <c r="AA12" i="17"/>
  <c r="AA23" i="17"/>
  <c r="AA24" i="17"/>
  <c r="AA97" i="17"/>
  <c r="AA42" i="17"/>
  <c r="AA79" i="17"/>
  <c r="AA61" i="17"/>
  <c r="AA13" i="17"/>
  <c r="AA98" i="17"/>
  <c r="AA80" i="17"/>
  <c r="AA43" i="17"/>
  <c r="AA14" i="17"/>
  <c r="AA25" i="17"/>
  <c r="AA62" i="17"/>
  <c r="AA63" i="17"/>
  <c r="AA99" i="17"/>
  <c r="AA26" i="17"/>
  <c r="AA81" i="17"/>
  <c r="AA15" i="17"/>
  <c r="AA44" i="17"/>
  <c r="AA45" i="17"/>
  <c r="AA27" i="17"/>
  <c r="AA64" i="17"/>
  <c r="AA82" i="17"/>
  <c r="AA16" i="17"/>
  <c r="AA100" i="17"/>
  <c r="AA65" i="17"/>
  <c r="AA101" i="17"/>
  <c r="AA28" i="17"/>
  <c r="AA46" i="17"/>
  <c r="AA83" i="17"/>
  <c r="L102" i="17"/>
  <c r="Q102" i="17"/>
  <c r="O102" i="17"/>
  <c r="L29" i="17"/>
  <c r="T29" i="17"/>
  <c r="G29" i="17"/>
  <c r="P29" i="17"/>
  <c r="T102" i="17"/>
  <c r="W102" i="17"/>
  <c r="S29" i="17"/>
  <c r="S84" i="17"/>
  <c r="K84" i="17"/>
  <c r="AA67" i="17"/>
  <c r="V67" i="17"/>
  <c r="O66" i="17"/>
  <c r="U102" i="17"/>
  <c r="S102" i="17"/>
  <c r="AA30" i="17"/>
  <c r="K30" i="17"/>
  <c r="Y30" i="17"/>
  <c r="Q30" i="17"/>
  <c r="I30" i="17"/>
  <c r="X30" i="17"/>
  <c r="P30" i="17"/>
  <c r="W30" i="17"/>
  <c r="L30" i="17"/>
  <c r="G30" i="17"/>
  <c r="Z30" i="17"/>
  <c r="V30" i="17"/>
  <c r="T30" i="17"/>
  <c r="R30" i="17"/>
  <c r="O30" i="17"/>
  <c r="N30" i="17"/>
  <c r="M30" i="17"/>
  <c r="J30" i="17"/>
  <c r="AB85" i="17"/>
  <c r="L85" i="17"/>
  <c r="S85" i="17"/>
  <c r="K85" i="17"/>
  <c r="Y85" i="17"/>
  <c r="I85" i="17"/>
  <c r="Z85" i="17"/>
  <c r="N85" i="17"/>
  <c r="X85" i="17"/>
  <c r="M85" i="17"/>
  <c r="W85" i="17"/>
  <c r="J85" i="17"/>
  <c r="V85" i="17"/>
  <c r="H85" i="17"/>
  <c r="U85" i="17"/>
  <c r="R85" i="17"/>
  <c r="P85" i="17"/>
  <c r="Y102" i="17"/>
  <c r="J102" i="17"/>
  <c r="M102" i="17"/>
  <c r="K102" i="17"/>
  <c r="H102" i="17"/>
  <c r="Q29" i="17"/>
  <c r="I29" i="17"/>
  <c r="W29" i="17"/>
  <c r="V29" i="17"/>
  <c r="M103" i="17"/>
  <c r="K103" i="17"/>
  <c r="I103" i="17"/>
  <c r="V103" i="17"/>
  <c r="AA102" i="17"/>
  <c r="V102" i="17"/>
  <c r="P102" i="17"/>
  <c r="Z102" i="17"/>
  <c r="U18" i="13"/>
  <c r="R18" i="13"/>
  <c r="I18" i="13"/>
  <c r="M18" i="13"/>
  <c r="G18" i="13"/>
  <c r="T18" i="13"/>
  <c r="X19" i="12"/>
  <c r="M10" i="11"/>
  <c r="V3" i="15"/>
  <c r="U4" i="15"/>
  <c r="U5" i="15"/>
  <c r="U15" i="15"/>
  <c r="U6" i="15"/>
  <c r="U27" i="15"/>
  <c r="U16" i="15"/>
  <c r="U7" i="15"/>
  <c r="U28" i="15"/>
  <c r="U17" i="15"/>
  <c r="U8" i="15"/>
  <c r="U29" i="15"/>
  <c r="U30" i="15"/>
  <c r="U9" i="15"/>
  <c r="U18" i="15"/>
  <c r="U10" i="15"/>
  <c r="U19" i="15"/>
  <c r="U31" i="15"/>
  <c r="U32" i="15"/>
  <c r="U11" i="15"/>
  <c r="U20" i="15"/>
  <c r="U21" i="15"/>
  <c r="U12" i="15"/>
  <c r="U13" i="15"/>
  <c r="U22" i="15"/>
  <c r="U23" i="15"/>
  <c r="U14" i="15"/>
  <c r="U24" i="15"/>
  <c r="U25" i="15"/>
  <c r="U26" i="15"/>
  <c r="R18" i="14"/>
  <c r="Q18" i="14"/>
  <c r="L18" i="14"/>
  <c r="T18" i="14"/>
  <c r="G18" i="14"/>
  <c r="O18" i="14"/>
  <c r="N19" i="14"/>
  <c r="J19" i="14"/>
  <c r="K19" i="14"/>
  <c r="S19" i="14"/>
  <c r="H18" i="14"/>
  <c r="S18" i="14"/>
  <c r="N18" i="14"/>
  <c r="W3" i="14"/>
  <c r="V4" i="14"/>
  <c r="V5" i="14"/>
  <c r="V21" i="14"/>
  <c r="V6" i="14"/>
  <c r="V22" i="14"/>
  <c r="V7" i="14"/>
  <c r="V8" i="14"/>
  <c r="V23" i="14"/>
  <c r="V24" i="14"/>
  <c r="V9" i="14"/>
  <c r="V10" i="14"/>
  <c r="V25" i="14"/>
  <c r="V11" i="14"/>
  <c r="V26" i="14"/>
  <c r="V12" i="14"/>
  <c r="V27" i="14"/>
  <c r="V13" i="14"/>
  <c r="V28" i="14"/>
  <c r="V29" i="14"/>
  <c r="V14" i="14"/>
  <c r="V15" i="14"/>
  <c r="V30" i="14"/>
  <c r="V31" i="14"/>
  <c r="V16" i="14"/>
  <c r="V32" i="14"/>
  <c r="V17" i="14"/>
  <c r="P18" i="13"/>
  <c r="Q18" i="13"/>
  <c r="L18" i="13"/>
  <c r="I19" i="13"/>
  <c r="O19" i="13"/>
  <c r="R19" i="13"/>
  <c r="P19" i="13"/>
  <c r="J18" i="13"/>
  <c r="O18" i="13"/>
  <c r="S18" i="13"/>
  <c r="N18" i="13"/>
  <c r="U4" i="13"/>
  <c r="V3" i="13"/>
  <c r="V19" i="13" s="1"/>
  <c r="U5" i="13"/>
  <c r="U6" i="13"/>
  <c r="U7" i="13"/>
  <c r="U10" i="13"/>
  <c r="U11" i="13"/>
  <c r="U12" i="13"/>
  <c r="U13" i="13"/>
  <c r="U14" i="13"/>
  <c r="U15" i="13"/>
  <c r="U16" i="13"/>
  <c r="U17" i="13"/>
  <c r="H18" i="13"/>
  <c r="M19" i="12"/>
  <c r="P19" i="12"/>
  <c r="T19" i="12"/>
  <c r="R19" i="12"/>
  <c r="F20" i="12"/>
  <c r="I20" i="12" s="1"/>
  <c r="G19" i="12"/>
  <c r="K19" i="12"/>
  <c r="U19" i="12"/>
  <c r="V19" i="12"/>
  <c r="O19" i="12"/>
  <c r="S19" i="12"/>
  <c r="Y3" i="12"/>
  <c r="X5" i="12"/>
  <c r="X4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I19" i="12"/>
  <c r="W19" i="12"/>
  <c r="Q19" i="12"/>
  <c r="J19" i="12"/>
  <c r="H19" i="12"/>
  <c r="L19" i="12"/>
  <c r="K38" i="9"/>
  <c r="M10" i="10"/>
  <c r="K10" i="10"/>
  <c r="G10" i="10"/>
  <c r="N10" i="10"/>
  <c r="L10" i="10"/>
  <c r="I10" i="10"/>
  <c r="M33" i="10"/>
  <c r="J33" i="10"/>
  <c r="G38" i="9"/>
  <c r="L38" i="9"/>
  <c r="N10" i="3"/>
  <c r="K10" i="11"/>
  <c r="L10" i="11"/>
  <c r="N10" i="11"/>
  <c r="H10" i="11"/>
  <c r="G10" i="11"/>
  <c r="K33" i="10"/>
  <c r="I33" i="10"/>
  <c r="H33" i="10"/>
  <c r="F34" i="10"/>
  <c r="J34" i="10" s="1"/>
  <c r="L33" i="10"/>
  <c r="J10" i="11"/>
  <c r="L62" i="11"/>
  <c r="N62" i="11"/>
  <c r="K62" i="11"/>
  <c r="J62" i="11"/>
  <c r="H88" i="11"/>
  <c r="K88" i="11"/>
  <c r="O3" i="11"/>
  <c r="N4" i="11"/>
  <c r="N5" i="11"/>
  <c r="N6" i="11"/>
  <c r="N84" i="11"/>
  <c r="N58" i="11"/>
  <c r="N7" i="11"/>
  <c r="N59" i="11"/>
  <c r="N85" i="11"/>
  <c r="N8" i="11"/>
  <c r="N86" i="11"/>
  <c r="N60" i="11"/>
  <c r="N61" i="11"/>
  <c r="N9" i="11"/>
  <c r="N87" i="11"/>
  <c r="G62" i="11"/>
  <c r="M62" i="11"/>
  <c r="J63" i="11"/>
  <c r="N63" i="11"/>
  <c r="K63" i="11"/>
  <c r="F11" i="11"/>
  <c r="O11" i="11" s="1"/>
  <c r="I89" i="11"/>
  <c r="O89" i="11"/>
  <c r="G89" i="11"/>
  <c r="M89" i="11"/>
  <c r="N89" i="11"/>
  <c r="K89" i="11"/>
  <c r="J89" i="11"/>
  <c r="G88" i="11"/>
  <c r="I88" i="11"/>
  <c r="L74" i="10"/>
  <c r="G74" i="10"/>
  <c r="H75" i="10"/>
  <c r="I74" i="10"/>
  <c r="J74" i="10"/>
  <c r="M74" i="10"/>
  <c r="H74" i="10"/>
  <c r="K74" i="10"/>
  <c r="F11" i="10"/>
  <c r="J11" i="10" s="1"/>
  <c r="H10" i="10"/>
  <c r="N4" i="10"/>
  <c r="O3" i="10"/>
  <c r="N5" i="10"/>
  <c r="N69" i="10"/>
  <c r="N33" i="10"/>
  <c r="N70" i="10"/>
  <c r="N6" i="10"/>
  <c r="N71" i="10"/>
  <c r="N7" i="10"/>
  <c r="N72" i="10"/>
  <c r="N8" i="10"/>
  <c r="N9" i="10"/>
  <c r="N73" i="10"/>
  <c r="K10" i="9"/>
  <c r="I38" i="9"/>
  <c r="M10" i="9"/>
  <c r="G10" i="9"/>
  <c r="I10" i="9"/>
  <c r="L10" i="9"/>
  <c r="M4" i="9"/>
  <c r="M33" i="9"/>
  <c r="M5" i="9"/>
  <c r="M34" i="9"/>
  <c r="M6" i="9"/>
  <c r="M35" i="9"/>
  <c r="M7" i="9"/>
  <c r="M8" i="9"/>
  <c r="M36" i="9"/>
  <c r="M9" i="9"/>
  <c r="M37" i="9"/>
  <c r="M38" i="9"/>
  <c r="J38" i="9"/>
  <c r="H10" i="9"/>
  <c r="F39" i="9"/>
  <c r="G39" i="9" s="1"/>
  <c r="M4" i="8"/>
  <c r="M5" i="8"/>
  <c r="M6" i="8"/>
  <c r="M7" i="8"/>
  <c r="M8" i="8"/>
  <c r="M9" i="8"/>
  <c r="K10" i="8"/>
  <c r="G10" i="8"/>
  <c r="M10" i="8"/>
  <c r="J10" i="8"/>
  <c r="H10" i="8"/>
  <c r="L10" i="8"/>
  <c r="M10" i="3"/>
  <c r="I10" i="3"/>
  <c r="H10" i="3"/>
  <c r="O3" i="3"/>
  <c r="N4" i="3"/>
  <c r="N5" i="3"/>
  <c r="N6" i="3"/>
  <c r="N7" i="3"/>
  <c r="N8" i="3"/>
  <c r="N9" i="3"/>
  <c r="G10" i="3"/>
  <c r="L10" i="3"/>
  <c r="J10" i="3"/>
  <c r="N3" i="9"/>
  <c r="F11" i="9"/>
  <c r="I11" i="9" s="1"/>
  <c r="F11" i="8"/>
  <c r="N3" i="8"/>
  <c r="F11" i="3"/>
  <c r="G11" i="3" s="1"/>
  <c r="G16" i="2"/>
  <c r="G16" i="1"/>
  <c r="F17" i="1"/>
  <c r="E19" i="1" s="1"/>
  <c r="F19" i="1" s="1"/>
  <c r="E20" i="1" s="1"/>
  <c r="F20" i="1" s="1"/>
  <c r="F17" i="2"/>
  <c r="E19" i="2" s="1"/>
  <c r="F19" i="2" s="1"/>
  <c r="E20" i="2" s="1"/>
  <c r="F20" i="2" s="1"/>
  <c r="AG25" i="18" l="1"/>
  <c r="AC25" i="18"/>
  <c r="Y25" i="18"/>
  <c r="W25" i="18"/>
  <c r="AD25" i="18"/>
  <c r="Q25" i="18"/>
  <c r="U25" i="18"/>
  <c r="V25" i="18"/>
  <c r="L25" i="18"/>
  <c r="M25" i="18"/>
  <c r="S25" i="18"/>
  <c r="R25" i="18"/>
  <c r="X25" i="18"/>
  <c r="T25" i="18"/>
  <c r="AE25" i="18"/>
  <c r="P25" i="18"/>
  <c r="Z25" i="18"/>
  <c r="I25" i="18"/>
  <c r="AB25" i="18"/>
  <c r="K25" i="18"/>
  <c r="G25" i="18"/>
  <c r="O25" i="18"/>
  <c r="H25" i="18"/>
  <c r="J25" i="18"/>
  <c r="AA25" i="18"/>
  <c r="AC26" i="18"/>
  <c r="V26" i="18"/>
  <c r="AA26" i="18"/>
  <c r="AF25" i="18"/>
  <c r="AI3" i="18"/>
  <c r="AH4" i="18"/>
  <c r="AH5" i="18"/>
  <c r="AH6" i="18"/>
  <c r="AH16" i="18"/>
  <c r="AH7" i="18"/>
  <c r="AH17" i="18"/>
  <c r="AH18" i="18"/>
  <c r="AH8" i="18"/>
  <c r="AH9" i="18"/>
  <c r="AH19" i="18"/>
  <c r="AH10" i="18"/>
  <c r="AH20" i="18"/>
  <c r="AH21" i="18"/>
  <c r="AH11" i="18"/>
  <c r="AH12" i="18"/>
  <c r="AH22" i="18"/>
  <c r="AH13" i="18"/>
  <c r="AH23" i="18"/>
  <c r="AH24" i="18"/>
  <c r="AH14" i="18"/>
  <c r="AH25" i="18"/>
  <c r="AH15" i="18"/>
  <c r="AH26" i="18"/>
  <c r="S67" i="17"/>
  <c r="L67" i="17"/>
  <c r="G103" i="17"/>
  <c r="J103" i="17"/>
  <c r="L103" i="17"/>
  <c r="R86" i="17"/>
  <c r="M86" i="17"/>
  <c r="T86" i="17"/>
  <c r="AA86" i="17"/>
  <c r="G86" i="17"/>
  <c r="H86" i="17"/>
  <c r="Q86" i="17"/>
  <c r="O86" i="17"/>
  <c r="AB86" i="17"/>
  <c r="O85" i="17"/>
  <c r="AA85" i="17"/>
  <c r="K31" i="17"/>
  <c r="U31" i="17"/>
  <c r="O31" i="17"/>
  <c r="H30" i="17"/>
  <c r="H48" i="17"/>
  <c r="S48" i="17"/>
  <c r="L48" i="17"/>
  <c r="N48" i="17"/>
  <c r="W103" i="17"/>
  <c r="R103" i="17"/>
  <c r="T103" i="17"/>
  <c r="H68" i="17"/>
  <c r="W68" i="17"/>
  <c r="X68" i="17"/>
  <c r="R68" i="17"/>
  <c r="I68" i="17"/>
  <c r="K67" i="17"/>
  <c r="J67" i="17"/>
  <c r="T48" i="17"/>
  <c r="V48" i="17"/>
  <c r="O103" i="17"/>
  <c r="Z103" i="17"/>
  <c r="AB103" i="17"/>
  <c r="AC3" i="17"/>
  <c r="AC86" i="17" s="1"/>
  <c r="AB4" i="17"/>
  <c r="AB5" i="17"/>
  <c r="AB6" i="17"/>
  <c r="AB35" i="17"/>
  <c r="AB17" i="17"/>
  <c r="AB72" i="17"/>
  <c r="AB54" i="17"/>
  <c r="AB90" i="17"/>
  <c r="AB55" i="17"/>
  <c r="AB91" i="17"/>
  <c r="AB36" i="17"/>
  <c r="AB18" i="17"/>
  <c r="AB73" i="17"/>
  <c r="AB7" i="17"/>
  <c r="AB74" i="17"/>
  <c r="AB37" i="17"/>
  <c r="AB8" i="17"/>
  <c r="AB56" i="17"/>
  <c r="AB92" i="17"/>
  <c r="AB19" i="17"/>
  <c r="AB57" i="17"/>
  <c r="AB75" i="17"/>
  <c r="AB9" i="17"/>
  <c r="AB20" i="17"/>
  <c r="AB38" i="17"/>
  <c r="AB93" i="17"/>
  <c r="AB39" i="17"/>
  <c r="AB10" i="17"/>
  <c r="AB58" i="17"/>
  <c r="AB21" i="17"/>
  <c r="AB94" i="17"/>
  <c r="AB76" i="17"/>
  <c r="AB22" i="17"/>
  <c r="AB59" i="17"/>
  <c r="AB40" i="17"/>
  <c r="AB77" i="17"/>
  <c r="AB95" i="17"/>
  <c r="AB11" i="17"/>
  <c r="AB78" i="17"/>
  <c r="AB60" i="17"/>
  <c r="AB41" i="17"/>
  <c r="AB23" i="17"/>
  <c r="AB12" i="17"/>
  <c r="AB96" i="17"/>
  <c r="AB42" i="17"/>
  <c r="AB97" i="17"/>
  <c r="AB61" i="17"/>
  <c r="AB79" i="17"/>
  <c r="AB24" i="17"/>
  <c r="AB13" i="17"/>
  <c r="AB98" i="17"/>
  <c r="AB80" i="17"/>
  <c r="AB62" i="17"/>
  <c r="AB14" i="17"/>
  <c r="AB25" i="17"/>
  <c r="AB43" i="17"/>
  <c r="AB44" i="17"/>
  <c r="AB63" i="17"/>
  <c r="AB15" i="17"/>
  <c r="AB26" i="17"/>
  <c r="AB99" i="17"/>
  <c r="AB81" i="17"/>
  <c r="AB82" i="17"/>
  <c r="AB64" i="17"/>
  <c r="AB100" i="17"/>
  <c r="AB16" i="17"/>
  <c r="AB45" i="17"/>
  <c r="AB27" i="17"/>
  <c r="AB28" i="17"/>
  <c r="AB83" i="17"/>
  <c r="AB65" i="17"/>
  <c r="AB101" i="17"/>
  <c r="AB46" i="17"/>
  <c r="AB47" i="17"/>
  <c r="AB29" i="17"/>
  <c r="AB66" i="17"/>
  <c r="AB102" i="17"/>
  <c r="AB84" i="17"/>
  <c r="I48" i="17"/>
  <c r="G48" i="17"/>
  <c r="AB48" i="17"/>
  <c r="N103" i="17"/>
  <c r="H103" i="17"/>
  <c r="M67" i="17"/>
  <c r="Q67" i="17"/>
  <c r="U67" i="17"/>
  <c r="R67" i="17"/>
  <c r="Q103" i="17"/>
  <c r="X103" i="17"/>
  <c r="G85" i="17"/>
  <c r="Q85" i="17"/>
  <c r="T85" i="17"/>
  <c r="AB30" i="17"/>
  <c r="U30" i="17"/>
  <c r="S30" i="17"/>
  <c r="N67" i="17"/>
  <c r="W67" i="17"/>
  <c r="AB67" i="17"/>
  <c r="Z67" i="17"/>
  <c r="K48" i="17"/>
  <c r="Y48" i="17"/>
  <c r="H67" i="17"/>
  <c r="P48" i="17"/>
  <c r="AA48" i="17"/>
  <c r="J48" i="17"/>
  <c r="M48" i="17"/>
  <c r="O48" i="17"/>
  <c r="Y103" i="17"/>
  <c r="S103" i="17"/>
  <c r="U103" i="17"/>
  <c r="O67" i="17"/>
  <c r="G67" i="17"/>
  <c r="I67" i="17"/>
  <c r="P67" i="17"/>
  <c r="X48" i="17"/>
  <c r="R48" i="17"/>
  <c r="U48" i="17"/>
  <c r="Y67" i="17"/>
  <c r="T67" i="17"/>
  <c r="X67" i="17"/>
  <c r="J49" i="17"/>
  <c r="Y49" i="17"/>
  <c r="X49" i="17"/>
  <c r="AB49" i="17"/>
  <c r="T49" i="17"/>
  <c r="Z49" i="17"/>
  <c r="Q48" i="17"/>
  <c r="Z48" i="17"/>
  <c r="P103" i="17"/>
  <c r="AA103" i="17"/>
  <c r="N39" i="9"/>
  <c r="V4" i="15"/>
  <c r="W3" i="15"/>
  <c r="V5" i="15"/>
  <c r="V27" i="15"/>
  <c r="V15" i="15"/>
  <c r="V6" i="15"/>
  <c r="V28" i="15"/>
  <c r="V16" i="15"/>
  <c r="V7" i="15"/>
  <c r="V29" i="15"/>
  <c r="V8" i="15"/>
  <c r="V17" i="15"/>
  <c r="V30" i="15"/>
  <c r="V18" i="15"/>
  <c r="V9" i="15"/>
  <c r="V31" i="15"/>
  <c r="V10" i="15"/>
  <c r="V19" i="15"/>
  <c r="V11" i="15"/>
  <c r="V20" i="15"/>
  <c r="V32" i="15"/>
  <c r="V12" i="15"/>
  <c r="V21" i="15"/>
  <c r="V22" i="15"/>
  <c r="V13" i="15"/>
  <c r="V23" i="15"/>
  <c r="V14" i="15"/>
  <c r="V24" i="15"/>
  <c r="V25" i="15"/>
  <c r="V26" i="15"/>
  <c r="M19" i="14"/>
  <c r="V19" i="14"/>
  <c r="I19" i="14"/>
  <c r="X3" i="14"/>
  <c r="W4" i="14"/>
  <c r="W5" i="14"/>
  <c r="W21" i="14"/>
  <c r="W6" i="14"/>
  <c r="W7" i="14"/>
  <c r="W22" i="14"/>
  <c r="W23" i="14"/>
  <c r="W8" i="14"/>
  <c r="W9" i="14"/>
  <c r="W24" i="14"/>
  <c r="W10" i="14"/>
  <c r="W25" i="14"/>
  <c r="W11" i="14"/>
  <c r="W26" i="14"/>
  <c r="W12" i="14"/>
  <c r="W27" i="14"/>
  <c r="W28" i="14"/>
  <c r="W13" i="14"/>
  <c r="W14" i="14"/>
  <c r="W29" i="14"/>
  <c r="W30" i="14"/>
  <c r="W15" i="14"/>
  <c r="W31" i="14"/>
  <c r="W16" i="14"/>
  <c r="W17" i="14"/>
  <c r="W32" i="14"/>
  <c r="W18" i="14"/>
  <c r="U19" i="14"/>
  <c r="Q19" i="14"/>
  <c r="L19" i="14"/>
  <c r="T19" i="14"/>
  <c r="G19" i="14"/>
  <c r="H19" i="14"/>
  <c r="O19" i="14"/>
  <c r="P19" i="14"/>
  <c r="W19" i="14"/>
  <c r="U20" i="14"/>
  <c r="M20" i="14"/>
  <c r="T20" i="14"/>
  <c r="L20" i="14"/>
  <c r="R20" i="14"/>
  <c r="J20" i="14"/>
  <c r="Q20" i="14"/>
  <c r="I20" i="14"/>
  <c r="W20" i="14"/>
  <c r="O20" i="14"/>
  <c r="G20" i="14"/>
  <c r="P20" i="14"/>
  <c r="N20" i="14"/>
  <c r="K20" i="14"/>
  <c r="H20" i="14"/>
  <c r="X20" i="14"/>
  <c r="V20" i="14"/>
  <c r="S20" i="14"/>
  <c r="R19" i="14"/>
  <c r="M19" i="13"/>
  <c r="Q19" i="13"/>
  <c r="H19" i="13"/>
  <c r="U19" i="13"/>
  <c r="L19" i="13"/>
  <c r="W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T19" i="13"/>
  <c r="G19" i="13"/>
  <c r="J19" i="13"/>
  <c r="K19" i="13"/>
  <c r="G20" i="13"/>
  <c r="S19" i="13"/>
  <c r="N19" i="13"/>
  <c r="P20" i="12"/>
  <c r="S20" i="12"/>
  <c r="K20" i="12"/>
  <c r="M20" i="12"/>
  <c r="X20" i="12"/>
  <c r="J20" i="12"/>
  <c r="Y4" i="12"/>
  <c r="Z3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L20" i="12"/>
  <c r="U20" i="12"/>
  <c r="G20" i="12"/>
  <c r="R20" i="12"/>
  <c r="O20" i="12"/>
  <c r="W20" i="12"/>
  <c r="F21" i="12"/>
  <c r="M21" i="12" s="1"/>
  <c r="Q20" i="12"/>
  <c r="T20" i="12"/>
  <c r="N20" i="12"/>
  <c r="Y20" i="12"/>
  <c r="V20" i="12"/>
  <c r="H20" i="12"/>
  <c r="H11" i="10"/>
  <c r="G11" i="10"/>
  <c r="I11" i="10"/>
  <c r="K11" i="10"/>
  <c r="N34" i="10"/>
  <c r="L11" i="10"/>
  <c r="L34" i="10"/>
  <c r="M11" i="10"/>
  <c r="N11" i="10"/>
  <c r="K34" i="10"/>
  <c r="H34" i="10"/>
  <c r="N11" i="9"/>
  <c r="N11" i="8"/>
  <c r="K11" i="11"/>
  <c r="G11" i="11"/>
  <c r="H11" i="11"/>
  <c r="I11" i="11"/>
  <c r="J11" i="11"/>
  <c r="L11" i="11"/>
  <c r="M11" i="11"/>
  <c r="F35" i="10"/>
  <c r="M35" i="10" s="1"/>
  <c r="M34" i="10"/>
  <c r="G34" i="10"/>
  <c r="I34" i="10"/>
  <c r="O63" i="11"/>
  <c r="G64" i="11"/>
  <c r="I63" i="11"/>
  <c r="P3" i="11"/>
  <c r="O4" i="11"/>
  <c r="O5" i="11"/>
  <c r="O84" i="11"/>
  <c r="O58" i="11"/>
  <c r="O6" i="11"/>
  <c r="O85" i="11"/>
  <c r="O7" i="11"/>
  <c r="O59" i="11"/>
  <c r="O60" i="11"/>
  <c r="O8" i="11"/>
  <c r="O86" i="11"/>
  <c r="O87" i="11"/>
  <c r="O9" i="11"/>
  <c r="O61" i="11"/>
  <c r="O62" i="11"/>
  <c r="O88" i="11"/>
  <c r="O10" i="11"/>
  <c r="O35" i="11"/>
  <c r="G35" i="11"/>
  <c r="M35" i="11"/>
  <c r="I35" i="11"/>
  <c r="H35" i="11"/>
  <c r="K35" i="11"/>
  <c r="L90" i="11"/>
  <c r="M63" i="11"/>
  <c r="L63" i="11"/>
  <c r="H89" i="11"/>
  <c r="I90" i="11"/>
  <c r="J64" i="11"/>
  <c r="F12" i="11"/>
  <c r="H63" i="11"/>
  <c r="L89" i="11"/>
  <c r="N11" i="11"/>
  <c r="G63" i="11"/>
  <c r="J75" i="10"/>
  <c r="G75" i="10"/>
  <c r="I75" i="10"/>
  <c r="O11" i="10"/>
  <c r="N75" i="10"/>
  <c r="M75" i="10"/>
  <c r="L75" i="10"/>
  <c r="O4" i="10"/>
  <c r="P3" i="10"/>
  <c r="O5" i="10"/>
  <c r="O69" i="10"/>
  <c r="O33" i="10"/>
  <c r="O70" i="10"/>
  <c r="O6" i="10"/>
  <c r="O34" i="10"/>
  <c r="O7" i="10"/>
  <c r="O71" i="10"/>
  <c r="O8" i="10"/>
  <c r="O72" i="10"/>
  <c r="O9" i="10"/>
  <c r="O73" i="10"/>
  <c r="O74" i="10"/>
  <c r="O10" i="10"/>
  <c r="F12" i="10"/>
  <c r="O12" i="10" s="1"/>
  <c r="O75" i="10"/>
  <c r="M76" i="10"/>
  <c r="K75" i="10"/>
  <c r="K39" i="9"/>
  <c r="M39" i="9"/>
  <c r="I39" i="9"/>
  <c r="N4" i="9"/>
  <c r="N5" i="9"/>
  <c r="N33" i="9"/>
  <c r="N6" i="9"/>
  <c r="N34" i="9"/>
  <c r="N35" i="9"/>
  <c r="N7" i="9"/>
  <c r="N8" i="9"/>
  <c r="N36" i="9"/>
  <c r="N37" i="9"/>
  <c r="N9" i="9"/>
  <c r="N38" i="9"/>
  <c r="N10" i="9"/>
  <c r="L11" i="9"/>
  <c r="G11" i="9"/>
  <c r="M11" i="9"/>
  <c r="F40" i="9"/>
  <c r="H40" i="9" s="1"/>
  <c r="L39" i="9"/>
  <c r="J39" i="9"/>
  <c r="J11" i="9"/>
  <c r="K11" i="9"/>
  <c r="H39" i="9"/>
  <c r="H11" i="9"/>
  <c r="L11" i="8"/>
  <c r="J11" i="8"/>
  <c r="H11" i="8"/>
  <c r="N4" i="8"/>
  <c r="N5" i="8"/>
  <c r="N6" i="8"/>
  <c r="N7" i="8"/>
  <c r="N8" i="8"/>
  <c r="N9" i="8"/>
  <c r="N10" i="8"/>
  <c r="G11" i="8"/>
  <c r="M11" i="8"/>
  <c r="K11" i="8"/>
  <c r="I11" i="8"/>
  <c r="P3" i="3"/>
  <c r="O4" i="3"/>
  <c r="O5" i="3"/>
  <c r="O6" i="3"/>
  <c r="O7" i="3"/>
  <c r="O8" i="3"/>
  <c r="O9" i="3"/>
  <c r="O10" i="3"/>
  <c r="O11" i="3"/>
  <c r="I11" i="3"/>
  <c r="J11" i="3"/>
  <c r="L11" i="3"/>
  <c r="H11" i="3"/>
  <c r="N11" i="3"/>
  <c r="K11" i="3"/>
  <c r="M11" i="3"/>
  <c r="O3" i="9"/>
  <c r="F12" i="9"/>
  <c r="K12" i="9" s="1"/>
  <c r="O3" i="8"/>
  <c r="F12" i="8"/>
  <c r="K12" i="8" s="1"/>
  <c r="F12" i="3"/>
  <c r="O12" i="3" s="1"/>
  <c r="G17" i="2"/>
  <c r="G17" i="1"/>
  <c r="AF26" i="18" l="1"/>
  <c r="K26" i="18"/>
  <c r="T26" i="18"/>
  <c r="I26" i="18"/>
  <c r="N26" i="18"/>
  <c r="L26" i="18"/>
  <c r="Q26" i="18"/>
  <c r="W26" i="18"/>
  <c r="H26" i="18"/>
  <c r="J26" i="18"/>
  <c r="Y26" i="18"/>
  <c r="U26" i="18"/>
  <c r="O26" i="18"/>
  <c r="R26" i="18"/>
  <c r="G26" i="18"/>
  <c r="Z26" i="18"/>
  <c r="S26" i="18"/>
  <c r="AB26" i="18"/>
  <c r="P26" i="18"/>
  <c r="M26" i="18"/>
  <c r="AD26" i="18"/>
  <c r="X26" i="18"/>
  <c r="AE26" i="18"/>
  <c r="F27" i="18"/>
  <c r="M27" i="18" s="1"/>
  <c r="AG26" i="18"/>
  <c r="AJ3" i="18"/>
  <c r="AI4" i="18"/>
  <c r="AI5" i="18"/>
  <c r="AI6" i="18"/>
  <c r="AI16" i="18"/>
  <c r="AI7" i="18"/>
  <c r="AI17" i="18"/>
  <c r="AI8" i="18"/>
  <c r="AI18" i="18"/>
  <c r="AI19" i="18"/>
  <c r="AI9" i="18"/>
  <c r="AI10" i="18"/>
  <c r="AI20" i="18"/>
  <c r="AI21" i="18"/>
  <c r="AI11" i="18"/>
  <c r="AI12" i="18"/>
  <c r="AI22" i="18"/>
  <c r="AI23" i="18"/>
  <c r="AI13" i="18"/>
  <c r="AI14" i="18"/>
  <c r="AI24" i="18"/>
  <c r="AI15" i="18"/>
  <c r="AI25" i="18"/>
  <c r="AI26" i="18"/>
  <c r="W32" i="17"/>
  <c r="S32" i="17"/>
  <c r="J32" i="17"/>
  <c r="N49" i="17"/>
  <c r="K49" i="17"/>
  <c r="G49" i="17"/>
  <c r="R49" i="17"/>
  <c r="N68" i="17"/>
  <c r="G68" i="17"/>
  <c r="K68" i="17"/>
  <c r="G31" i="17"/>
  <c r="S31" i="17"/>
  <c r="N31" i="17"/>
  <c r="N86" i="17"/>
  <c r="U86" i="17"/>
  <c r="Z86" i="17"/>
  <c r="S49" i="17"/>
  <c r="M49" i="17"/>
  <c r="O49" i="17"/>
  <c r="V68" i="17"/>
  <c r="O68" i="17"/>
  <c r="S68" i="17"/>
  <c r="X31" i="17"/>
  <c r="P31" i="17"/>
  <c r="I31" i="17"/>
  <c r="AA31" i="17"/>
  <c r="V31" i="17"/>
  <c r="V50" i="17"/>
  <c r="P50" i="17"/>
  <c r="AC50" i="17"/>
  <c r="AB50" i="17"/>
  <c r="L50" i="17"/>
  <c r="AA50" i="17"/>
  <c r="Z50" i="17"/>
  <c r="J50" i="17"/>
  <c r="X50" i="17"/>
  <c r="H50" i="17"/>
  <c r="W50" i="17"/>
  <c r="Q68" i="17"/>
  <c r="Y68" i="17"/>
  <c r="AA68" i="17"/>
  <c r="W31" i="17"/>
  <c r="U87" i="17"/>
  <c r="AA87" i="17"/>
  <c r="S87" i="17"/>
  <c r="L87" i="17"/>
  <c r="R87" i="17"/>
  <c r="H87" i="17"/>
  <c r="G87" i="17"/>
  <c r="Y87" i="17"/>
  <c r="O87" i="17"/>
  <c r="M87" i="17"/>
  <c r="X87" i="17"/>
  <c r="T87" i="17"/>
  <c r="N87" i="17"/>
  <c r="L86" i="17"/>
  <c r="P86" i="17"/>
  <c r="U49" i="17"/>
  <c r="W49" i="17"/>
  <c r="I49" i="17"/>
  <c r="L49" i="17"/>
  <c r="AC49" i="17"/>
  <c r="Q49" i="17"/>
  <c r="H31" i="17"/>
  <c r="Q31" i="17"/>
  <c r="L31" i="17"/>
  <c r="Y86" i="17"/>
  <c r="V86" i="17"/>
  <c r="X86" i="17"/>
  <c r="AD3" i="17"/>
  <c r="AC4" i="17"/>
  <c r="AC5" i="17"/>
  <c r="AC17" i="17"/>
  <c r="AC35" i="17"/>
  <c r="AC90" i="17"/>
  <c r="AC54" i="17"/>
  <c r="AC6" i="17"/>
  <c r="AC72" i="17"/>
  <c r="AC36" i="17"/>
  <c r="AC18" i="17"/>
  <c r="AC73" i="17"/>
  <c r="AC7" i="17"/>
  <c r="AC55" i="17"/>
  <c r="AC91" i="17"/>
  <c r="AC19" i="17"/>
  <c r="AC37" i="17"/>
  <c r="AC56" i="17"/>
  <c r="AC74" i="17"/>
  <c r="AC92" i="17"/>
  <c r="AC8" i="17"/>
  <c r="AC20" i="17"/>
  <c r="AC38" i="17"/>
  <c r="AC57" i="17"/>
  <c r="AC93" i="17"/>
  <c r="AC75" i="17"/>
  <c r="AC9" i="17"/>
  <c r="AC58" i="17"/>
  <c r="AC21" i="17"/>
  <c r="AC39" i="17"/>
  <c r="AC76" i="17"/>
  <c r="AC10" i="17"/>
  <c r="AC94" i="17"/>
  <c r="AC11" i="17"/>
  <c r="AC40" i="17"/>
  <c r="AC95" i="17"/>
  <c r="AC59" i="17"/>
  <c r="AC77" i="17"/>
  <c r="AC22" i="17"/>
  <c r="AC60" i="17"/>
  <c r="AC96" i="17"/>
  <c r="AC12" i="17"/>
  <c r="AC78" i="17"/>
  <c r="AC41" i="17"/>
  <c r="AC23" i="17"/>
  <c r="AC61" i="17"/>
  <c r="AC13" i="17"/>
  <c r="AC97" i="17"/>
  <c r="AC79" i="17"/>
  <c r="AC42" i="17"/>
  <c r="AC24" i="17"/>
  <c r="AC62" i="17"/>
  <c r="AC98" i="17"/>
  <c r="AC80" i="17"/>
  <c r="AC14" i="17"/>
  <c r="AC43" i="17"/>
  <c r="AC25" i="17"/>
  <c r="AC63" i="17"/>
  <c r="AC44" i="17"/>
  <c r="AC15" i="17"/>
  <c r="AC81" i="17"/>
  <c r="AC99" i="17"/>
  <c r="AC26" i="17"/>
  <c r="AC27" i="17"/>
  <c r="AC82" i="17"/>
  <c r="AC64" i="17"/>
  <c r="AC16" i="17"/>
  <c r="AC100" i="17"/>
  <c r="AC45" i="17"/>
  <c r="AC46" i="17"/>
  <c r="AC83" i="17"/>
  <c r="AC65" i="17"/>
  <c r="AC101" i="17"/>
  <c r="AC28" i="17"/>
  <c r="AC102" i="17"/>
  <c r="AC47" i="17"/>
  <c r="AC84" i="17"/>
  <c r="AC29" i="17"/>
  <c r="AC66" i="17"/>
  <c r="AC48" i="17"/>
  <c r="AC85" i="17"/>
  <c r="AC30" i="17"/>
  <c r="AC67" i="17"/>
  <c r="AC103" i="17"/>
  <c r="X69" i="17"/>
  <c r="P69" i="17"/>
  <c r="H69" i="17"/>
  <c r="AD69" i="17"/>
  <c r="V69" i="17"/>
  <c r="N69" i="17"/>
  <c r="W69" i="17"/>
  <c r="U69" i="17"/>
  <c r="K69" i="17"/>
  <c r="T69" i="17"/>
  <c r="J69" i="17"/>
  <c r="AB69" i="17"/>
  <c r="R69" i="17"/>
  <c r="G69" i="17"/>
  <c r="S69" i="17"/>
  <c r="Q69" i="17"/>
  <c r="O69" i="17"/>
  <c r="AC69" i="17"/>
  <c r="AA69" i="17"/>
  <c r="L69" i="17"/>
  <c r="Z69" i="17"/>
  <c r="I69" i="17"/>
  <c r="Y69" i="17"/>
  <c r="M68" i="17"/>
  <c r="Z31" i="17"/>
  <c r="M31" i="17"/>
  <c r="T31" i="17"/>
  <c r="AB68" i="17"/>
  <c r="P68" i="17"/>
  <c r="U68" i="17"/>
  <c r="J31" i="17"/>
  <c r="R31" i="17"/>
  <c r="Y31" i="17"/>
  <c r="AB31" i="17"/>
  <c r="V49" i="17"/>
  <c r="H49" i="17"/>
  <c r="AA49" i="17"/>
  <c r="P49" i="17"/>
  <c r="J68" i="17"/>
  <c r="T68" i="17"/>
  <c r="L68" i="17"/>
  <c r="Z68" i="17"/>
  <c r="AC68" i="17"/>
  <c r="AC31" i="17"/>
  <c r="K86" i="17"/>
  <c r="S86" i="17"/>
  <c r="I86" i="17"/>
  <c r="W86" i="17"/>
  <c r="J86" i="17"/>
  <c r="O35" i="10"/>
  <c r="W4" i="15"/>
  <c r="X3" i="15"/>
  <c r="W5" i="15"/>
  <c r="W27" i="15"/>
  <c r="W6" i="15"/>
  <c r="W15" i="15"/>
  <c r="W16" i="15"/>
  <c r="W28" i="15"/>
  <c r="W7" i="15"/>
  <c r="W29" i="15"/>
  <c r="W17" i="15"/>
  <c r="W8" i="15"/>
  <c r="W9" i="15"/>
  <c r="W30" i="15"/>
  <c r="W18" i="15"/>
  <c r="W10" i="15"/>
  <c r="W19" i="15"/>
  <c r="W31" i="15"/>
  <c r="W32" i="15"/>
  <c r="W11" i="15"/>
  <c r="W20" i="15"/>
  <c r="W21" i="15"/>
  <c r="W12" i="15"/>
  <c r="W13" i="15"/>
  <c r="W22" i="15"/>
  <c r="W14" i="15"/>
  <c r="W23" i="15"/>
  <c r="W24" i="15"/>
  <c r="W25" i="15"/>
  <c r="W26" i="15"/>
  <c r="Y3" i="14"/>
  <c r="X4" i="14"/>
  <c r="X5" i="14"/>
  <c r="X6" i="14"/>
  <c r="X21" i="14"/>
  <c r="X22" i="14"/>
  <c r="X7" i="14"/>
  <c r="X23" i="14"/>
  <c r="X8" i="14"/>
  <c r="X24" i="14"/>
  <c r="X9" i="14"/>
  <c r="X10" i="14"/>
  <c r="X25" i="14"/>
  <c r="X26" i="14"/>
  <c r="X11" i="14"/>
  <c r="X12" i="14"/>
  <c r="X27" i="14"/>
  <c r="X28" i="14"/>
  <c r="X13" i="14"/>
  <c r="X29" i="14"/>
  <c r="X14" i="14"/>
  <c r="X15" i="14"/>
  <c r="X30" i="14"/>
  <c r="X16" i="14"/>
  <c r="X31" i="14"/>
  <c r="X17" i="14"/>
  <c r="X32" i="14"/>
  <c r="X18" i="14"/>
  <c r="X19" i="14"/>
  <c r="R20" i="13"/>
  <c r="N20" i="13"/>
  <c r="U20" i="13"/>
  <c r="V20" i="13"/>
  <c r="W20" i="13"/>
  <c r="J20" i="13"/>
  <c r="K20" i="13"/>
  <c r="I20" i="13"/>
  <c r="X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P20" i="13"/>
  <c r="M20" i="13"/>
  <c r="Q20" i="13"/>
  <c r="L20" i="13"/>
  <c r="H20" i="13"/>
  <c r="T20" i="13"/>
  <c r="S20" i="13"/>
  <c r="G21" i="13"/>
  <c r="S21" i="13"/>
  <c r="N21" i="13"/>
  <c r="O20" i="13"/>
  <c r="O21" i="12"/>
  <c r="G21" i="12"/>
  <c r="T21" i="12"/>
  <c r="V21" i="12"/>
  <c r="Z21" i="12"/>
  <c r="L21" i="12"/>
  <c r="H21" i="12"/>
  <c r="X21" i="12"/>
  <c r="J21" i="12"/>
  <c r="R21" i="12"/>
  <c r="N21" i="12"/>
  <c r="I21" i="12"/>
  <c r="W21" i="12"/>
  <c r="Q21" i="12"/>
  <c r="K21" i="12"/>
  <c r="F22" i="12"/>
  <c r="W22" i="12" s="1"/>
  <c r="Y21" i="12"/>
  <c r="S21" i="12"/>
  <c r="U21" i="12"/>
  <c r="Z4" i="12"/>
  <c r="AA3" i="12"/>
  <c r="Z6" i="12"/>
  <c r="Z5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P21" i="12"/>
  <c r="H12" i="10"/>
  <c r="P12" i="10"/>
  <c r="M12" i="10"/>
  <c r="J35" i="10"/>
  <c r="I12" i="10"/>
  <c r="G35" i="10"/>
  <c r="L12" i="10"/>
  <c r="K12" i="10"/>
  <c r="N12" i="10"/>
  <c r="G40" i="9"/>
  <c r="M40" i="9"/>
  <c r="L35" i="10"/>
  <c r="K35" i="10"/>
  <c r="I35" i="10"/>
  <c r="H35" i="10"/>
  <c r="F36" i="10"/>
  <c r="J36" i="10" s="1"/>
  <c r="N35" i="10"/>
  <c r="F13" i="11"/>
  <c r="K13" i="11" s="1"/>
  <c r="J36" i="11"/>
  <c r="P36" i="11"/>
  <c r="O36" i="11"/>
  <c r="G36" i="11"/>
  <c r="M36" i="11"/>
  <c r="P4" i="11"/>
  <c r="Q3" i="11"/>
  <c r="Q36" i="11" s="1"/>
  <c r="P5" i="11"/>
  <c r="P58" i="11"/>
  <c r="P84" i="11"/>
  <c r="P6" i="11"/>
  <c r="P85" i="11"/>
  <c r="P7" i="11"/>
  <c r="P59" i="11"/>
  <c r="P86" i="11"/>
  <c r="P8" i="11"/>
  <c r="P60" i="11"/>
  <c r="P61" i="11"/>
  <c r="P9" i="11"/>
  <c r="P87" i="11"/>
  <c r="P62" i="11"/>
  <c r="P10" i="11"/>
  <c r="P88" i="11"/>
  <c r="P63" i="11"/>
  <c r="P89" i="11"/>
  <c r="P11" i="11"/>
  <c r="O64" i="11"/>
  <c r="M64" i="11"/>
  <c r="H64" i="11"/>
  <c r="N12" i="11"/>
  <c r="G12" i="11"/>
  <c r="J12" i="11"/>
  <c r="P90" i="11"/>
  <c r="P35" i="11"/>
  <c r="N35" i="11"/>
  <c r="I64" i="11"/>
  <c r="P64" i="11"/>
  <c r="L12" i="11"/>
  <c r="M12" i="11"/>
  <c r="K90" i="11"/>
  <c r="M90" i="11"/>
  <c r="N90" i="11"/>
  <c r="O12" i="11"/>
  <c r="I12" i="11"/>
  <c r="H12" i="11"/>
  <c r="O90" i="11"/>
  <c r="G90" i="11"/>
  <c r="L35" i="11"/>
  <c r="K12" i="11"/>
  <c r="P12" i="11"/>
  <c r="L65" i="11"/>
  <c r="J65" i="11"/>
  <c r="I65" i="11"/>
  <c r="P65" i="11"/>
  <c r="H65" i="11"/>
  <c r="O65" i="11"/>
  <c r="M65" i="11"/>
  <c r="K65" i="11"/>
  <c r="G65" i="11"/>
  <c r="N65" i="11"/>
  <c r="J35" i="11"/>
  <c r="L64" i="11"/>
  <c r="N64" i="11"/>
  <c r="Q91" i="11"/>
  <c r="I91" i="11"/>
  <c r="P91" i="11"/>
  <c r="H91" i="11"/>
  <c r="O91" i="11"/>
  <c r="G91" i="11"/>
  <c r="N91" i="11"/>
  <c r="M91" i="11"/>
  <c r="K91" i="11"/>
  <c r="L91" i="11"/>
  <c r="J91" i="11"/>
  <c r="J90" i="11"/>
  <c r="H90" i="11"/>
  <c r="K64" i="11"/>
  <c r="N76" i="10"/>
  <c r="P76" i="10"/>
  <c r="G76" i="10"/>
  <c r="J76" i="10"/>
  <c r="O76" i="10"/>
  <c r="I76" i="10"/>
  <c r="Q3" i="10"/>
  <c r="P4" i="10"/>
  <c r="P5" i="10"/>
  <c r="P69" i="10"/>
  <c r="P70" i="10"/>
  <c r="P6" i="10"/>
  <c r="P33" i="10"/>
  <c r="P7" i="10"/>
  <c r="P71" i="10"/>
  <c r="P34" i="10"/>
  <c r="P8" i="10"/>
  <c r="P72" i="10"/>
  <c r="P35" i="10"/>
  <c r="P9" i="10"/>
  <c r="P73" i="10"/>
  <c r="P74" i="10"/>
  <c r="P10" i="10"/>
  <c r="P75" i="10"/>
  <c r="P11" i="10"/>
  <c r="G12" i="10"/>
  <c r="K76" i="10"/>
  <c r="P77" i="10"/>
  <c r="L76" i="10"/>
  <c r="H76" i="10"/>
  <c r="F13" i="10"/>
  <c r="G13" i="10" s="1"/>
  <c r="J12" i="10"/>
  <c r="H12" i="9"/>
  <c r="M12" i="9"/>
  <c r="O4" i="9"/>
  <c r="O33" i="9"/>
  <c r="O5" i="9"/>
  <c r="O34" i="9"/>
  <c r="O6" i="9"/>
  <c r="O35" i="9"/>
  <c r="O7" i="9"/>
  <c r="O8" i="9"/>
  <c r="O36" i="9"/>
  <c r="O37" i="9"/>
  <c r="O9" i="9"/>
  <c r="O10" i="9"/>
  <c r="O38" i="9"/>
  <c r="O39" i="9"/>
  <c r="O11" i="9"/>
  <c r="N40" i="9"/>
  <c r="I12" i="9"/>
  <c r="L40" i="9"/>
  <c r="K40" i="9"/>
  <c r="J40" i="9"/>
  <c r="N12" i="9"/>
  <c r="L12" i="9"/>
  <c r="J12" i="9"/>
  <c r="G12" i="9"/>
  <c r="F41" i="9"/>
  <c r="J41" i="9" s="1"/>
  <c r="I40" i="9"/>
  <c r="O12" i="9"/>
  <c r="O40" i="9"/>
  <c r="N12" i="8"/>
  <c r="H12" i="8"/>
  <c r="J12" i="8"/>
  <c r="M12" i="8"/>
  <c r="L12" i="8"/>
  <c r="I12" i="8"/>
  <c r="O4" i="8"/>
  <c r="O5" i="8"/>
  <c r="O6" i="8"/>
  <c r="O7" i="8"/>
  <c r="O8" i="8"/>
  <c r="O9" i="8"/>
  <c r="O10" i="8"/>
  <c r="O11" i="8"/>
  <c r="O12" i="8"/>
  <c r="G12" i="8"/>
  <c r="N12" i="3"/>
  <c r="L12" i="3"/>
  <c r="J12" i="3"/>
  <c r="P12" i="3"/>
  <c r="I12" i="3"/>
  <c r="G12" i="3"/>
  <c r="M12" i="3"/>
  <c r="K12" i="3"/>
  <c r="H12" i="3"/>
  <c r="Q3" i="3"/>
  <c r="P4" i="3"/>
  <c r="P5" i="3"/>
  <c r="P6" i="3"/>
  <c r="P7" i="3"/>
  <c r="P8" i="3"/>
  <c r="P9" i="3"/>
  <c r="P10" i="3"/>
  <c r="P11" i="3"/>
  <c r="F13" i="9"/>
  <c r="K13" i="9" s="1"/>
  <c r="P3" i="9"/>
  <c r="F13" i="8"/>
  <c r="P3" i="8"/>
  <c r="F13" i="3"/>
  <c r="I13" i="3" s="1"/>
  <c r="I27" i="18" l="1"/>
  <c r="AC27" i="18"/>
  <c r="U27" i="18"/>
  <c r="AI27" i="18"/>
  <c r="W27" i="18"/>
  <c r="Y27" i="18"/>
  <c r="Q27" i="18"/>
  <c r="AG27" i="18"/>
  <c r="K27" i="18"/>
  <c r="S27" i="18"/>
  <c r="AA27" i="18"/>
  <c r="Z27" i="18"/>
  <c r="L27" i="18"/>
  <c r="O27" i="18"/>
  <c r="N27" i="18"/>
  <c r="AF27" i="18"/>
  <c r="X27" i="18"/>
  <c r="AD27" i="18"/>
  <c r="F28" i="18"/>
  <c r="I28" i="18" s="1"/>
  <c r="AE28" i="18"/>
  <c r="AH27" i="18"/>
  <c r="J27" i="18"/>
  <c r="P27" i="18"/>
  <c r="AB27" i="18"/>
  <c r="G27" i="18"/>
  <c r="V27" i="18"/>
  <c r="H27" i="18"/>
  <c r="AE27" i="18"/>
  <c r="T27" i="18"/>
  <c r="R27" i="18"/>
  <c r="AK3" i="18"/>
  <c r="AJ4" i="18"/>
  <c r="AJ5" i="18"/>
  <c r="AJ6" i="18"/>
  <c r="AJ16" i="18"/>
  <c r="AJ7" i="18"/>
  <c r="AJ17" i="18"/>
  <c r="AJ18" i="18"/>
  <c r="AJ8" i="18"/>
  <c r="AJ19" i="18"/>
  <c r="AJ9" i="18"/>
  <c r="AJ10" i="18"/>
  <c r="AJ20" i="18"/>
  <c r="AJ11" i="18"/>
  <c r="AJ21" i="18"/>
  <c r="AJ22" i="18"/>
  <c r="AJ12" i="18"/>
  <c r="AJ13" i="18"/>
  <c r="AJ23" i="18"/>
  <c r="AJ24" i="18"/>
  <c r="AJ14" i="18"/>
  <c r="AJ15" i="18"/>
  <c r="AJ25" i="18"/>
  <c r="AJ26" i="18"/>
  <c r="AJ27" i="18"/>
  <c r="AJ28" i="18"/>
  <c r="M69" i="17"/>
  <c r="J87" i="17"/>
  <c r="V87" i="17"/>
  <c r="O50" i="17"/>
  <c r="R50" i="17"/>
  <c r="T50" i="17"/>
  <c r="N50" i="17"/>
  <c r="Z32" i="17"/>
  <c r="AE3" i="17"/>
  <c r="AD4" i="17"/>
  <c r="AD5" i="17"/>
  <c r="AD6" i="17"/>
  <c r="AD17" i="17"/>
  <c r="AD35" i="17"/>
  <c r="AD90" i="17"/>
  <c r="AD72" i="17"/>
  <c r="AD54" i="17"/>
  <c r="AD91" i="17"/>
  <c r="AD36" i="17"/>
  <c r="AD7" i="17"/>
  <c r="AD55" i="17"/>
  <c r="AD18" i="17"/>
  <c r="AD73" i="17"/>
  <c r="AD74" i="17"/>
  <c r="AD56" i="17"/>
  <c r="AD19" i="17"/>
  <c r="AD37" i="17"/>
  <c r="AD92" i="17"/>
  <c r="AD8" i="17"/>
  <c r="AD75" i="17"/>
  <c r="AD57" i="17"/>
  <c r="AD38" i="17"/>
  <c r="AD93" i="17"/>
  <c r="AD20" i="17"/>
  <c r="AD9" i="17"/>
  <c r="AD39" i="17"/>
  <c r="AD10" i="17"/>
  <c r="AD58" i="17"/>
  <c r="AD21" i="17"/>
  <c r="AD94" i="17"/>
  <c r="AD76" i="17"/>
  <c r="AD77" i="17"/>
  <c r="AD22" i="17"/>
  <c r="AD11" i="17"/>
  <c r="AD40" i="17"/>
  <c r="AD59" i="17"/>
  <c r="AD95" i="17"/>
  <c r="AD78" i="17"/>
  <c r="AD96" i="17"/>
  <c r="AD23" i="17"/>
  <c r="AD41" i="17"/>
  <c r="AD60" i="17"/>
  <c r="AD12" i="17"/>
  <c r="AD24" i="17"/>
  <c r="AD42" i="17"/>
  <c r="AD13" i="17"/>
  <c r="AD97" i="17"/>
  <c r="AD79" i="17"/>
  <c r="AD61" i="17"/>
  <c r="AD43" i="17"/>
  <c r="AD80" i="17"/>
  <c r="AD14" i="17"/>
  <c r="AD25" i="17"/>
  <c r="AD98" i="17"/>
  <c r="AD62" i="17"/>
  <c r="AD44" i="17"/>
  <c r="AD26" i="17"/>
  <c r="AD99" i="17"/>
  <c r="AD15" i="17"/>
  <c r="AD81" i="17"/>
  <c r="AD63" i="17"/>
  <c r="AD100" i="17"/>
  <c r="AD16" i="17"/>
  <c r="AD27" i="17"/>
  <c r="AD82" i="17"/>
  <c r="AD45" i="17"/>
  <c r="AD64" i="17"/>
  <c r="AD65" i="17"/>
  <c r="AD28" i="17"/>
  <c r="AD101" i="17"/>
  <c r="AD83" i="17"/>
  <c r="AD46" i="17"/>
  <c r="AD47" i="17"/>
  <c r="AD102" i="17"/>
  <c r="AD66" i="17"/>
  <c r="AD84" i="17"/>
  <c r="AD29" i="17"/>
  <c r="AD48" i="17"/>
  <c r="AD103" i="17"/>
  <c r="AD85" i="17"/>
  <c r="AD67" i="17"/>
  <c r="AD30" i="17"/>
  <c r="AD49" i="17"/>
  <c r="AD31" i="17"/>
  <c r="AD68" i="17"/>
  <c r="AD86" i="17"/>
  <c r="AB33" i="17"/>
  <c r="T33" i="17"/>
  <c r="L33" i="17"/>
  <c r="Z33" i="17"/>
  <c r="R33" i="17"/>
  <c r="Y33" i="17"/>
  <c r="Q33" i="17"/>
  <c r="AC33" i="17"/>
  <c r="X33" i="17"/>
  <c r="M33" i="17"/>
  <c r="AE33" i="17"/>
  <c r="N33" i="17"/>
  <c r="K33" i="17"/>
  <c r="AA33" i="17"/>
  <c r="H33" i="17"/>
  <c r="W33" i="17"/>
  <c r="V33" i="17"/>
  <c r="U33" i="17"/>
  <c r="S33" i="17"/>
  <c r="X88" i="17"/>
  <c r="AD88" i="17"/>
  <c r="V88" i="17"/>
  <c r="P88" i="17"/>
  <c r="G88" i="17"/>
  <c r="Y88" i="17"/>
  <c r="W88" i="17"/>
  <c r="T88" i="17"/>
  <c r="J88" i="17"/>
  <c r="K88" i="17"/>
  <c r="AA88" i="17"/>
  <c r="Z88" i="17"/>
  <c r="U88" i="17"/>
  <c r="S88" i="17"/>
  <c r="Q88" i="17"/>
  <c r="Q87" i="17"/>
  <c r="W87" i="17"/>
  <c r="AC87" i="17"/>
  <c r="I50" i="17"/>
  <c r="AD50" i="17"/>
  <c r="AB32" i="17"/>
  <c r="N32" i="17"/>
  <c r="Z87" i="17"/>
  <c r="AB87" i="17"/>
  <c r="Q50" i="17"/>
  <c r="K50" i="17"/>
  <c r="M50" i="17"/>
  <c r="L32" i="17"/>
  <c r="K32" i="17"/>
  <c r="V32" i="17"/>
  <c r="I32" i="17"/>
  <c r="AA70" i="17"/>
  <c r="S70" i="17"/>
  <c r="K70" i="17"/>
  <c r="Y70" i="17"/>
  <c r="I70" i="17"/>
  <c r="AB70" i="17"/>
  <c r="P70" i="17"/>
  <c r="Q70" i="17"/>
  <c r="Z70" i="17"/>
  <c r="W70" i="17"/>
  <c r="M70" i="17"/>
  <c r="T70" i="17"/>
  <c r="R70" i="17"/>
  <c r="N70" i="17"/>
  <c r="AD70" i="17"/>
  <c r="L70" i="17"/>
  <c r="AC70" i="17"/>
  <c r="J70" i="17"/>
  <c r="X70" i="17"/>
  <c r="H70" i="17"/>
  <c r="V70" i="17"/>
  <c r="G70" i="17"/>
  <c r="U70" i="17"/>
  <c r="P87" i="17"/>
  <c r="I87" i="17"/>
  <c r="K87" i="17"/>
  <c r="G50" i="17"/>
  <c r="Y50" i="17"/>
  <c r="S50" i="17"/>
  <c r="U50" i="17"/>
  <c r="T32" i="17"/>
  <c r="AC32" i="17"/>
  <c r="X32" i="17"/>
  <c r="AD32" i="17"/>
  <c r="Q32" i="17"/>
  <c r="P32" i="17"/>
  <c r="Y32" i="17"/>
  <c r="U32" i="17"/>
  <c r="M32" i="17"/>
  <c r="G32" i="17"/>
  <c r="AD87" i="17"/>
  <c r="I51" i="17"/>
  <c r="W51" i="17"/>
  <c r="O51" i="17"/>
  <c r="G51" i="17"/>
  <c r="AC51" i="17"/>
  <c r="AA51" i="17"/>
  <c r="H32" i="17"/>
  <c r="R32" i="17"/>
  <c r="AA32" i="17"/>
  <c r="O32" i="17"/>
  <c r="M36" i="10"/>
  <c r="J22" i="12"/>
  <c r="P36" i="10"/>
  <c r="P13" i="10"/>
  <c r="J13" i="10"/>
  <c r="Q13" i="10"/>
  <c r="K13" i="10"/>
  <c r="N36" i="10"/>
  <c r="L36" i="10"/>
  <c r="G36" i="10"/>
  <c r="X4" i="15"/>
  <c r="Y3" i="15"/>
  <c r="X5" i="15"/>
  <c r="X6" i="15"/>
  <c r="X15" i="15"/>
  <c r="X27" i="15"/>
  <c r="X28" i="15"/>
  <c r="X7" i="15"/>
  <c r="X16" i="15"/>
  <c r="X17" i="15"/>
  <c r="X29" i="15"/>
  <c r="X8" i="15"/>
  <c r="X9" i="15"/>
  <c r="X18" i="15"/>
  <c r="X30" i="15"/>
  <c r="X19" i="15"/>
  <c r="X31" i="15"/>
  <c r="X10" i="15"/>
  <c r="X20" i="15"/>
  <c r="X11" i="15"/>
  <c r="X32" i="15"/>
  <c r="X21" i="15"/>
  <c r="X12" i="15"/>
  <c r="X13" i="15"/>
  <c r="X22" i="15"/>
  <c r="X14" i="15"/>
  <c r="X23" i="15"/>
  <c r="X24" i="15"/>
  <c r="X25" i="15"/>
  <c r="X26" i="15"/>
  <c r="Y4" i="14"/>
  <c r="Z3" i="14"/>
  <c r="Y5" i="14"/>
  <c r="Y21" i="14"/>
  <c r="Y6" i="14"/>
  <c r="Y7" i="14"/>
  <c r="Y22" i="14"/>
  <c r="Y23" i="14"/>
  <c r="Y8" i="14"/>
  <c r="Y24" i="14"/>
  <c r="Y9" i="14"/>
  <c r="Y25" i="14"/>
  <c r="Y10" i="14"/>
  <c r="Y26" i="14"/>
  <c r="Y11" i="14"/>
  <c r="Y27" i="14"/>
  <c r="Y12" i="14"/>
  <c r="Y13" i="14"/>
  <c r="Y28" i="14"/>
  <c r="Y14" i="14"/>
  <c r="Y29" i="14"/>
  <c r="Y30" i="14"/>
  <c r="Y15" i="14"/>
  <c r="Y31" i="14"/>
  <c r="Y16" i="14"/>
  <c r="Y32" i="14"/>
  <c r="Y17" i="14"/>
  <c r="Y18" i="14"/>
  <c r="Y19" i="14"/>
  <c r="Y20" i="14"/>
  <c r="X21" i="13"/>
  <c r="L21" i="13"/>
  <c r="O22" i="13"/>
  <c r="T21" i="13"/>
  <c r="O21" i="13"/>
  <c r="H21" i="13"/>
  <c r="K21" i="13"/>
  <c r="V21" i="13"/>
  <c r="W21" i="13"/>
  <c r="Q21" i="13"/>
  <c r="I21" i="13"/>
  <c r="J21" i="13"/>
  <c r="M21" i="13"/>
  <c r="X4" i="13"/>
  <c r="Y3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P21" i="13"/>
  <c r="R21" i="13"/>
  <c r="U21" i="13"/>
  <c r="L22" i="12"/>
  <c r="R22" i="12"/>
  <c r="Y22" i="12"/>
  <c r="I22" i="12"/>
  <c r="K22" i="12"/>
  <c r="M22" i="12"/>
  <c r="X22" i="12"/>
  <c r="Z22" i="12"/>
  <c r="S22" i="12"/>
  <c r="U22" i="12"/>
  <c r="G22" i="12"/>
  <c r="AA6" i="12"/>
  <c r="AA5" i="12"/>
  <c r="AA4" i="12"/>
  <c r="AB3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O22" i="12"/>
  <c r="F23" i="12"/>
  <c r="T22" i="12"/>
  <c r="N22" i="12"/>
  <c r="Q22" i="12"/>
  <c r="V22" i="12"/>
  <c r="H22" i="12"/>
  <c r="P22" i="12"/>
  <c r="P13" i="8"/>
  <c r="G13" i="9"/>
  <c r="H36" i="10"/>
  <c r="M13" i="10"/>
  <c r="I36" i="10"/>
  <c r="I13" i="10"/>
  <c r="K36" i="10"/>
  <c r="G41" i="9"/>
  <c r="L13" i="9"/>
  <c r="P13" i="11"/>
  <c r="J13" i="11"/>
  <c r="Q65" i="11"/>
  <c r="F37" i="10"/>
  <c r="M37" i="10" s="1"/>
  <c r="O36" i="10"/>
  <c r="F14" i="11"/>
  <c r="F15" i="11" s="1"/>
  <c r="L36" i="11"/>
  <c r="N13" i="11"/>
  <c r="M13" i="11"/>
  <c r="R3" i="11"/>
  <c r="Q4" i="11"/>
  <c r="Q5" i="11"/>
  <c r="Q58" i="11"/>
  <c r="Q84" i="11"/>
  <c r="Q6" i="11"/>
  <c r="Q59" i="11"/>
  <c r="Q85" i="11"/>
  <c r="Q7" i="11"/>
  <c r="Q86" i="11"/>
  <c r="Q60" i="11"/>
  <c r="Q8" i="11"/>
  <c r="Q9" i="11"/>
  <c r="Q87" i="11"/>
  <c r="Q61" i="11"/>
  <c r="Q62" i="11"/>
  <c r="Q10" i="11"/>
  <c r="Q88" i="11"/>
  <c r="Q63" i="11"/>
  <c r="Q89" i="11"/>
  <c r="Q11" i="11"/>
  <c r="Q90" i="11"/>
  <c r="Q64" i="11"/>
  <c r="Q12" i="11"/>
  <c r="Q35" i="11"/>
  <c r="I13" i="11"/>
  <c r="G37" i="11"/>
  <c r="L37" i="11"/>
  <c r="J37" i="11"/>
  <c r="Q37" i="11"/>
  <c r="M37" i="11"/>
  <c r="P37" i="11"/>
  <c r="Q13" i="11"/>
  <c r="L13" i="11"/>
  <c r="N36" i="11"/>
  <c r="K36" i="11"/>
  <c r="O13" i="11"/>
  <c r="P66" i="11"/>
  <c r="H66" i="11"/>
  <c r="N66" i="11"/>
  <c r="M66" i="11"/>
  <c r="L66" i="11"/>
  <c r="Q66" i="11"/>
  <c r="O66" i="11"/>
  <c r="K66" i="11"/>
  <c r="I66" i="11"/>
  <c r="G66" i="11"/>
  <c r="R66" i="11"/>
  <c r="J66" i="11"/>
  <c r="H36" i="11"/>
  <c r="I36" i="11"/>
  <c r="G13" i="11"/>
  <c r="H13" i="11"/>
  <c r="M92" i="11"/>
  <c r="L92" i="11"/>
  <c r="K92" i="11"/>
  <c r="J92" i="11"/>
  <c r="Q92" i="11"/>
  <c r="I92" i="11"/>
  <c r="G92" i="11"/>
  <c r="P92" i="11"/>
  <c r="O92" i="11"/>
  <c r="N92" i="11"/>
  <c r="H92" i="11"/>
  <c r="Q77" i="10"/>
  <c r="L77" i="10"/>
  <c r="I77" i="10"/>
  <c r="J77" i="10"/>
  <c r="O77" i="10"/>
  <c r="F14" i="10"/>
  <c r="M14" i="10" s="1"/>
  <c r="H13" i="10"/>
  <c r="O13" i="10"/>
  <c r="N13" i="10"/>
  <c r="H77" i="10"/>
  <c r="H78" i="10"/>
  <c r="M77" i="10"/>
  <c r="K77" i="10"/>
  <c r="L13" i="10"/>
  <c r="G77" i="10"/>
  <c r="N77" i="10"/>
  <c r="R3" i="10"/>
  <c r="Q5" i="10"/>
  <c r="Q4" i="10"/>
  <c r="Q69" i="10"/>
  <c r="Q70" i="10"/>
  <c r="Q33" i="10"/>
  <c r="Q6" i="10"/>
  <c r="Q34" i="10"/>
  <c r="Q7" i="10"/>
  <c r="Q71" i="10"/>
  <c r="Q72" i="10"/>
  <c r="Q35" i="10"/>
  <c r="Q8" i="10"/>
  <c r="Q36" i="10"/>
  <c r="Q73" i="10"/>
  <c r="Q9" i="10"/>
  <c r="Q37" i="10"/>
  <c r="Q10" i="10"/>
  <c r="Q74" i="10"/>
  <c r="Q75" i="10"/>
  <c r="Q11" i="10"/>
  <c r="Q12" i="10"/>
  <c r="Q76" i="10"/>
  <c r="P4" i="9"/>
  <c r="P33" i="9"/>
  <c r="P5" i="9"/>
  <c r="P34" i="9"/>
  <c r="P6" i="9"/>
  <c r="P7" i="9"/>
  <c r="P35" i="9"/>
  <c r="P36" i="9"/>
  <c r="P8" i="9"/>
  <c r="P9" i="9"/>
  <c r="P37" i="9"/>
  <c r="P10" i="9"/>
  <c r="P38" i="9"/>
  <c r="P11" i="9"/>
  <c r="P39" i="9"/>
  <c r="P40" i="9"/>
  <c r="P12" i="9"/>
  <c r="N41" i="9"/>
  <c r="L41" i="9"/>
  <c r="H13" i="9"/>
  <c r="P13" i="9"/>
  <c r="F42" i="9"/>
  <c r="O42" i="9" s="1"/>
  <c r="M42" i="9"/>
  <c r="O41" i="9"/>
  <c r="P41" i="9"/>
  <c r="I13" i="9"/>
  <c r="H41" i="9"/>
  <c r="M41" i="9"/>
  <c r="K41" i="9"/>
  <c r="N13" i="9"/>
  <c r="O13" i="9"/>
  <c r="I41" i="9"/>
  <c r="M13" i="9"/>
  <c r="J13" i="9"/>
  <c r="I13" i="8"/>
  <c r="G13" i="8"/>
  <c r="M13" i="8"/>
  <c r="H13" i="8"/>
  <c r="K13" i="8"/>
  <c r="N13" i="8"/>
  <c r="L13" i="8"/>
  <c r="J13" i="8"/>
  <c r="P4" i="8"/>
  <c r="P5" i="8"/>
  <c r="P6" i="8"/>
  <c r="P7" i="8"/>
  <c r="P8" i="8"/>
  <c r="P9" i="8"/>
  <c r="P10" i="8"/>
  <c r="P11" i="8"/>
  <c r="P12" i="8"/>
  <c r="O13" i="8"/>
  <c r="N13" i="3"/>
  <c r="J13" i="3"/>
  <c r="P13" i="3"/>
  <c r="L13" i="3"/>
  <c r="M13" i="3"/>
  <c r="H13" i="3"/>
  <c r="R3" i="3"/>
  <c r="Q4" i="3"/>
  <c r="Q5" i="3"/>
  <c r="Q6" i="3"/>
  <c r="Q7" i="3"/>
  <c r="Q8" i="3"/>
  <c r="Q9" i="3"/>
  <c r="Q10" i="3"/>
  <c r="Q11" i="3"/>
  <c r="Q12" i="3"/>
  <c r="G13" i="3"/>
  <c r="K13" i="3"/>
  <c r="Q13" i="3"/>
  <c r="O13" i="3"/>
  <c r="Q3" i="9"/>
  <c r="F14" i="9"/>
  <c r="H14" i="9" s="1"/>
  <c r="Q3" i="8"/>
  <c r="F14" i="8"/>
  <c r="N14" i="8" s="1"/>
  <c r="F14" i="3"/>
  <c r="O14" i="3" s="1"/>
  <c r="AG28" i="18" l="1"/>
  <c r="H28" i="18"/>
  <c r="AB28" i="18"/>
  <c r="Z28" i="18"/>
  <c r="G28" i="18"/>
  <c r="R28" i="18"/>
  <c r="AH28" i="18"/>
  <c r="M28" i="18"/>
  <c r="O28" i="18"/>
  <c r="V28" i="18"/>
  <c r="U28" i="18"/>
  <c r="Q28" i="18"/>
  <c r="X28" i="18"/>
  <c r="L28" i="18"/>
  <c r="AD28" i="18"/>
  <c r="Y28" i="18"/>
  <c r="AF28" i="18"/>
  <c r="AC28" i="18"/>
  <c r="P28" i="18"/>
  <c r="S28" i="18"/>
  <c r="W28" i="18"/>
  <c r="T28" i="18"/>
  <c r="K28" i="18"/>
  <c r="AA28" i="18"/>
  <c r="F29" i="18"/>
  <c r="P29" i="18" s="1"/>
  <c r="AI28" i="18"/>
  <c r="N28" i="18"/>
  <c r="J28" i="18"/>
  <c r="AL3" i="18"/>
  <c r="AK4" i="18"/>
  <c r="AK5" i="18"/>
  <c r="AK16" i="18"/>
  <c r="AK6" i="18"/>
  <c r="AK7" i="18"/>
  <c r="AK17" i="18"/>
  <c r="AK18" i="18"/>
  <c r="AK8" i="18"/>
  <c r="AK9" i="18"/>
  <c r="AK19" i="18"/>
  <c r="AK20" i="18"/>
  <c r="AK10" i="18"/>
  <c r="AK11" i="18"/>
  <c r="AK21" i="18"/>
  <c r="AK12" i="18"/>
  <c r="AK22" i="18"/>
  <c r="AK13" i="18"/>
  <c r="AK23" i="18"/>
  <c r="AK24" i="18"/>
  <c r="AK14" i="18"/>
  <c r="AK25" i="18"/>
  <c r="AK15" i="18"/>
  <c r="AK26" i="18"/>
  <c r="AK27" i="18"/>
  <c r="AK28" i="18"/>
  <c r="R51" i="17"/>
  <c r="AB51" i="17"/>
  <c r="V51" i="17"/>
  <c r="H51" i="17"/>
  <c r="AE70" i="17"/>
  <c r="O70" i="17"/>
  <c r="AC88" i="17"/>
  <c r="L88" i="17"/>
  <c r="AB88" i="17"/>
  <c r="AE34" i="17"/>
  <c r="W34" i="17"/>
  <c r="O34" i="17"/>
  <c r="G34" i="17"/>
  <c r="AC34" i="17"/>
  <c r="U34" i="17"/>
  <c r="M34" i="17"/>
  <c r="AB34" i="17"/>
  <c r="T34" i="17"/>
  <c r="L34" i="17"/>
  <c r="AD34" i="17"/>
  <c r="Q34" i="17"/>
  <c r="Z34" i="17"/>
  <c r="N34" i="17"/>
  <c r="K34" i="17"/>
  <c r="AA34" i="17"/>
  <c r="J34" i="17"/>
  <c r="Y34" i="17"/>
  <c r="I34" i="17"/>
  <c r="X34" i="17"/>
  <c r="H34" i="17"/>
  <c r="V34" i="17"/>
  <c r="S34" i="17"/>
  <c r="R34" i="17"/>
  <c r="P34" i="17"/>
  <c r="AD33" i="17"/>
  <c r="O33" i="17"/>
  <c r="J33" i="17"/>
  <c r="Z51" i="17"/>
  <c r="L51" i="17"/>
  <c r="Q51" i="17"/>
  <c r="AD51" i="17"/>
  <c r="P51" i="17"/>
  <c r="K51" i="17"/>
  <c r="M51" i="17"/>
  <c r="AA89" i="17"/>
  <c r="S89" i="17"/>
  <c r="K89" i="17"/>
  <c r="Y89" i="17"/>
  <c r="Q89" i="17"/>
  <c r="I89" i="17"/>
  <c r="W89" i="17"/>
  <c r="M89" i="17"/>
  <c r="AD89" i="17"/>
  <c r="T89" i="17"/>
  <c r="H89" i="17"/>
  <c r="AC89" i="17"/>
  <c r="R89" i="17"/>
  <c r="G89" i="17"/>
  <c r="Z89" i="17"/>
  <c r="O89" i="17"/>
  <c r="U89" i="17"/>
  <c r="P89" i="17"/>
  <c r="N89" i="17"/>
  <c r="L89" i="17"/>
  <c r="AE89" i="17"/>
  <c r="J89" i="17"/>
  <c r="AB89" i="17"/>
  <c r="X89" i="17"/>
  <c r="V89" i="17"/>
  <c r="X51" i="17"/>
  <c r="S51" i="17"/>
  <c r="U51" i="17"/>
  <c r="X71" i="17"/>
  <c r="P71" i="17"/>
  <c r="H71" i="17"/>
  <c r="AD71" i="17"/>
  <c r="V71" i="17"/>
  <c r="N71" i="17"/>
  <c r="AB71" i="17"/>
  <c r="T71" i="17"/>
  <c r="L71" i="17"/>
  <c r="Z71" i="17"/>
  <c r="M71" i="17"/>
  <c r="Y71" i="17"/>
  <c r="K71" i="17"/>
  <c r="U71" i="17"/>
  <c r="I71" i="17"/>
  <c r="R71" i="17"/>
  <c r="Q71" i="17"/>
  <c r="O71" i="17"/>
  <c r="AE71" i="17"/>
  <c r="J71" i="17"/>
  <c r="AC71" i="17"/>
  <c r="G71" i="17"/>
  <c r="AA71" i="17"/>
  <c r="W71" i="17"/>
  <c r="S71" i="17"/>
  <c r="O88" i="17"/>
  <c r="M88" i="17"/>
  <c r="N88" i="17"/>
  <c r="G33" i="17"/>
  <c r="P33" i="17"/>
  <c r="I33" i="17"/>
  <c r="I52" i="17"/>
  <c r="AE51" i="17"/>
  <c r="J51" i="17"/>
  <c r="T51" i="17"/>
  <c r="N51" i="17"/>
  <c r="Y51" i="17"/>
  <c r="I88" i="17"/>
  <c r="AE88" i="17"/>
  <c r="R88" i="17"/>
  <c r="H88" i="17"/>
  <c r="AF3" i="17"/>
  <c r="AF34" i="17" s="1"/>
  <c r="AE4" i="17"/>
  <c r="AE5" i="17"/>
  <c r="AE72" i="17"/>
  <c r="AE90" i="17"/>
  <c r="AE6" i="17"/>
  <c r="AE35" i="17"/>
  <c r="AE54" i="17"/>
  <c r="AE17" i="17"/>
  <c r="AE73" i="17"/>
  <c r="AE55" i="17"/>
  <c r="AE91" i="17"/>
  <c r="AE7" i="17"/>
  <c r="AE36" i="17"/>
  <c r="AE18" i="17"/>
  <c r="AE37" i="17"/>
  <c r="AE74" i="17"/>
  <c r="AE8" i="17"/>
  <c r="AE92" i="17"/>
  <c r="AE19" i="17"/>
  <c r="AE56" i="17"/>
  <c r="AE38" i="17"/>
  <c r="AE57" i="17"/>
  <c r="AE93" i="17"/>
  <c r="AE9" i="17"/>
  <c r="AE20" i="17"/>
  <c r="AE75" i="17"/>
  <c r="AE58" i="17"/>
  <c r="AE76" i="17"/>
  <c r="AE39" i="17"/>
  <c r="AE94" i="17"/>
  <c r="AE10" i="17"/>
  <c r="AE21" i="17"/>
  <c r="AE59" i="17"/>
  <c r="AE22" i="17"/>
  <c r="AE77" i="17"/>
  <c r="AE40" i="17"/>
  <c r="AE95" i="17"/>
  <c r="AE11" i="17"/>
  <c r="AE12" i="17"/>
  <c r="AE78" i="17"/>
  <c r="AE60" i="17"/>
  <c r="AE96" i="17"/>
  <c r="AE23" i="17"/>
  <c r="AE41" i="17"/>
  <c r="AE79" i="17"/>
  <c r="AE24" i="17"/>
  <c r="AE13" i="17"/>
  <c r="AE97" i="17"/>
  <c r="AE61" i="17"/>
  <c r="AE42" i="17"/>
  <c r="AE62" i="17"/>
  <c r="AE98" i="17"/>
  <c r="AE80" i="17"/>
  <c r="AE25" i="17"/>
  <c r="AE14" i="17"/>
  <c r="AE43" i="17"/>
  <c r="AE63" i="17"/>
  <c r="AE15" i="17"/>
  <c r="AE44" i="17"/>
  <c r="AE81" i="17"/>
  <c r="AE99" i="17"/>
  <c r="AE26" i="17"/>
  <c r="AE82" i="17"/>
  <c r="AE27" i="17"/>
  <c r="AE16" i="17"/>
  <c r="AE45" i="17"/>
  <c r="AE64" i="17"/>
  <c r="AE100" i="17"/>
  <c r="AE83" i="17"/>
  <c r="AE65" i="17"/>
  <c r="AE28" i="17"/>
  <c r="AE46" i="17"/>
  <c r="AE101" i="17"/>
  <c r="AE66" i="17"/>
  <c r="AE29" i="17"/>
  <c r="AE84" i="17"/>
  <c r="AE102" i="17"/>
  <c r="AE47" i="17"/>
  <c r="AE48" i="17"/>
  <c r="AE103" i="17"/>
  <c r="AE67" i="17"/>
  <c r="AE30" i="17"/>
  <c r="AE85" i="17"/>
  <c r="AE86" i="17"/>
  <c r="AE49" i="17"/>
  <c r="AE68" i="17"/>
  <c r="AE31" i="17"/>
  <c r="AE87" i="17"/>
  <c r="AE50" i="17"/>
  <c r="AE32" i="17"/>
  <c r="AE69" i="17"/>
  <c r="N42" i="9"/>
  <c r="L42" i="9"/>
  <c r="Z3" i="15"/>
  <c r="Y4" i="15"/>
  <c r="Y5" i="15"/>
  <c r="Y15" i="15"/>
  <c r="Y27" i="15"/>
  <c r="Y6" i="15"/>
  <c r="Y16" i="15"/>
  <c r="Y7" i="15"/>
  <c r="Y28" i="15"/>
  <c r="Y29" i="15"/>
  <c r="Y8" i="15"/>
  <c r="Y17" i="15"/>
  <c r="Y30" i="15"/>
  <c r="Y18" i="15"/>
  <c r="Y9" i="15"/>
  <c r="Y31" i="15"/>
  <c r="Y10" i="15"/>
  <c r="Y19" i="15"/>
  <c r="Y11" i="15"/>
  <c r="Y20" i="15"/>
  <c r="Y32" i="15"/>
  <c r="Y12" i="15"/>
  <c r="Y21" i="15"/>
  <c r="Y22" i="15"/>
  <c r="Y13" i="15"/>
  <c r="Y23" i="15"/>
  <c r="Y14" i="15"/>
  <c r="Y24" i="15"/>
  <c r="Y25" i="15"/>
  <c r="Y26" i="15"/>
  <c r="Z4" i="14"/>
  <c r="AA3" i="14"/>
  <c r="Z5" i="14"/>
  <c r="Z21" i="14"/>
  <c r="Z6" i="14"/>
  <c r="Z7" i="14"/>
  <c r="Z22" i="14"/>
  <c r="Z8" i="14"/>
  <c r="Z23" i="14"/>
  <c r="Z24" i="14"/>
  <c r="Z9" i="14"/>
  <c r="Z25" i="14"/>
  <c r="Z10" i="14"/>
  <c r="Z11" i="14"/>
  <c r="Z26" i="14"/>
  <c r="Z27" i="14"/>
  <c r="Z12" i="14"/>
  <c r="Z13" i="14"/>
  <c r="Z28" i="14"/>
  <c r="Z14" i="14"/>
  <c r="Z29" i="14"/>
  <c r="Z30" i="14"/>
  <c r="Z15" i="14"/>
  <c r="Z31" i="14"/>
  <c r="Z16" i="14"/>
  <c r="Z32" i="14"/>
  <c r="Z17" i="14"/>
  <c r="Z18" i="14"/>
  <c r="Z19" i="14"/>
  <c r="Z20" i="14"/>
  <c r="K22" i="13"/>
  <c r="Q22" i="13"/>
  <c r="X22" i="13"/>
  <c r="V22" i="13"/>
  <c r="L22" i="13"/>
  <c r="G22" i="13"/>
  <c r="K23" i="13"/>
  <c r="N23" i="13"/>
  <c r="N22" i="13"/>
  <c r="W22" i="13"/>
  <c r="J22" i="13"/>
  <c r="S22" i="13"/>
  <c r="R22" i="13"/>
  <c r="T22" i="13"/>
  <c r="M22" i="13"/>
  <c r="I22" i="13"/>
  <c r="U22" i="13"/>
  <c r="H22" i="13"/>
  <c r="Y5" i="13"/>
  <c r="Z3" i="13"/>
  <c r="Z23" i="13" s="1"/>
  <c r="Y4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P22" i="13"/>
  <c r="F24" i="12"/>
  <c r="AA24" i="12" s="1"/>
  <c r="K23" i="12"/>
  <c r="T23" i="12"/>
  <c r="N23" i="12"/>
  <c r="Y23" i="12"/>
  <c r="S23" i="12"/>
  <c r="U23" i="12"/>
  <c r="V23" i="12"/>
  <c r="H23" i="12"/>
  <c r="AA23" i="12"/>
  <c r="Q23" i="12"/>
  <c r="P23" i="12"/>
  <c r="AB23" i="12"/>
  <c r="J23" i="12"/>
  <c r="G23" i="12"/>
  <c r="R23" i="12"/>
  <c r="AB5" i="12"/>
  <c r="AC3" i="12"/>
  <c r="AC24" i="12" s="1"/>
  <c r="AB4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L23" i="12"/>
  <c r="O23" i="12"/>
  <c r="Z23" i="12"/>
  <c r="X23" i="12"/>
  <c r="M23" i="12"/>
  <c r="W23" i="12"/>
  <c r="I23" i="12"/>
  <c r="K42" i="9"/>
  <c r="G37" i="10"/>
  <c r="H37" i="10"/>
  <c r="L37" i="10"/>
  <c r="K37" i="10"/>
  <c r="N14" i="10"/>
  <c r="N37" i="10"/>
  <c r="J42" i="9"/>
  <c r="P42" i="9"/>
  <c r="O14" i="9"/>
  <c r="Q14" i="9"/>
  <c r="H42" i="9"/>
  <c r="N14" i="9"/>
  <c r="G42" i="9"/>
  <c r="L14" i="9"/>
  <c r="N14" i="3"/>
  <c r="R14" i="11"/>
  <c r="R37" i="11"/>
  <c r="O14" i="11"/>
  <c r="R92" i="11"/>
  <c r="L14" i="11"/>
  <c r="J37" i="10"/>
  <c r="O37" i="10"/>
  <c r="I37" i="10"/>
  <c r="F38" i="10"/>
  <c r="H38" i="10" s="1"/>
  <c r="P37" i="10"/>
  <c r="J67" i="11"/>
  <c r="J15" i="11"/>
  <c r="P15" i="11"/>
  <c r="H15" i="11"/>
  <c r="N14" i="11"/>
  <c r="I14" i="11"/>
  <c r="Q14" i="11"/>
  <c r="J14" i="11"/>
  <c r="O37" i="11"/>
  <c r="I37" i="11"/>
  <c r="M14" i="11"/>
  <c r="G38" i="11"/>
  <c r="K14" i="11"/>
  <c r="H14" i="11"/>
  <c r="K37" i="11"/>
  <c r="H37" i="11"/>
  <c r="N37" i="11"/>
  <c r="S3" i="11"/>
  <c r="R4" i="11"/>
  <c r="R5" i="11"/>
  <c r="R58" i="11"/>
  <c r="R84" i="11"/>
  <c r="R6" i="11"/>
  <c r="R85" i="11"/>
  <c r="R59" i="11"/>
  <c r="R7" i="11"/>
  <c r="R8" i="11"/>
  <c r="R60" i="11"/>
  <c r="R86" i="11"/>
  <c r="R87" i="11"/>
  <c r="R9" i="11"/>
  <c r="R61" i="11"/>
  <c r="R62" i="11"/>
  <c r="R88" i="11"/>
  <c r="R10" i="11"/>
  <c r="R11" i="11"/>
  <c r="R89" i="11"/>
  <c r="R63" i="11"/>
  <c r="R35" i="11"/>
  <c r="R90" i="11"/>
  <c r="R12" i="11"/>
  <c r="R64" i="11"/>
  <c r="R91" i="11"/>
  <c r="R65" i="11"/>
  <c r="R36" i="11"/>
  <c r="R13" i="11"/>
  <c r="P14" i="11"/>
  <c r="R67" i="11"/>
  <c r="Q67" i="11"/>
  <c r="I67" i="11"/>
  <c r="P67" i="11"/>
  <c r="M67" i="11"/>
  <c r="S67" i="11"/>
  <c r="N67" i="11"/>
  <c r="L67" i="11"/>
  <c r="K67" i="11"/>
  <c r="O67" i="11"/>
  <c r="H67" i="11"/>
  <c r="G67" i="11"/>
  <c r="G14" i="11"/>
  <c r="Q93" i="11"/>
  <c r="I93" i="11"/>
  <c r="P93" i="11"/>
  <c r="H93" i="11"/>
  <c r="O93" i="11"/>
  <c r="G93" i="11"/>
  <c r="N93" i="11"/>
  <c r="M93" i="11"/>
  <c r="L93" i="11"/>
  <c r="K93" i="11"/>
  <c r="J93" i="11"/>
  <c r="S93" i="11"/>
  <c r="R93" i="11"/>
  <c r="P79" i="10"/>
  <c r="K78" i="10"/>
  <c r="P78" i="10"/>
  <c r="G14" i="10"/>
  <c r="Q78" i="10"/>
  <c r="O14" i="10"/>
  <c r="L78" i="10"/>
  <c r="G78" i="10"/>
  <c r="K14" i="10"/>
  <c r="J14" i="10"/>
  <c r="S3" i="10"/>
  <c r="R4" i="10"/>
  <c r="R5" i="10"/>
  <c r="R69" i="10"/>
  <c r="R70" i="10"/>
  <c r="R6" i="10"/>
  <c r="R33" i="10"/>
  <c r="R7" i="10"/>
  <c r="R34" i="10"/>
  <c r="R71" i="10"/>
  <c r="R35" i="10"/>
  <c r="R8" i="10"/>
  <c r="R72" i="10"/>
  <c r="R73" i="10"/>
  <c r="R9" i="10"/>
  <c r="R36" i="10"/>
  <c r="R74" i="10"/>
  <c r="R10" i="10"/>
  <c r="R37" i="10"/>
  <c r="R75" i="10"/>
  <c r="R11" i="10"/>
  <c r="R76" i="10"/>
  <c r="R12" i="10"/>
  <c r="R77" i="10"/>
  <c r="R13" i="10"/>
  <c r="I78" i="10"/>
  <c r="O78" i="10"/>
  <c r="Q14" i="10"/>
  <c r="R14" i="10"/>
  <c r="N78" i="10"/>
  <c r="L14" i="10"/>
  <c r="F15" i="10"/>
  <c r="K15" i="10" s="1"/>
  <c r="H14" i="10"/>
  <c r="R78" i="10"/>
  <c r="J78" i="10"/>
  <c r="M78" i="10"/>
  <c r="I14" i="10"/>
  <c r="P14" i="10"/>
  <c r="Q42" i="9"/>
  <c r="I42" i="9"/>
  <c r="P14" i="9"/>
  <c r="G14" i="9"/>
  <c r="M14" i="9"/>
  <c r="K14" i="9"/>
  <c r="F43" i="9"/>
  <c r="L43" i="9" s="1"/>
  <c r="I14" i="9"/>
  <c r="Q4" i="9"/>
  <c r="Q5" i="9"/>
  <c r="Q33" i="9"/>
  <c r="Q34" i="9"/>
  <c r="Q6" i="9"/>
  <c r="Q35" i="9"/>
  <c r="Q7" i="9"/>
  <c r="Q36" i="9"/>
  <c r="Q8" i="9"/>
  <c r="Q9" i="9"/>
  <c r="Q37" i="9"/>
  <c r="Q10" i="9"/>
  <c r="Q38" i="9"/>
  <c r="Q11" i="9"/>
  <c r="Q39" i="9"/>
  <c r="Q40" i="9"/>
  <c r="Q12" i="9"/>
  <c r="Q13" i="9"/>
  <c r="Q41" i="9"/>
  <c r="J14" i="9"/>
  <c r="H14" i="8"/>
  <c r="P14" i="8"/>
  <c r="L14" i="8"/>
  <c r="J14" i="8"/>
  <c r="G14" i="8"/>
  <c r="Q4" i="8"/>
  <c r="Q5" i="8"/>
  <c r="Q6" i="8"/>
  <c r="Q7" i="8"/>
  <c r="Q8" i="8"/>
  <c r="Q9" i="8"/>
  <c r="Q10" i="8"/>
  <c r="Q11" i="8"/>
  <c r="Q12" i="8"/>
  <c r="Q13" i="8"/>
  <c r="O14" i="8"/>
  <c r="M14" i="8"/>
  <c r="K14" i="8"/>
  <c r="Q14" i="8"/>
  <c r="I14" i="8"/>
  <c r="Q14" i="3"/>
  <c r="S3" i="3"/>
  <c r="R4" i="3"/>
  <c r="R5" i="3"/>
  <c r="R6" i="3"/>
  <c r="R7" i="3"/>
  <c r="R8" i="3"/>
  <c r="R9" i="3"/>
  <c r="R10" i="3"/>
  <c r="R11" i="3"/>
  <c r="R12" i="3"/>
  <c r="R13" i="3"/>
  <c r="I14" i="3"/>
  <c r="L14" i="3"/>
  <c r="G14" i="3"/>
  <c r="M14" i="3"/>
  <c r="K14" i="3"/>
  <c r="P14" i="3"/>
  <c r="R14" i="3"/>
  <c r="J14" i="3"/>
  <c r="H14" i="3"/>
  <c r="F15" i="9"/>
  <c r="I15" i="9" s="1"/>
  <c r="R3" i="9"/>
  <c r="F15" i="8"/>
  <c r="H15" i="8" s="1"/>
  <c r="R3" i="8"/>
  <c r="F15" i="3"/>
  <c r="O15" i="3" s="1"/>
  <c r="W29" i="18" l="1"/>
  <c r="AF29" i="18"/>
  <c r="R29" i="18"/>
  <c r="AE29" i="18"/>
  <c r="J29" i="18"/>
  <c r="V29" i="18"/>
  <c r="M29" i="18"/>
  <c r="AD29" i="18"/>
  <c r="T29" i="18"/>
  <c r="AC29" i="18"/>
  <c r="N29" i="18"/>
  <c r="X29" i="18"/>
  <c r="G29" i="18"/>
  <c r="AK29" i="18"/>
  <c r="AH29" i="18"/>
  <c r="Z29" i="18"/>
  <c r="Q29" i="18"/>
  <c r="L29" i="18"/>
  <c r="AG29" i="18"/>
  <c r="Y29" i="18"/>
  <c r="O29" i="18"/>
  <c r="V30" i="18"/>
  <c r="AA30" i="18"/>
  <c r="AC30" i="18"/>
  <c r="AJ29" i="18"/>
  <c r="S29" i="18"/>
  <c r="AB29" i="18"/>
  <c r="U29" i="18"/>
  <c r="K29" i="18"/>
  <c r="AI29" i="18"/>
  <c r="AA29" i="18"/>
  <c r="H29" i="18"/>
  <c r="I29" i="18"/>
  <c r="AM3" i="18"/>
  <c r="AL4" i="18"/>
  <c r="AL5" i="18"/>
  <c r="AL6" i="18"/>
  <c r="AL16" i="18"/>
  <c r="AL29" i="18"/>
  <c r="AL17" i="18"/>
  <c r="AL30" i="18"/>
  <c r="AL7" i="18"/>
  <c r="AL8" i="18"/>
  <c r="AL18" i="18"/>
  <c r="AL9" i="18"/>
  <c r="AL19" i="18"/>
  <c r="AL20" i="18"/>
  <c r="AL10" i="18"/>
  <c r="AL11" i="18"/>
  <c r="AL21" i="18"/>
  <c r="AL12" i="18"/>
  <c r="AL22" i="18"/>
  <c r="AL13" i="18"/>
  <c r="AL23" i="18"/>
  <c r="AL24" i="18"/>
  <c r="AL14" i="18"/>
  <c r="AL25" i="18"/>
  <c r="AL15" i="18"/>
  <c r="AL26" i="18"/>
  <c r="AL27" i="18"/>
  <c r="AL28" i="18"/>
  <c r="M52" i="17"/>
  <c r="G52" i="17"/>
  <c r="AF52" i="17"/>
  <c r="R52" i="17"/>
  <c r="T52" i="17"/>
  <c r="U52" i="17"/>
  <c r="O52" i="17"/>
  <c r="Z52" i="17"/>
  <c r="AB52" i="17"/>
  <c r="W52" i="17"/>
  <c r="AF71" i="17"/>
  <c r="AE53" i="17"/>
  <c r="W53" i="17"/>
  <c r="O53" i="17"/>
  <c r="G53" i="17"/>
  <c r="AD53" i="17"/>
  <c r="V53" i="17"/>
  <c r="N53" i="17"/>
  <c r="AC53" i="17"/>
  <c r="U53" i="17"/>
  <c r="M53" i="17"/>
  <c r="AB53" i="17"/>
  <c r="T53" i="17"/>
  <c r="L53" i="17"/>
  <c r="AA53" i="17"/>
  <c r="S53" i="17"/>
  <c r="K53" i="17"/>
  <c r="Z53" i="17"/>
  <c r="R53" i="17"/>
  <c r="J53" i="17"/>
  <c r="Y53" i="17"/>
  <c r="Q53" i="17"/>
  <c r="I53" i="17"/>
  <c r="X53" i="17"/>
  <c r="H53" i="17"/>
  <c r="AF53" i="17"/>
  <c r="P53" i="17"/>
  <c r="AE52" i="17"/>
  <c r="Q52" i="17"/>
  <c r="K52" i="17"/>
  <c r="N52" i="17"/>
  <c r="Y52" i="17"/>
  <c r="S52" i="17"/>
  <c r="AG3" i="17"/>
  <c r="AG53" i="17" s="1"/>
  <c r="AF4" i="17"/>
  <c r="AF5" i="17"/>
  <c r="AF54" i="17"/>
  <c r="AF72" i="17"/>
  <c r="AF6" i="17"/>
  <c r="AF90" i="17"/>
  <c r="AF17" i="17"/>
  <c r="AF35" i="17"/>
  <c r="AF73" i="17"/>
  <c r="AF18" i="17"/>
  <c r="AF91" i="17"/>
  <c r="AF36" i="17"/>
  <c r="AF55" i="17"/>
  <c r="AF7" i="17"/>
  <c r="AF19" i="17"/>
  <c r="AF37" i="17"/>
  <c r="AF56" i="17"/>
  <c r="AF8" i="17"/>
  <c r="AF92" i="17"/>
  <c r="AF74" i="17"/>
  <c r="AF20" i="17"/>
  <c r="AF93" i="17"/>
  <c r="AF57" i="17"/>
  <c r="AF38" i="17"/>
  <c r="AF75" i="17"/>
  <c r="AF9" i="17"/>
  <c r="AF10" i="17"/>
  <c r="AF21" i="17"/>
  <c r="AF94" i="17"/>
  <c r="AF76" i="17"/>
  <c r="AF39" i="17"/>
  <c r="AF58" i="17"/>
  <c r="AF22" i="17"/>
  <c r="AF40" i="17"/>
  <c r="AF95" i="17"/>
  <c r="AF59" i="17"/>
  <c r="AF11" i="17"/>
  <c r="AF77" i="17"/>
  <c r="AF41" i="17"/>
  <c r="AF78" i="17"/>
  <c r="AF23" i="17"/>
  <c r="AF60" i="17"/>
  <c r="AF12" i="17"/>
  <c r="AF96" i="17"/>
  <c r="AF24" i="17"/>
  <c r="AF13" i="17"/>
  <c r="AF42" i="17"/>
  <c r="AF79" i="17"/>
  <c r="AF97" i="17"/>
  <c r="AF61" i="17"/>
  <c r="AF43" i="17"/>
  <c r="AF62" i="17"/>
  <c r="AF98" i="17"/>
  <c r="AF80" i="17"/>
  <c r="AF14" i="17"/>
  <c r="AF25" i="17"/>
  <c r="AF15" i="17"/>
  <c r="AF44" i="17"/>
  <c r="AF63" i="17"/>
  <c r="AF26" i="17"/>
  <c r="AF99" i="17"/>
  <c r="AF81" i="17"/>
  <c r="AF100" i="17"/>
  <c r="AF64" i="17"/>
  <c r="AF45" i="17"/>
  <c r="AF82" i="17"/>
  <c r="AF27" i="17"/>
  <c r="AF16" i="17"/>
  <c r="AF65" i="17"/>
  <c r="AF101" i="17"/>
  <c r="AF28" i="17"/>
  <c r="AF46" i="17"/>
  <c r="AF83" i="17"/>
  <c r="AF66" i="17"/>
  <c r="AF84" i="17"/>
  <c r="AF29" i="17"/>
  <c r="AF47" i="17"/>
  <c r="AF102" i="17"/>
  <c r="AF103" i="17"/>
  <c r="AF85" i="17"/>
  <c r="AF48" i="17"/>
  <c r="AF30" i="17"/>
  <c r="AF67" i="17"/>
  <c r="AF86" i="17"/>
  <c r="AF68" i="17"/>
  <c r="AF31" i="17"/>
  <c r="AF49" i="17"/>
  <c r="AF32" i="17"/>
  <c r="AF69" i="17"/>
  <c r="AF87" i="17"/>
  <c r="AF50" i="17"/>
  <c r="AF33" i="17"/>
  <c r="AF51" i="17"/>
  <c r="AF88" i="17"/>
  <c r="AF70" i="17"/>
  <c r="V52" i="17"/>
  <c r="H52" i="17"/>
  <c r="AA52" i="17"/>
  <c r="AF89" i="17"/>
  <c r="AD52" i="17"/>
  <c r="P52" i="17"/>
  <c r="AC52" i="17"/>
  <c r="X52" i="17"/>
  <c r="J52" i="17"/>
  <c r="L52" i="17"/>
  <c r="G15" i="10"/>
  <c r="Q43" i="9"/>
  <c r="K43" i="9"/>
  <c r="I43" i="9"/>
  <c r="P43" i="9"/>
  <c r="O43" i="9"/>
  <c r="G43" i="9"/>
  <c r="J15" i="10"/>
  <c r="O15" i="10"/>
  <c r="Q15" i="10"/>
  <c r="N43" i="9"/>
  <c r="Z4" i="15"/>
  <c r="AA3" i="15"/>
  <c r="Z5" i="15"/>
  <c r="Z15" i="15"/>
  <c r="Z27" i="15"/>
  <c r="Z6" i="15"/>
  <c r="Z7" i="15"/>
  <c r="Z28" i="15"/>
  <c r="Z16" i="15"/>
  <c r="Z17" i="15"/>
  <c r="Z29" i="15"/>
  <c r="Z8" i="15"/>
  <c r="Z18" i="15"/>
  <c r="Z30" i="15"/>
  <c r="Z9" i="15"/>
  <c r="Z31" i="15"/>
  <c r="Z10" i="15"/>
  <c r="Z19" i="15"/>
  <c r="Z11" i="15"/>
  <c r="Z32" i="15"/>
  <c r="Z20" i="15"/>
  <c r="Z12" i="15"/>
  <c r="Z21" i="15"/>
  <c r="Z13" i="15"/>
  <c r="Z22" i="15"/>
  <c r="Z23" i="15"/>
  <c r="Z14" i="15"/>
  <c r="Z24" i="15"/>
  <c r="Z25" i="15"/>
  <c r="Z26" i="15"/>
  <c r="AB3" i="14"/>
  <c r="AA4" i="14"/>
  <c r="AA5" i="14"/>
  <c r="AA6" i="14"/>
  <c r="AA21" i="14"/>
  <c r="AA7" i="14"/>
  <c r="AA22" i="14"/>
  <c r="AA8" i="14"/>
  <c r="AA23" i="14"/>
  <c r="AA9" i="14"/>
  <c r="AA24" i="14"/>
  <c r="AA10" i="14"/>
  <c r="AA25" i="14"/>
  <c r="AA11" i="14"/>
  <c r="AA26" i="14"/>
  <c r="AA12" i="14"/>
  <c r="AA27" i="14"/>
  <c r="AA28" i="14"/>
  <c r="AA13" i="14"/>
  <c r="AA14" i="14"/>
  <c r="AA29" i="14"/>
  <c r="AA30" i="14"/>
  <c r="AA15" i="14"/>
  <c r="AA31" i="14"/>
  <c r="AA16" i="14"/>
  <c r="AA17" i="14"/>
  <c r="AA32" i="14"/>
  <c r="AA18" i="14"/>
  <c r="AA19" i="14"/>
  <c r="AA20" i="14"/>
  <c r="I23" i="13"/>
  <c r="T23" i="13"/>
  <c r="W23" i="13"/>
  <c r="R23" i="13"/>
  <c r="U23" i="13"/>
  <c r="Y23" i="13"/>
  <c r="L23" i="13"/>
  <c r="Q23" i="13"/>
  <c r="H23" i="13"/>
  <c r="Z4" i="13"/>
  <c r="AA3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P23" i="13"/>
  <c r="X24" i="13"/>
  <c r="P24" i="13"/>
  <c r="V24" i="13"/>
  <c r="O24" i="13"/>
  <c r="Z24" i="13"/>
  <c r="Y24" i="13"/>
  <c r="R24" i="13"/>
  <c r="L24" i="13"/>
  <c r="X23" i="13"/>
  <c r="S23" i="13"/>
  <c r="V23" i="13"/>
  <c r="O23" i="13"/>
  <c r="G23" i="13"/>
  <c r="J23" i="13"/>
  <c r="M23" i="13"/>
  <c r="G24" i="12"/>
  <c r="J24" i="12"/>
  <c r="L24" i="12"/>
  <c r="P24" i="12"/>
  <c r="Y24" i="12"/>
  <c r="S24" i="12"/>
  <c r="U24" i="12"/>
  <c r="W24" i="12"/>
  <c r="AC4" i="12"/>
  <c r="AD3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F25" i="12"/>
  <c r="I25" i="12" s="1"/>
  <c r="H24" i="12"/>
  <c r="R24" i="12"/>
  <c r="T24" i="12"/>
  <c r="N24" i="12"/>
  <c r="X24" i="12"/>
  <c r="Z24" i="12"/>
  <c r="AB24" i="12"/>
  <c r="V24" i="12"/>
  <c r="I24" i="12"/>
  <c r="O24" i="12"/>
  <c r="Q24" i="12"/>
  <c r="K24" i="12"/>
  <c r="M24" i="12"/>
  <c r="M43" i="9"/>
  <c r="S15" i="10"/>
  <c r="P15" i="10"/>
  <c r="R15" i="10"/>
  <c r="P38" i="10"/>
  <c r="I15" i="10"/>
  <c r="M38" i="10"/>
  <c r="L15" i="10"/>
  <c r="M15" i="10"/>
  <c r="G38" i="10"/>
  <c r="M15" i="9"/>
  <c r="R15" i="9"/>
  <c r="Q15" i="8"/>
  <c r="R15" i="8"/>
  <c r="I15" i="3"/>
  <c r="N38" i="11"/>
  <c r="K38" i="11"/>
  <c r="S38" i="11"/>
  <c r="O38" i="11"/>
  <c r="H38" i="11"/>
  <c r="L38" i="10"/>
  <c r="K38" i="10"/>
  <c r="N38" i="10"/>
  <c r="R38" i="10"/>
  <c r="O38" i="10"/>
  <c r="J38" i="10"/>
  <c r="F39" i="10"/>
  <c r="N39" i="10" s="1"/>
  <c r="Q38" i="10"/>
  <c r="I38" i="10"/>
  <c r="T3" i="11"/>
  <c r="S4" i="11"/>
  <c r="S5" i="11"/>
  <c r="S6" i="11"/>
  <c r="S58" i="11"/>
  <c r="S84" i="11"/>
  <c r="S59" i="11"/>
  <c r="S85" i="11"/>
  <c r="S7" i="11"/>
  <c r="S86" i="11"/>
  <c r="S8" i="11"/>
  <c r="S60" i="11"/>
  <c r="S9" i="11"/>
  <c r="S61" i="11"/>
  <c r="S87" i="11"/>
  <c r="S88" i="11"/>
  <c r="S10" i="11"/>
  <c r="S62" i="11"/>
  <c r="S11" i="11"/>
  <c r="S89" i="11"/>
  <c r="S63" i="11"/>
  <c r="S64" i="11"/>
  <c r="S90" i="11"/>
  <c r="S12" i="11"/>
  <c r="S35" i="11"/>
  <c r="S36" i="11"/>
  <c r="S13" i="11"/>
  <c r="S65" i="11"/>
  <c r="S91" i="11"/>
  <c r="S14" i="11"/>
  <c r="S37" i="11"/>
  <c r="S92" i="11"/>
  <c r="S66" i="11"/>
  <c r="L38" i="11"/>
  <c r="R94" i="11"/>
  <c r="J16" i="11"/>
  <c r="M38" i="11"/>
  <c r="P38" i="11"/>
  <c r="M15" i="11"/>
  <c r="R15" i="11"/>
  <c r="N15" i="11"/>
  <c r="Q38" i="11"/>
  <c r="I38" i="11"/>
  <c r="J38" i="11"/>
  <c r="O15" i="11"/>
  <c r="G15" i="11"/>
  <c r="R38" i="11"/>
  <c r="I15" i="11"/>
  <c r="S15" i="11"/>
  <c r="K15" i="11"/>
  <c r="Q15" i="11"/>
  <c r="L15" i="11"/>
  <c r="J39" i="11"/>
  <c r="N68" i="11"/>
  <c r="M68" i="11"/>
  <c r="T68" i="11"/>
  <c r="L68" i="11"/>
  <c r="Q68" i="11"/>
  <c r="I68" i="11"/>
  <c r="O68" i="11"/>
  <c r="J68" i="11"/>
  <c r="H68" i="11"/>
  <c r="G68" i="11"/>
  <c r="P68" i="11"/>
  <c r="K68" i="11"/>
  <c r="S68" i="11"/>
  <c r="R68" i="11"/>
  <c r="S94" i="11"/>
  <c r="O94" i="11"/>
  <c r="G94" i="11"/>
  <c r="N79" i="10"/>
  <c r="G79" i="10"/>
  <c r="I79" i="10"/>
  <c r="O79" i="10"/>
  <c r="Q79" i="10"/>
  <c r="L79" i="10"/>
  <c r="F16" i="10"/>
  <c r="O16" i="10" s="1"/>
  <c r="R79" i="10"/>
  <c r="N15" i="10"/>
  <c r="S5" i="10"/>
  <c r="T3" i="10"/>
  <c r="S4" i="10"/>
  <c r="S69" i="10"/>
  <c r="S6" i="10"/>
  <c r="S33" i="10"/>
  <c r="S70" i="10"/>
  <c r="S71" i="10"/>
  <c r="S34" i="10"/>
  <c r="S7" i="10"/>
  <c r="S8" i="10"/>
  <c r="S35" i="10"/>
  <c r="S72" i="10"/>
  <c r="S9" i="10"/>
  <c r="S36" i="10"/>
  <c r="S73" i="10"/>
  <c r="S10" i="10"/>
  <c r="S74" i="10"/>
  <c r="S37" i="10"/>
  <c r="S11" i="10"/>
  <c r="S38" i="10"/>
  <c r="S75" i="10"/>
  <c r="S12" i="10"/>
  <c r="S76" i="10"/>
  <c r="S77" i="10"/>
  <c r="S13" i="10"/>
  <c r="S14" i="10"/>
  <c r="S78" i="10"/>
  <c r="H79" i="10"/>
  <c r="H15" i="10"/>
  <c r="J79" i="10"/>
  <c r="Q80" i="10"/>
  <c r="K79" i="10"/>
  <c r="M79" i="10"/>
  <c r="S79" i="10"/>
  <c r="O15" i="9"/>
  <c r="R4" i="9"/>
  <c r="R5" i="9"/>
  <c r="R33" i="9"/>
  <c r="R6" i="9"/>
  <c r="R34" i="9"/>
  <c r="R35" i="9"/>
  <c r="R7" i="9"/>
  <c r="R8" i="9"/>
  <c r="R36" i="9"/>
  <c r="R37" i="9"/>
  <c r="R9" i="9"/>
  <c r="R38" i="9"/>
  <c r="R10" i="9"/>
  <c r="R11" i="9"/>
  <c r="R39" i="9"/>
  <c r="R12" i="9"/>
  <c r="R40" i="9"/>
  <c r="R13" i="9"/>
  <c r="R41" i="9"/>
  <c r="R14" i="9"/>
  <c r="R42" i="9"/>
  <c r="H15" i="9"/>
  <c r="Q15" i="9"/>
  <c r="H43" i="9"/>
  <c r="G15" i="9"/>
  <c r="L15" i="9"/>
  <c r="J15" i="9"/>
  <c r="K15" i="9"/>
  <c r="R43" i="9"/>
  <c r="F44" i="9"/>
  <c r="I44" i="9" s="1"/>
  <c r="P15" i="9"/>
  <c r="J43" i="9"/>
  <c r="N15" i="9"/>
  <c r="I15" i="8"/>
  <c r="M15" i="8"/>
  <c r="O15" i="8"/>
  <c r="G15" i="8"/>
  <c r="L15" i="8"/>
  <c r="J15" i="8"/>
  <c r="P15" i="8"/>
  <c r="R4" i="8"/>
  <c r="R5" i="8"/>
  <c r="R6" i="8"/>
  <c r="R7" i="8"/>
  <c r="R8" i="8"/>
  <c r="R9" i="8"/>
  <c r="R10" i="8"/>
  <c r="R11" i="8"/>
  <c r="R12" i="8"/>
  <c r="R13" i="8"/>
  <c r="R14" i="8"/>
  <c r="K15" i="8"/>
  <c r="N15" i="8"/>
  <c r="N15" i="3"/>
  <c r="L15" i="3"/>
  <c r="J15" i="3"/>
  <c r="Q15" i="3"/>
  <c r="H15" i="3"/>
  <c r="P15" i="3"/>
  <c r="G15" i="3"/>
  <c r="S15" i="3"/>
  <c r="M15" i="3"/>
  <c r="K15" i="3"/>
  <c r="R15" i="3"/>
  <c r="T3" i="3"/>
  <c r="S4" i="3"/>
  <c r="S5" i="3"/>
  <c r="S6" i="3"/>
  <c r="S7" i="3"/>
  <c r="S8" i="3"/>
  <c r="S9" i="3"/>
  <c r="S10" i="3"/>
  <c r="S11" i="3"/>
  <c r="S12" i="3"/>
  <c r="S13" i="3"/>
  <c r="S14" i="3"/>
  <c r="S3" i="9"/>
  <c r="F16" i="9"/>
  <c r="J16" i="9" s="1"/>
  <c r="F16" i="8"/>
  <c r="K16" i="8" s="1"/>
  <c r="S3" i="8"/>
  <c r="F16" i="3"/>
  <c r="P16" i="3" s="1"/>
  <c r="S30" i="18" l="1"/>
  <c r="Q30" i="18"/>
  <c r="AI30" i="18"/>
  <c r="AD30" i="18"/>
  <c r="J30" i="18"/>
  <c r="R30" i="18"/>
  <c r="O30" i="18"/>
  <c r="AJ30" i="18"/>
  <c r="K30" i="18"/>
  <c r="AB30" i="18"/>
  <c r="I30" i="18"/>
  <c r="L30" i="18"/>
  <c r="AH30" i="18"/>
  <c r="Z30" i="18"/>
  <c r="P30" i="18"/>
  <c r="H30" i="18"/>
  <c r="AG30" i="18"/>
  <c r="Y30" i="18"/>
  <c r="G30" i="18"/>
  <c r="N30" i="18"/>
  <c r="AF30" i="18"/>
  <c r="X30" i="18"/>
  <c r="M30" i="18"/>
  <c r="T30" i="18"/>
  <c r="AE30" i="18"/>
  <c r="W30" i="18"/>
  <c r="U30" i="18"/>
  <c r="F31" i="18"/>
  <c r="V31" i="18" s="1"/>
  <c r="AK30" i="18"/>
  <c r="AN3" i="18"/>
  <c r="AM4" i="18"/>
  <c r="AM5" i="18"/>
  <c r="AM6" i="18"/>
  <c r="AM29" i="18"/>
  <c r="AM16" i="18"/>
  <c r="AM7" i="18"/>
  <c r="AM30" i="18"/>
  <c r="AM17" i="18"/>
  <c r="AM18" i="18"/>
  <c r="AM8" i="18"/>
  <c r="AM9" i="18"/>
  <c r="AM19" i="18"/>
  <c r="AM10" i="18"/>
  <c r="AM20" i="18"/>
  <c r="AM11" i="18"/>
  <c r="AM21" i="18"/>
  <c r="AM12" i="18"/>
  <c r="AM22" i="18"/>
  <c r="AM13" i="18"/>
  <c r="AM23" i="18"/>
  <c r="AM14" i="18"/>
  <c r="AM24" i="18"/>
  <c r="AM15" i="18"/>
  <c r="AM25" i="18"/>
  <c r="AM26" i="18"/>
  <c r="AM27" i="18"/>
  <c r="AM28" i="18"/>
  <c r="AH3" i="17"/>
  <c r="AG4" i="17"/>
  <c r="AG5" i="17"/>
  <c r="AG17" i="17"/>
  <c r="AG35" i="17"/>
  <c r="AG6" i="17"/>
  <c r="AG54" i="17"/>
  <c r="AG72" i="17"/>
  <c r="AG90" i="17"/>
  <c r="AG73" i="17"/>
  <c r="AG55" i="17"/>
  <c r="AG7" i="17"/>
  <c r="AG36" i="17"/>
  <c r="AG18" i="17"/>
  <c r="AG91" i="17"/>
  <c r="AG8" i="17"/>
  <c r="AG37" i="17"/>
  <c r="AG19" i="17"/>
  <c r="AG74" i="17"/>
  <c r="AG92" i="17"/>
  <c r="AG56" i="17"/>
  <c r="AG20" i="17"/>
  <c r="AG9" i="17"/>
  <c r="AG38" i="17"/>
  <c r="AG75" i="17"/>
  <c r="AG57" i="17"/>
  <c r="AG93" i="17"/>
  <c r="AG76" i="17"/>
  <c r="AG58" i="17"/>
  <c r="AG94" i="17"/>
  <c r="AG21" i="17"/>
  <c r="AG39" i="17"/>
  <c r="AG10" i="17"/>
  <c r="AG77" i="17"/>
  <c r="AG59" i="17"/>
  <c r="AG40" i="17"/>
  <c r="AG22" i="17"/>
  <c r="AG95" i="17"/>
  <c r="AG11" i="17"/>
  <c r="AG60" i="17"/>
  <c r="AG12" i="17"/>
  <c r="AG23" i="17"/>
  <c r="AG41" i="17"/>
  <c r="AG78" i="17"/>
  <c r="AG96" i="17"/>
  <c r="AG13" i="17"/>
  <c r="AG42" i="17"/>
  <c r="AG61" i="17"/>
  <c r="AG79" i="17"/>
  <c r="AG24" i="17"/>
  <c r="AG97" i="17"/>
  <c r="AG25" i="17"/>
  <c r="AG80" i="17"/>
  <c r="AG14" i="17"/>
  <c r="AG43" i="17"/>
  <c r="AG62" i="17"/>
  <c r="AG98" i="17"/>
  <c r="AG44" i="17"/>
  <c r="AG99" i="17"/>
  <c r="AG63" i="17"/>
  <c r="AG26" i="17"/>
  <c r="AG81" i="17"/>
  <c r="AG15" i="17"/>
  <c r="AG64" i="17"/>
  <c r="AG100" i="17"/>
  <c r="AG27" i="17"/>
  <c r="AG82" i="17"/>
  <c r="AG16" i="17"/>
  <c r="AG45" i="17"/>
  <c r="AG101" i="17"/>
  <c r="AG65" i="17"/>
  <c r="AG83" i="17"/>
  <c r="AG46" i="17"/>
  <c r="AG28" i="17"/>
  <c r="AG29" i="17"/>
  <c r="AG84" i="17"/>
  <c r="AG102" i="17"/>
  <c r="AG66" i="17"/>
  <c r="AG47" i="17"/>
  <c r="AG48" i="17"/>
  <c r="AG67" i="17"/>
  <c r="AG103" i="17"/>
  <c r="AG85" i="17"/>
  <c r="AG30" i="17"/>
  <c r="AG49" i="17"/>
  <c r="AG86" i="17"/>
  <c r="AG31" i="17"/>
  <c r="AG68" i="17"/>
  <c r="AG32" i="17"/>
  <c r="AG50" i="17"/>
  <c r="AG87" i="17"/>
  <c r="AG69" i="17"/>
  <c r="AG33" i="17"/>
  <c r="AG88" i="17"/>
  <c r="AG70" i="17"/>
  <c r="AG51" i="17"/>
  <c r="AG34" i="17"/>
  <c r="AG52" i="17"/>
  <c r="AG89" i="17"/>
  <c r="AG71" i="17"/>
  <c r="J25" i="12"/>
  <c r="K25" i="12"/>
  <c r="L25" i="12"/>
  <c r="R25" i="12"/>
  <c r="X25" i="12"/>
  <c r="S16" i="9"/>
  <c r="S16" i="8"/>
  <c r="AB3" i="15"/>
  <c r="AA4" i="15"/>
  <c r="AA5" i="15"/>
  <c r="AA15" i="15"/>
  <c r="AA27" i="15"/>
  <c r="AA6" i="15"/>
  <c r="AA7" i="15"/>
  <c r="AA16" i="15"/>
  <c r="AA28" i="15"/>
  <c r="AA29" i="15"/>
  <c r="AA17" i="15"/>
  <c r="AA8" i="15"/>
  <c r="AA30" i="15"/>
  <c r="AA18" i="15"/>
  <c r="AA9" i="15"/>
  <c r="AA31" i="15"/>
  <c r="AA10" i="15"/>
  <c r="AA19" i="15"/>
  <c r="AA20" i="15"/>
  <c r="AA32" i="15"/>
  <c r="AA11" i="15"/>
  <c r="AA12" i="15"/>
  <c r="AA21" i="15"/>
  <c r="AA13" i="15"/>
  <c r="AA22" i="15"/>
  <c r="AA14" i="15"/>
  <c r="AA23" i="15"/>
  <c r="AA24" i="15"/>
  <c r="AA25" i="15"/>
  <c r="AA26" i="15"/>
  <c r="AB4" i="14"/>
  <c r="AC3" i="14"/>
  <c r="AB5" i="14"/>
  <c r="AB6" i="14"/>
  <c r="AB21" i="14"/>
  <c r="AB22" i="14"/>
  <c r="AB7" i="14"/>
  <c r="AB8" i="14"/>
  <c r="AB23" i="14"/>
  <c r="AB24" i="14"/>
  <c r="AB9" i="14"/>
  <c r="AB25" i="14"/>
  <c r="AB10" i="14"/>
  <c r="AB26" i="14"/>
  <c r="AB11" i="14"/>
  <c r="AB12" i="14"/>
  <c r="AB27" i="14"/>
  <c r="AB13" i="14"/>
  <c r="AB28" i="14"/>
  <c r="AB14" i="14"/>
  <c r="AB29" i="14"/>
  <c r="AB30" i="14"/>
  <c r="AB15" i="14"/>
  <c r="AB31" i="14"/>
  <c r="AB16" i="14"/>
  <c r="AB32" i="14"/>
  <c r="AB17" i="14"/>
  <c r="AB18" i="14"/>
  <c r="AB19" i="14"/>
  <c r="AB20" i="14"/>
  <c r="G24" i="13"/>
  <c r="Q24" i="13"/>
  <c r="AA24" i="13"/>
  <c r="W24" i="13"/>
  <c r="K24" i="13"/>
  <c r="I24" i="13"/>
  <c r="M24" i="13"/>
  <c r="J24" i="13"/>
  <c r="X25" i="13"/>
  <c r="Y25" i="13"/>
  <c r="U25" i="13"/>
  <c r="T25" i="13"/>
  <c r="W25" i="13"/>
  <c r="T24" i="13"/>
  <c r="S24" i="13"/>
  <c r="N24" i="13"/>
  <c r="U24" i="13"/>
  <c r="H24" i="13"/>
  <c r="AA4" i="13"/>
  <c r="AB3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U25" i="12"/>
  <c r="S25" i="12"/>
  <c r="G25" i="12"/>
  <c r="M25" i="12"/>
  <c r="AA25" i="12"/>
  <c r="AC25" i="12"/>
  <c r="O25" i="12"/>
  <c r="W25" i="12"/>
  <c r="AD4" i="12"/>
  <c r="AD5" i="12"/>
  <c r="AE3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F26" i="12"/>
  <c r="I26" i="12" s="1"/>
  <c r="Q25" i="12"/>
  <c r="T25" i="12"/>
  <c r="N25" i="12"/>
  <c r="Y25" i="12"/>
  <c r="Z25" i="12"/>
  <c r="AB25" i="12"/>
  <c r="V25" i="12"/>
  <c r="H25" i="12"/>
  <c r="AD25" i="12"/>
  <c r="P25" i="12"/>
  <c r="H16" i="9"/>
  <c r="M39" i="10"/>
  <c r="M16" i="10"/>
  <c r="I16" i="10"/>
  <c r="M44" i="9"/>
  <c r="K44" i="9"/>
  <c r="N16" i="9"/>
  <c r="N44" i="9"/>
  <c r="R44" i="9"/>
  <c r="H44" i="9"/>
  <c r="J44" i="9"/>
  <c r="L44" i="9"/>
  <c r="G44" i="9"/>
  <c r="P44" i="9"/>
  <c r="Q44" i="9"/>
  <c r="O44" i="9"/>
  <c r="H16" i="8"/>
  <c r="R16" i="8"/>
  <c r="P16" i="8"/>
  <c r="N94" i="11"/>
  <c r="L94" i="11"/>
  <c r="H94" i="11"/>
  <c r="T94" i="11"/>
  <c r="P94" i="11"/>
  <c r="I94" i="11"/>
  <c r="J94" i="11"/>
  <c r="F40" i="10"/>
  <c r="H40" i="10" s="1"/>
  <c r="R39" i="10"/>
  <c r="G39" i="10"/>
  <c r="P39" i="10"/>
  <c r="Q39" i="10"/>
  <c r="L39" i="10"/>
  <c r="H39" i="10"/>
  <c r="I39" i="10"/>
  <c r="K39" i="10"/>
  <c r="S39" i="10"/>
  <c r="J39" i="10"/>
  <c r="O39" i="10"/>
  <c r="P39" i="11"/>
  <c r="I39" i="11"/>
  <c r="N39" i="11"/>
  <c r="I16" i="11"/>
  <c r="T16" i="11"/>
  <c r="N16" i="11"/>
  <c r="T39" i="11"/>
  <c r="S16" i="11"/>
  <c r="K16" i="11"/>
  <c r="K40" i="11"/>
  <c r="R40" i="11"/>
  <c r="J40" i="11"/>
  <c r="N40" i="11"/>
  <c r="S40" i="11"/>
  <c r="T40" i="11"/>
  <c r="Q40" i="11"/>
  <c r="M40" i="11"/>
  <c r="L40" i="11"/>
  <c r="H40" i="11"/>
  <c r="H95" i="11"/>
  <c r="M69" i="11"/>
  <c r="F17" i="11"/>
  <c r="L17" i="11" s="1"/>
  <c r="R39" i="11"/>
  <c r="R16" i="11"/>
  <c r="K39" i="11"/>
  <c r="O16" i="11"/>
  <c r="M16" i="11"/>
  <c r="L16" i="11"/>
  <c r="Q39" i="11"/>
  <c r="G39" i="11"/>
  <c r="H16" i="11"/>
  <c r="O39" i="11"/>
  <c r="G16" i="11"/>
  <c r="P16" i="11"/>
  <c r="P95" i="11"/>
  <c r="G95" i="11"/>
  <c r="N95" i="11"/>
  <c r="M95" i="11"/>
  <c r="T95" i="11"/>
  <c r="J95" i="11"/>
  <c r="M39" i="11"/>
  <c r="Q16" i="11"/>
  <c r="Q94" i="11"/>
  <c r="K94" i="11"/>
  <c r="M94" i="11"/>
  <c r="H39" i="11"/>
  <c r="S39" i="11"/>
  <c r="L39" i="11"/>
  <c r="I69" i="11"/>
  <c r="P69" i="11"/>
  <c r="H69" i="11"/>
  <c r="S69" i="11"/>
  <c r="L69" i="11"/>
  <c r="T69" i="11"/>
  <c r="T4" i="11"/>
  <c r="U3" i="11"/>
  <c r="T5" i="11"/>
  <c r="T84" i="11"/>
  <c r="T58" i="11"/>
  <c r="T6" i="11"/>
  <c r="T7" i="11"/>
  <c r="T85" i="11"/>
  <c r="T59" i="11"/>
  <c r="T60" i="11"/>
  <c r="T8" i="11"/>
  <c r="T86" i="11"/>
  <c r="T61" i="11"/>
  <c r="T9" i="11"/>
  <c r="T87" i="11"/>
  <c r="T10" i="11"/>
  <c r="T62" i="11"/>
  <c r="T88" i="11"/>
  <c r="T63" i="11"/>
  <c r="T89" i="11"/>
  <c r="T11" i="11"/>
  <c r="T64" i="11"/>
  <c r="T35" i="11"/>
  <c r="T12" i="11"/>
  <c r="T90" i="11"/>
  <c r="T13" i="11"/>
  <c r="T91" i="11"/>
  <c r="T65" i="11"/>
  <c r="T36" i="11"/>
  <c r="T37" i="11"/>
  <c r="T66" i="11"/>
  <c r="T92" i="11"/>
  <c r="T14" i="11"/>
  <c r="T15" i="11"/>
  <c r="T38" i="11"/>
  <c r="T67" i="11"/>
  <c r="T93" i="11"/>
  <c r="H80" i="10"/>
  <c r="J80" i="10"/>
  <c r="L80" i="10"/>
  <c r="G80" i="10"/>
  <c r="T16" i="10"/>
  <c r="H16" i="10"/>
  <c r="N80" i="10"/>
  <c r="T80" i="10"/>
  <c r="O80" i="10"/>
  <c r="P16" i="10"/>
  <c r="N16" i="10"/>
  <c r="K16" i="10"/>
  <c r="Q16" i="10"/>
  <c r="G16" i="10"/>
  <c r="S81" i="10"/>
  <c r="K81" i="10"/>
  <c r="H81" i="10"/>
  <c r="N81" i="10"/>
  <c r="T81" i="10"/>
  <c r="R80" i="10"/>
  <c r="M80" i="10"/>
  <c r="U3" i="10"/>
  <c r="U81" i="10" s="1"/>
  <c r="T5" i="10"/>
  <c r="T4" i="10"/>
  <c r="T69" i="10"/>
  <c r="T70" i="10"/>
  <c r="T33" i="10"/>
  <c r="T6" i="10"/>
  <c r="T7" i="10"/>
  <c r="T34" i="10"/>
  <c r="T71" i="10"/>
  <c r="T8" i="10"/>
  <c r="T72" i="10"/>
  <c r="T35" i="10"/>
  <c r="T73" i="10"/>
  <c r="T36" i="10"/>
  <c r="T9" i="10"/>
  <c r="T37" i="10"/>
  <c r="T10" i="10"/>
  <c r="T74" i="10"/>
  <c r="T75" i="10"/>
  <c r="T11" i="10"/>
  <c r="T38" i="10"/>
  <c r="T39" i="10"/>
  <c r="T12" i="10"/>
  <c r="T76" i="10"/>
  <c r="T13" i="10"/>
  <c r="T77" i="10"/>
  <c r="T78" i="10"/>
  <c r="T14" i="10"/>
  <c r="T79" i="10"/>
  <c r="T15" i="10"/>
  <c r="F17" i="10"/>
  <c r="K17" i="10" s="1"/>
  <c r="S16" i="10"/>
  <c r="J16" i="10"/>
  <c r="K80" i="10"/>
  <c r="I80" i="10"/>
  <c r="S80" i="10"/>
  <c r="P80" i="10"/>
  <c r="L16" i="10"/>
  <c r="R16" i="10"/>
  <c r="S44" i="9"/>
  <c r="Q16" i="9"/>
  <c r="I16" i="9"/>
  <c r="L16" i="9"/>
  <c r="O16" i="9"/>
  <c r="F45" i="9"/>
  <c r="N45" i="9" s="1"/>
  <c r="S45" i="9"/>
  <c r="M16" i="9"/>
  <c r="R16" i="9"/>
  <c r="G16" i="9"/>
  <c r="S4" i="9"/>
  <c r="S5" i="9"/>
  <c r="S33" i="9"/>
  <c r="S34" i="9"/>
  <c r="S6" i="9"/>
  <c r="S35" i="9"/>
  <c r="S7" i="9"/>
  <c r="S8" i="9"/>
  <c r="S36" i="9"/>
  <c r="S37" i="9"/>
  <c r="S9" i="9"/>
  <c r="S10" i="9"/>
  <c r="S38" i="9"/>
  <c r="S39" i="9"/>
  <c r="S11" i="9"/>
  <c r="S12" i="9"/>
  <c r="S40" i="9"/>
  <c r="S41" i="9"/>
  <c r="S13" i="9"/>
  <c r="S14" i="9"/>
  <c r="S42" i="9"/>
  <c r="S15" i="9"/>
  <c r="S43" i="9"/>
  <c r="K16" i="9"/>
  <c r="P16" i="9"/>
  <c r="I16" i="8"/>
  <c r="Q16" i="8"/>
  <c r="O16" i="8"/>
  <c r="G16" i="8"/>
  <c r="M16" i="8"/>
  <c r="S4" i="8"/>
  <c r="S5" i="8"/>
  <c r="S6" i="8"/>
  <c r="S7" i="8"/>
  <c r="S8" i="8"/>
  <c r="S9" i="8"/>
  <c r="S10" i="8"/>
  <c r="S11" i="8"/>
  <c r="S12" i="8"/>
  <c r="S13" i="8"/>
  <c r="S14" i="8"/>
  <c r="S15" i="8"/>
  <c r="J16" i="8"/>
  <c r="N16" i="8"/>
  <c r="L16" i="8"/>
  <c r="G16" i="3"/>
  <c r="L16" i="3"/>
  <c r="J16" i="3"/>
  <c r="H16" i="3"/>
  <c r="S16" i="3"/>
  <c r="U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N16" i="3"/>
  <c r="K16" i="3"/>
  <c r="Q16" i="3"/>
  <c r="I16" i="3"/>
  <c r="R16" i="3"/>
  <c r="M16" i="3"/>
  <c r="O16" i="3"/>
  <c r="F17" i="9"/>
  <c r="K17" i="9" s="1"/>
  <c r="T3" i="9"/>
  <c r="F17" i="8"/>
  <c r="P17" i="8" s="1"/>
  <c r="T3" i="8"/>
  <c r="F17" i="3"/>
  <c r="R17" i="3" s="1"/>
  <c r="AK31" i="18" l="1"/>
  <c r="R31" i="18"/>
  <c r="AI31" i="18"/>
  <c r="AG31" i="18"/>
  <c r="I31" i="18"/>
  <c r="AM31" i="18"/>
  <c r="AD31" i="18"/>
  <c r="P31" i="18"/>
  <c r="N31" i="18"/>
  <c r="AC31" i="18"/>
  <c r="G31" i="18"/>
  <c r="AJ31" i="18"/>
  <c r="Q31" i="18"/>
  <c r="AB31" i="18"/>
  <c r="S31" i="18"/>
  <c r="Y31" i="18"/>
  <c r="U31" i="18"/>
  <c r="AA31" i="18"/>
  <c r="L31" i="18"/>
  <c r="K31" i="18"/>
  <c r="AH31" i="18"/>
  <c r="Z31" i="18"/>
  <c r="W31" i="18"/>
  <c r="J31" i="18"/>
  <c r="AF31" i="18"/>
  <c r="X31" i="18"/>
  <c r="M31" i="18"/>
  <c r="T31" i="18"/>
  <c r="AE31" i="18"/>
  <c r="H31" i="18"/>
  <c r="O31" i="18"/>
  <c r="F32" i="18"/>
  <c r="G32" i="18" s="1"/>
  <c r="AL31" i="18"/>
  <c r="AO3" i="18"/>
  <c r="AN4" i="18"/>
  <c r="AN5" i="18"/>
  <c r="AN29" i="18"/>
  <c r="AN16" i="18"/>
  <c r="AN6" i="18"/>
  <c r="AN30" i="18"/>
  <c r="AN17" i="18"/>
  <c r="AN7" i="18"/>
  <c r="AN31" i="18"/>
  <c r="AN8" i="18"/>
  <c r="AN18" i="18"/>
  <c r="AN19" i="18"/>
  <c r="AN9" i="18"/>
  <c r="AN10" i="18"/>
  <c r="AN20" i="18"/>
  <c r="AN21" i="18"/>
  <c r="AN11" i="18"/>
  <c r="AN12" i="18"/>
  <c r="AN22" i="18"/>
  <c r="AN23" i="18"/>
  <c r="AN13" i="18"/>
  <c r="AN24" i="18"/>
  <c r="AN14" i="18"/>
  <c r="AN25" i="18"/>
  <c r="AN15" i="18"/>
  <c r="AN26" i="18"/>
  <c r="AN27" i="18"/>
  <c r="AN28" i="18"/>
  <c r="AI3" i="17"/>
  <c r="AH4" i="17"/>
  <c r="AH5" i="17"/>
  <c r="AH35" i="17"/>
  <c r="AH90" i="17"/>
  <c r="AH72" i="17"/>
  <c r="AH17" i="17"/>
  <c r="AH6" i="17"/>
  <c r="AH54" i="17"/>
  <c r="AH18" i="17"/>
  <c r="AH36" i="17"/>
  <c r="AH91" i="17"/>
  <c r="AH55" i="17"/>
  <c r="AH73" i="17"/>
  <c r="AH7" i="17"/>
  <c r="AH56" i="17"/>
  <c r="AH92" i="17"/>
  <c r="AH8" i="17"/>
  <c r="AH37" i="17"/>
  <c r="AH19" i="17"/>
  <c r="AH74" i="17"/>
  <c r="AH57" i="17"/>
  <c r="AH93" i="17"/>
  <c r="AH20" i="17"/>
  <c r="AH9" i="17"/>
  <c r="AH38" i="17"/>
  <c r="AH75" i="17"/>
  <c r="AH58" i="17"/>
  <c r="AH76" i="17"/>
  <c r="AH21" i="17"/>
  <c r="AH39" i="17"/>
  <c r="AH10" i="17"/>
  <c r="AH94" i="17"/>
  <c r="AH40" i="17"/>
  <c r="AH11" i="17"/>
  <c r="AH95" i="17"/>
  <c r="AH77" i="17"/>
  <c r="AH22" i="17"/>
  <c r="AH59" i="17"/>
  <c r="AH23" i="17"/>
  <c r="AH60" i="17"/>
  <c r="AH12" i="17"/>
  <c r="AH96" i="17"/>
  <c r="AH41" i="17"/>
  <c r="AH78" i="17"/>
  <c r="AH97" i="17"/>
  <c r="AH24" i="17"/>
  <c r="AH79" i="17"/>
  <c r="AH13" i="17"/>
  <c r="AH42" i="17"/>
  <c r="AH61" i="17"/>
  <c r="AH43" i="17"/>
  <c r="AH14" i="17"/>
  <c r="AH98" i="17"/>
  <c r="AH25" i="17"/>
  <c r="AH80" i="17"/>
  <c r="AH62" i="17"/>
  <c r="AH26" i="17"/>
  <c r="AH81" i="17"/>
  <c r="AH99" i="17"/>
  <c r="AH63" i="17"/>
  <c r="AH44" i="17"/>
  <c r="AH15" i="17"/>
  <c r="AH45" i="17"/>
  <c r="AH27" i="17"/>
  <c r="AH64" i="17"/>
  <c r="AH16" i="17"/>
  <c r="AH100" i="17"/>
  <c r="AH82" i="17"/>
  <c r="AH101" i="17"/>
  <c r="AH65" i="17"/>
  <c r="AH46" i="17"/>
  <c r="AH28" i="17"/>
  <c r="AH83" i="17"/>
  <c r="AH66" i="17"/>
  <c r="AH47" i="17"/>
  <c r="AH102" i="17"/>
  <c r="AH84" i="17"/>
  <c r="AH29" i="17"/>
  <c r="AH48" i="17"/>
  <c r="AH85" i="17"/>
  <c r="AH67" i="17"/>
  <c r="AH30" i="17"/>
  <c r="AH103" i="17"/>
  <c r="AH68" i="17"/>
  <c r="AH31" i="17"/>
  <c r="AH49" i="17"/>
  <c r="AH86" i="17"/>
  <c r="AH69" i="17"/>
  <c r="AH87" i="17"/>
  <c r="AH50" i="17"/>
  <c r="AH32" i="17"/>
  <c r="AH70" i="17"/>
  <c r="AH33" i="17"/>
  <c r="AH88" i="17"/>
  <c r="AH51" i="17"/>
  <c r="AH34" i="17"/>
  <c r="AH52" i="17"/>
  <c r="AH89" i="17"/>
  <c r="AH71" i="17"/>
  <c r="AH53" i="17"/>
  <c r="K45" i="9"/>
  <c r="H45" i="9"/>
  <c r="G26" i="12"/>
  <c r="S26" i="12"/>
  <c r="M17" i="10"/>
  <c r="L17" i="10"/>
  <c r="O45" i="9"/>
  <c r="AB4" i="15"/>
  <c r="AC3" i="15"/>
  <c r="AB5" i="15"/>
  <c r="AB15" i="15"/>
  <c r="AB27" i="15"/>
  <c r="AB6" i="15"/>
  <c r="AB28" i="15"/>
  <c r="AB16" i="15"/>
  <c r="AB7" i="15"/>
  <c r="AB17" i="15"/>
  <c r="AB8" i="15"/>
  <c r="AB29" i="15"/>
  <c r="AB18" i="15"/>
  <c r="AB9" i="15"/>
  <c r="AB30" i="15"/>
  <c r="AB10" i="15"/>
  <c r="AB19" i="15"/>
  <c r="AB31" i="15"/>
  <c r="AB20" i="15"/>
  <c r="AB32" i="15"/>
  <c r="AB11" i="15"/>
  <c r="AB21" i="15"/>
  <c r="AB12" i="15"/>
  <c r="AB22" i="15"/>
  <c r="AB13" i="15"/>
  <c r="AB23" i="15"/>
  <c r="AB14" i="15"/>
  <c r="AB24" i="15"/>
  <c r="AB25" i="15"/>
  <c r="AB26" i="15"/>
  <c r="AC4" i="14"/>
  <c r="AD3" i="14"/>
  <c r="AC5" i="14"/>
  <c r="AC6" i="14"/>
  <c r="AC21" i="14"/>
  <c r="AC7" i="14"/>
  <c r="AC22" i="14"/>
  <c r="AC23" i="14"/>
  <c r="AC8" i="14"/>
  <c r="AC9" i="14"/>
  <c r="AC24" i="14"/>
  <c r="AC10" i="14"/>
  <c r="AC25" i="14"/>
  <c r="AC11" i="14"/>
  <c r="AC26" i="14"/>
  <c r="AC27" i="14"/>
  <c r="AC12" i="14"/>
  <c r="AC28" i="14"/>
  <c r="AC13" i="14"/>
  <c r="AC14" i="14"/>
  <c r="AC29" i="14"/>
  <c r="AC30" i="14"/>
  <c r="AC15" i="14"/>
  <c r="AC16" i="14"/>
  <c r="AC31" i="14"/>
  <c r="AC32" i="14"/>
  <c r="AC17" i="14"/>
  <c r="AC18" i="14"/>
  <c r="AC19" i="14"/>
  <c r="AC20" i="14"/>
  <c r="J25" i="13"/>
  <c r="Q25" i="13"/>
  <c r="K25" i="13"/>
  <c r="L25" i="13"/>
  <c r="AB25" i="13"/>
  <c r="O25" i="13"/>
  <c r="H25" i="13"/>
  <c r="R25" i="13"/>
  <c r="P25" i="13"/>
  <c r="M25" i="13"/>
  <c r="Z25" i="13"/>
  <c r="AC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W26" i="13"/>
  <c r="T26" i="13"/>
  <c r="S25" i="13"/>
  <c r="N25" i="13"/>
  <c r="AA25" i="13"/>
  <c r="G25" i="13"/>
  <c r="V25" i="13"/>
  <c r="I25" i="13"/>
  <c r="N26" i="12"/>
  <c r="T26" i="12"/>
  <c r="Y26" i="12"/>
  <c r="R26" i="12"/>
  <c r="V26" i="12"/>
  <c r="H26" i="12"/>
  <c r="AA26" i="12"/>
  <c r="AD26" i="12"/>
  <c r="P26" i="12"/>
  <c r="AE4" i="12"/>
  <c r="AF3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M26" i="12"/>
  <c r="X26" i="12"/>
  <c r="J26" i="12"/>
  <c r="L26" i="12"/>
  <c r="U26" i="12"/>
  <c r="O26" i="12"/>
  <c r="Z26" i="12"/>
  <c r="AB26" i="12"/>
  <c r="AC26" i="12"/>
  <c r="W26" i="12"/>
  <c r="F27" i="12"/>
  <c r="W27" i="12" s="1"/>
  <c r="AE26" i="12"/>
  <c r="Q26" i="12"/>
  <c r="K26" i="12"/>
  <c r="M45" i="9"/>
  <c r="G45" i="9"/>
  <c r="J45" i="9"/>
  <c r="Q45" i="9"/>
  <c r="L45" i="9"/>
  <c r="T45" i="9"/>
  <c r="I45" i="9"/>
  <c r="P45" i="9"/>
  <c r="R17" i="10"/>
  <c r="S40" i="10"/>
  <c r="J17" i="10"/>
  <c r="I17" i="10"/>
  <c r="R40" i="10"/>
  <c r="Q17" i="10"/>
  <c r="T40" i="10"/>
  <c r="Q40" i="10"/>
  <c r="G40" i="10"/>
  <c r="H17" i="10"/>
  <c r="T17" i="10"/>
  <c r="L40" i="10"/>
  <c r="N40" i="10"/>
  <c r="P17" i="10"/>
  <c r="P40" i="10"/>
  <c r="J40" i="10"/>
  <c r="G17" i="10"/>
  <c r="O40" i="10"/>
  <c r="F41" i="10"/>
  <c r="P41" i="10" s="1"/>
  <c r="R45" i="9"/>
  <c r="M17" i="8"/>
  <c r="I17" i="8"/>
  <c r="I40" i="11"/>
  <c r="G40" i="11"/>
  <c r="P40" i="11"/>
  <c r="O40" i="11"/>
  <c r="N69" i="11"/>
  <c r="K95" i="11"/>
  <c r="U17" i="11"/>
  <c r="T17" i="11"/>
  <c r="P17" i="11"/>
  <c r="G17" i="11"/>
  <c r="I17" i="11"/>
  <c r="K17" i="11"/>
  <c r="Q17" i="11"/>
  <c r="H17" i="11"/>
  <c r="K69" i="11"/>
  <c r="J69" i="11"/>
  <c r="M17" i="11"/>
  <c r="J17" i="11"/>
  <c r="N17" i="11"/>
  <c r="G69" i="11"/>
  <c r="Q69" i="11"/>
  <c r="O69" i="11"/>
  <c r="R69" i="11"/>
  <c r="O17" i="11"/>
  <c r="R17" i="11"/>
  <c r="S17" i="11"/>
  <c r="M40" i="10"/>
  <c r="I40" i="10"/>
  <c r="K40" i="10"/>
  <c r="U4" i="11"/>
  <c r="V3" i="11"/>
  <c r="V70" i="11" s="1"/>
  <c r="U5" i="11"/>
  <c r="U84" i="11"/>
  <c r="U58" i="11"/>
  <c r="U6" i="11"/>
  <c r="U85" i="11"/>
  <c r="U7" i="11"/>
  <c r="U59" i="11"/>
  <c r="U60" i="11"/>
  <c r="U8" i="11"/>
  <c r="U86" i="11"/>
  <c r="U61" i="11"/>
  <c r="U9" i="11"/>
  <c r="U87" i="11"/>
  <c r="U62" i="11"/>
  <c r="U88" i="11"/>
  <c r="U10" i="11"/>
  <c r="U11" i="11"/>
  <c r="U63" i="11"/>
  <c r="U89" i="11"/>
  <c r="U90" i="11"/>
  <c r="U12" i="11"/>
  <c r="U64" i="11"/>
  <c r="U35" i="11"/>
  <c r="U65" i="11"/>
  <c r="U91" i="11"/>
  <c r="U13" i="11"/>
  <c r="U36" i="11"/>
  <c r="U14" i="11"/>
  <c r="U92" i="11"/>
  <c r="U66" i="11"/>
  <c r="U37" i="11"/>
  <c r="U67" i="11"/>
  <c r="U93" i="11"/>
  <c r="U38" i="11"/>
  <c r="U15" i="11"/>
  <c r="U68" i="11"/>
  <c r="U94" i="11"/>
  <c r="U16" i="11"/>
  <c r="U39" i="11"/>
  <c r="U69" i="11"/>
  <c r="S70" i="11"/>
  <c r="U70" i="11"/>
  <c r="Q70" i="11"/>
  <c r="H70" i="11"/>
  <c r="L95" i="11"/>
  <c r="U95" i="11"/>
  <c r="O95" i="11"/>
  <c r="U40" i="11"/>
  <c r="S95" i="11"/>
  <c r="I95" i="11"/>
  <c r="U96" i="11"/>
  <c r="F18" i="11"/>
  <c r="H18" i="11" s="1"/>
  <c r="R95" i="11"/>
  <c r="Q95" i="11"/>
  <c r="J41" i="11"/>
  <c r="U41" i="11"/>
  <c r="J81" i="10"/>
  <c r="M81" i="10"/>
  <c r="F18" i="10"/>
  <c r="O18" i="10" s="1"/>
  <c r="R81" i="10"/>
  <c r="I81" i="10"/>
  <c r="O17" i="10"/>
  <c r="S17" i="10"/>
  <c r="N17" i="10"/>
  <c r="G81" i="10"/>
  <c r="O81" i="10"/>
  <c r="Q81" i="10"/>
  <c r="L81" i="10"/>
  <c r="U17" i="10"/>
  <c r="Q82" i="10"/>
  <c r="O82" i="10"/>
  <c r="P81" i="10"/>
  <c r="U4" i="10"/>
  <c r="V3" i="10"/>
  <c r="U5" i="10"/>
  <c r="U69" i="10"/>
  <c r="U70" i="10"/>
  <c r="U6" i="10"/>
  <c r="U33" i="10"/>
  <c r="U71" i="10"/>
  <c r="U7" i="10"/>
  <c r="U34" i="10"/>
  <c r="U72" i="10"/>
  <c r="U35" i="10"/>
  <c r="U8" i="10"/>
  <c r="U9" i="10"/>
  <c r="U36" i="10"/>
  <c r="U73" i="10"/>
  <c r="U10" i="10"/>
  <c r="U74" i="10"/>
  <c r="U37" i="10"/>
  <c r="U75" i="10"/>
  <c r="U38" i="10"/>
  <c r="U11" i="10"/>
  <c r="U76" i="10"/>
  <c r="U39" i="10"/>
  <c r="U12" i="10"/>
  <c r="U77" i="10"/>
  <c r="U40" i="10"/>
  <c r="U13" i="10"/>
  <c r="U14" i="10"/>
  <c r="U78" i="10"/>
  <c r="U79" i="10"/>
  <c r="U15" i="10"/>
  <c r="U80" i="10"/>
  <c r="U16" i="10"/>
  <c r="G17" i="9"/>
  <c r="M17" i="9"/>
  <c r="F46" i="9"/>
  <c r="K46" i="9" s="1"/>
  <c r="R17" i="9"/>
  <c r="Q17" i="9"/>
  <c r="H17" i="9"/>
  <c r="O17" i="9"/>
  <c r="S17" i="9"/>
  <c r="T4" i="9"/>
  <c r="T5" i="9"/>
  <c r="T33" i="9"/>
  <c r="T6" i="9"/>
  <c r="T34" i="9"/>
  <c r="T35" i="9"/>
  <c r="T7" i="9"/>
  <c r="T8" i="9"/>
  <c r="T36" i="9"/>
  <c r="T37" i="9"/>
  <c r="T9" i="9"/>
  <c r="T38" i="9"/>
  <c r="T10" i="9"/>
  <c r="T39" i="9"/>
  <c r="T11" i="9"/>
  <c r="T12" i="9"/>
  <c r="T40" i="9"/>
  <c r="T13" i="9"/>
  <c r="T41" i="9"/>
  <c r="T42" i="9"/>
  <c r="T14" i="9"/>
  <c r="T43" i="9"/>
  <c r="T15" i="9"/>
  <c r="T44" i="9"/>
  <c r="T16" i="9"/>
  <c r="P17" i="9"/>
  <c r="I17" i="9"/>
  <c r="T17" i="9"/>
  <c r="J17" i="9"/>
  <c r="N17" i="9"/>
  <c r="L17" i="9"/>
  <c r="G17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L17" i="8"/>
  <c r="J17" i="8"/>
  <c r="R17" i="8"/>
  <c r="O17" i="8"/>
  <c r="H17" i="8"/>
  <c r="S17" i="8"/>
  <c r="N17" i="8"/>
  <c r="K17" i="8"/>
  <c r="Q17" i="8"/>
  <c r="I17" i="3"/>
  <c r="G17" i="3"/>
  <c r="M17" i="3"/>
  <c r="P17" i="3"/>
  <c r="Q17" i="3"/>
  <c r="H17" i="3"/>
  <c r="T17" i="3"/>
  <c r="S17" i="3"/>
  <c r="N17" i="3"/>
  <c r="L17" i="3"/>
  <c r="K17" i="3"/>
  <c r="V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J17" i="3"/>
  <c r="O17" i="3"/>
  <c r="U17" i="3"/>
  <c r="F18" i="9"/>
  <c r="Q18" i="9" s="1"/>
  <c r="U3" i="9"/>
  <c r="F18" i="8"/>
  <c r="M18" i="8" s="1"/>
  <c r="U3" i="8"/>
  <c r="F18" i="3"/>
  <c r="Q18" i="3" s="1"/>
  <c r="K32" i="18" l="1"/>
  <c r="AN32" i="18"/>
  <c r="I32" i="18"/>
  <c r="AE32" i="18"/>
  <c r="N32" i="18"/>
  <c r="AK32" i="18"/>
  <c r="AC32" i="18"/>
  <c r="X32" i="18"/>
  <c r="U33" i="18"/>
  <c r="AM32" i="18"/>
  <c r="AJ32" i="18"/>
  <c r="AB32" i="18"/>
  <c r="W32" i="18"/>
  <c r="H32" i="18"/>
  <c r="AD32" i="18"/>
  <c r="AI32" i="18"/>
  <c r="AA32" i="18"/>
  <c r="L32" i="18"/>
  <c r="S32" i="18"/>
  <c r="AL32" i="18"/>
  <c r="AH32" i="18"/>
  <c r="Z32" i="18"/>
  <c r="P32" i="18"/>
  <c r="M32" i="18"/>
  <c r="Q32" i="18"/>
  <c r="AG32" i="18"/>
  <c r="Y32" i="18"/>
  <c r="V32" i="18"/>
  <c r="J32" i="18"/>
  <c r="T32" i="18"/>
  <c r="AF32" i="18"/>
  <c r="R32" i="18"/>
  <c r="O32" i="18"/>
  <c r="U32" i="18"/>
  <c r="AO4" i="18"/>
  <c r="AO5" i="18"/>
  <c r="AO6" i="18"/>
  <c r="AO29" i="18"/>
  <c r="AO16" i="18"/>
  <c r="AO7" i="18"/>
  <c r="AO17" i="18"/>
  <c r="AO30" i="18"/>
  <c r="AO31" i="18"/>
  <c r="AO8" i="18"/>
  <c r="AO18" i="18"/>
  <c r="AO32" i="18"/>
  <c r="AO19" i="18"/>
  <c r="AO9" i="18"/>
  <c r="AO20" i="18"/>
  <c r="AO10" i="18"/>
  <c r="AO11" i="18"/>
  <c r="AO21" i="18"/>
  <c r="AO12" i="18"/>
  <c r="AO22" i="18"/>
  <c r="AO23" i="18"/>
  <c r="AO13" i="18"/>
  <c r="AO24" i="18"/>
  <c r="AO14" i="18"/>
  <c r="AO25" i="18"/>
  <c r="AO15" i="18"/>
  <c r="AO26" i="18"/>
  <c r="AO27" i="18"/>
  <c r="AO28" i="18"/>
  <c r="AJ3" i="17"/>
  <c r="AI4" i="17"/>
  <c r="AI5" i="17"/>
  <c r="AI54" i="17"/>
  <c r="AI90" i="17"/>
  <c r="AI35" i="17"/>
  <c r="AI72" i="17"/>
  <c r="AI6" i="17"/>
  <c r="AI17" i="17"/>
  <c r="AI18" i="17"/>
  <c r="AI7" i="17"/>
  <c r="AI73" i="17"/>
  <c r="AI36" i="17"/>
  <c r="AI55" i="17"/>
  <c r="AI91" i="17"/>
  <c r="AI92" i="17"/>
  <c r="AI56" i="17"/>
  <c r="AI8" i="17"/>
  <c r="AI19" i="17"/>
  <c r="AI74" i="17"/>
  <c r="AI37" i="17"/>
  <c r="AI75" i="17"/>
  <c r="AI38" i="17"/>
  <c r="AI57" i="17"/>
  <c r="AI93" i="17"/>
  <c r="AI9" i="17"/>
  <c r="AI20" i="17"/>
  <c r="AI94" i="17"/>
  <c r="AI39" i="17"/>
  <c r="AI76" i="17"/>
  <c r="AI58" i="17"/>
  <c r="AI21" i="17"/>
  <c r="AI10" i="17"/>
  <c r="AI22" i="17"/>
  <c r="AI11" i="17"/>
  <c r="AI59" i="17"/>
  <c r="AI40" i="17"/>
  <c r="AI95" i="17"/>
  <c r="AI77" i="17"/>
  <c r="AI12" i="17"/>
  <c r="AI96" i="17"/>
  <c r="AI23" i="17"/>
  <c r="AI78" i="17"/>
  <c r="AI60" i="17"/>
  <c r="AI41" i="17"/>
  <c r="AI97" i="17"/>
  <c r="AI42" i="17"/>
  <c r="AI79" i="17"/>
  <c r="AI13" i="17"/>
  <c r="AI61" i="17"/>
  <c r="AI24" i="17"/>
  <c r="AI14" i="17"/>
  <c r="AI43" i="17"/>
  <c r="AI25" i="17"/>
  <c r="AI80" i="17"/>
  <c r="AI62" i="17"/>
  <c r="AI98" i="17"/>
  <c r="AI63" i="17"/>
  <c r="AI26" i="17"/>
  <c r="AI81" i="17"/>
  <c r="AI99" i="17"/>
  <c r="AI44" i="17"/>
  <c r="AI15" i="17"/>
  <c r="AI16" i="17"/>
  <c r="AI82" i="17"/>
  <c r="AI45" i="17"/>
  <c r="AI100" i="17"/>
  <c r="AI27" i="17"/>
  <c r="AI64" i="17"/>
  <c r="AI46" i="17"/>
  <c r="AI28" i="17"/>
  <c r="AI83" i="17"/>
  <c r="AI101" i="17"/>
  <c r="AI65" i="17"/>
  <c r="AI102" i="17"/>
  <c r="AI47" i="17"/>
  <c r="AI66" i="17"/>
  <c r="AI84" i="17"/>
  <c r="AI29" i="17"/>
  <c r="AI103" i="17"/>
  <c r="AI67" i="17"/>
  <c r="AI30" i="17"/>
  <c r="AI85" i="17"/>
  <c r="AI48" i="17"/>
  <c r="AI68" i="17"/>
  <c r="AI49" i="17"/>
  <c r="AI31" i="17"/>
  <c r="AI86" i="17"/>
  <c r="AI87" i="17"/>
  <c r="AI50" i="17"/>
  <c r="AI69" i="17"/>
  <c r="AI32" i="17"/>
  <c r="AI70" i="17"/>
  <c r="AI33" i="17"/>
  <c r="AI88" i="17"/>
  <c r="AI51" i="17"/>
  <c r="AI52" i="17"/>
  <c r="AI71" i="17"/>
  <c r="AI34" i="17"/>
  <c r="AI89" i="17"/>
  <c r="AI53" i="17"/>
  <c r="Z27" i="12"/>
  <c r="X27" i="12"/>
  <c r="J27" i="12"/>
  <c r="U41" i="10"/>
  <c r="G41" i="10"/>
  <c r="Q41" i="10"/>
  <c r="H46" i="9"/>
  <c r="J46" i="9"/>
  <c r="AD3" i="15"/>
  <c r="AC4" i="15"/>
  <c r="AC5" i="15"/>
  <c r="AC6" i="15"/>
  <c r="AC15" i="15"/>
  <c r="AC27" i="15"/>
  <c r="AC28" i="15"/>
  <c r="AC16" i="15"/>
  <c r="AC7" i="15"/>
  <c r="AC29" i="15"/>
  <c r="AC8" i="15"/>
  <c r="AC17" i="15"/>
  <c r="AC9" i="15"/>
  <c r="AC18" i="15"/>
  <c r="AC30" i="15"/>
  <c r="AC31" i="15"/>
  <c r="AC19" i="15"/>
  <c r="AC10" i="15"/>
  <c r="AC11" i="15"/>
  <c r="AC32" i="15"/>
  <c r="AC20" i="15"/>
  <c r="AC12" i="15"/>
  <c r="AC21" i="15"/>
  <c r="AC22" i="15"/>
  <c r="AC13" i="15"/>
  <c r="AC23" i="15"/>
  <c r="AC14" i="15"/>
  <c r="AC24" i="15"/>
  <c r="AC25" i="15"/>
  <c r="AC26" i="15"/>
  <c r="AE3" i="14"/>
  <c r="AD4" i="14"/>
  <c r="AD5" i="14"/>
  <c r="AD21" i="14"/>
  <c r="AD6" i="14"/>
  <c r="AD22" i="14"/>
  <c r="AD7" i="14"/>
  <c r="AD8" i="14"/>
  <c r="AD23" i="14"/>
  <c r="AD24" i="14"/>
  <c r="AD9" i="14"/>
  <c r="AD10" i="14"/>
  <c r="AD25" i="14"/>
  <c r="AD26" i="14"/>
  <c r="AD11" i="14"/>
  <c r="AD12" i="14"/>
  <c r="AD27" i="14"/>
  <c r="AD28" i="14"/>
  <c r="AD13" i="14"/>
  <c r="AD14" i="14"/>
  <c r="AD29" i="14"/>
  <c r="AD15" i="14"/>
  <c r="AD30" i="14"/>
  <c r="AD31" i="14"/>
  <c r="AD16" i="14"/>
  <c r="AD32" i="14"/>
  <c r="AD17" i="14"/>
  <c r="AD18" i="14"/>
  <c r="AD19" i="14"/>
  <c r="AD20" i="14"/>
  <c r="H26" i="13"/>
  <c r="P26" i="13"/>
  <c r="Y26" i="13"/>
  <c r="K26" i="13"/>
  <c r="J26" i="13"/>
  <c r="G26" i="13"/>
  <c r="AB26" i="13"/>
  <c r="O26" i="13"/>
  <c r="W27" i="13"/>
  <c r="Z26" i="13"/>
  <c r="M26" i="13"/>
  <c r="S26" i="13"/>
  <c r="N26" i="13"/>
  <c r="R26" i="13"/>
  <c r="AC26" i="13"/>
  <c r="AA26" i="13"/>
  <c r="V26" i="13"/>
  <c r="AD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I26" i="13"/>
  <c r="X26" i="13"/>
  <c r="U26" i="13"/>
  <c r="Q26" i="13"/>
  <c r="L26" i="13"/>
  <c r="K27" i="12"/>
  <c r="AB27" i="12"/>
  <c r="U27" i="12"/>
  <c r="Q27" i="12"/>
  <c r="Y27" i="12"/>
  <c r="M27" i="12"/>
  <c r="V27" i="12"/>
  <c r="AF27" i="12"/>
  <c r="S27" i="12"/>
  <c r="AD27" i="12"/>
  <c r="H27" i="12"/>
  <c r="AA27" i="12"/>
  <c r="G27" i="12"/>
  <c r="I27" i="12"/>
  <c r="L27" i="12"/>
  <c r="F28" i="12"/>
  <c r="L28" i="12" s="1"/>
  <c r="AE27" i="12"/>
  <c r="P27" i="12"/>
  <c r="R27" i="12"/>
  <c r="T27" i="12"/>
  <c r="N27" i="12"/>
  <c r="AG3" i="12"/>
  <c r="AF5" i="12"/>
  <c r="AF4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C27" i="12"/>
  <c r="O27" i="12"/>
  <c r="V18" i="11"/>
  <c r="U18" i="8"/>
  <c r="I46" i="9"/>
  <c r="P46" i="9"/>
  <c r="L41" i="10"/>
  <c r="H41" i="10"/>
  <c r="S41" i="10"/>
  <c r="R41" i="10"/>
  <c r="K41" i="10"/>
  <c r="J41" i="10"/>
  <c r="I18" i="10"/>
  <c r="N41" i="10"/>
  <c r="O41" i="10"/>
  <c r="M41" i="10"/>
  <c r="S18" i="10"/>
  <c r="J18" i="10"/>
  <c r="L18" i="10"/>
  <c r="V18" i="10"/>
  <c r="K18" i="10"/>
  <c r="I41" i="10"/>
  <c r="N18" i="10"/>
  <c r="M18" i="10"/>
  <c r="F42" i="10"/>
  <c r="G42" i="10" s="1"/>
  <c r="T41" i="10"/>
  <c r="Q18" i="10"/>
  <c r="P18" i="10"/>
  <c r="N46" i="9"/>
  <c r="T46" i="9"/>
  <c r="P18" i="9"/>
  <c r="L46" i="9"/>
  <c r="Q46" i="9"/>
  <c r="Q18" i="8"/>
  <c r="H18" i="8"/>
  <c r="O18" i="3"/>
  <c r="K18" i="11"/>
  <c r="O18" i="11"/>
  <c r="P18" i="11"/>
  <c r="S18" i="11"/>
  <c r="J18" i="11"/>
  <c r="G18" i="11"/>
  <c r="I18" i="11"/>
  <c r="L18" i="11"/>
  <c r="M18" i="11"/>
  <c r="Q41" i="11"/>
  <c r="H41" i="11"/>
  <c r="P41" i="11"/>
  <c r="K41" i="11"/>
  <c r="O41" i="11"/>
  <c r="L41" i="11"/>
  <c r="M96" i="11"/>
  <c r="K70" i="11"/>
  <c r="I70" i="11"/>
  <c r="R70" i="11"/>
  <c r="K96" i="11"/>
  <c r="R18" i="11"/>
  <c r="Q96" i="11"/>
  <c r="L70" i="11"/>
  <c r="T41" i="11"/>
  <c r="I41" i="11"/>
  <c r="Q18" i="11"/>
  <c r="U18" i="11"/>
  <c r="O96" i="11"/>
  <c r="G96" i="11"/>
  <c r="S96" i="11"/>
  <c r="P97" i="11"/>
  <c r="H96" i="11"/>
  <c r="J71" i="11"/>
  <c r="O42" i="11"/>
  <c r="G42" i="11"/>
  <c r="L42" i="11"/>
  <c r="U42" i="11"/>
  <c r="T42" i="11"/>
  <c r="Q42" i="11"/>
  <c r="R41" i="11"/>
  <c r="M41" i="11"/>
  <c r="G97" i="11"/>
  <c r="F19" i="11"/>
  <c r="P19" i="11" s="1"/>
  <c r="J96" i="11"/>
  <c r="L96" i="11"/>
  <c r="G70" i="11"/>
  <c r="T70" i="11"/>
  <c r="N70" i="11"/>
  <c r="N41" i="11"/>
  <c r="V41" i="11"/>
  <c r="T18" i="11"/>
  <c r="N18" i="11"/>
  <c r="P96" i="11"/>
  <c r="N96" i="11"/>
  <c r="R96" i="11"/>
  <c r="T96" i="11"/>
  <c r="O70" i="11"/>
  <c r="V96" i="11"/>
  <c r="V4" i="11"/>
  <c r="W3" i="11"/>
  <c r="W97" i="11" s="1"/>
  <c r="V5" i="11"/>
  <c r="V58" i="11"/>
  <c r="V6" i="11"/>
  <c r="V84" i="11"/>
  <c r="V7" i="11"/>
  <c r="V85" i="11"/>
  <c r="V59" i="11"/>
  <c r="V86" i="11"/>
  <c r="V60" i="11"/>
  <c r="V8" i="11"/>
  <c r="V9" i="11"/>
  <c r="V87" i="11"/>
  <c r="V61" i="11"/>
  <c r="V88" i="11"/>
  <c r="V62" i="11"/>
  <c r="V10" i="11"/>
  <c r="V63" i="11"/>
  <c r="V89" i="11"/>
  <c r="V11" i="11"/>
  <c r="V64" i="11"/>
  <c r="V35" i="11"/>
  <c r="V12" i="11"/>
  <c r="V90" i="11"/>
  <c r="V36" i="11"/>
  <c r="V91" i="11"/>
  <c r="V65" i="11"/>
  <c r="V13" i="11"/>
  <c r="V37" i="11"/>
  <c r="V66" i="11"/>
  <c r="V14" i="11"/>
  <c r="V92" i="11"/>
  <c r="V15" i="11"/>
  <c r="V67" i="11"/>
  <c r="V38" i="11"/>
  <c r="V93" i="11"/>
  <c r="V94" i="11"/>
  <c r="V68" i="11"/>
  <c r="V16" i="11"/>
  <c r="V39" i="11"/>
  <c r="V40" i="11"/>
  <c r="V95" i="11"/>
  <c r="V17" i="11"/>
  <c r="V69" i="11"/>
  <c r="S41" i="11"/>
  <c r="G41" i="11"/>
  <c r="I96" i="11"/>
  <c r="P70" i="11"/>
  <c r="J70" i="11"/>
  <c r="M70" i="11"/>
  <c r="V82" i="10"/>
  <c r="S82" i="10"/>
  <c r="L82" i="10"/>
  <c r="G82" i="10"/>
  <c r="I82" i="10"/>
  <c r="T82" i="10"/>
  <c r="T18" i="10"/>
  <c r="G18" i="10"/>
  <c r="T83" i="10"/>
  <c r="P83" i="10"/>
  <c r="V4" i="10"/>
  <c r="W3" i="10"/>
  <c r="V69" i="10"/>
  <c r="V5" i="10"/>
  <c r="V33" i="10"/>
  <c r="V6" i="10"/>
  <c r="V70" i="10"/>
  <c r="V71" i="10"/>
  <c r="V7" i="10"/>
  <c r="V34" i="10"/>
  <c r="V72" i="10"/>
  <c r="V8" i="10"/>
  <c r="V35" i="10"/>
  <c r="V9" i="10"/>
  <c r="V36" i="10"/>
  <c r="V73" i="10"/>
  <c r="V74" i="10"/>
  <c r="V10" i="10"/>
  <c r="V37" i="10"/>
  <c r="V38" i="10"/>
  <c r="V11" i="10"/>
  <c r="V75" i="10"/>
  <c r="V39" i="10"/>
  <c r="V76" i="10"/>
  <c r="V12" i="10"/>
  <c r="V40" i="10"/>
  <c r="V13" i="10"/>
  <c r="V77" i="10"/>
  <c r="V41" i="10"/>
  <c r="V14" i="10"/>
  <c r="V78" i="10"/>
  <c r="V79" i="10"/>
  <c r="V15" i="10"/>
  <c r="V16" i="10"/>
  <c r="V80" i="10"/>
  <c r="V81" i="10"/>
  <c r="V17" i="10"/>
  <c r="J82" i="10"/>
  <c r="M82" i="10"/>
  <c r="F19" i="10"/>
  <c r="O19" i="10" s="1"/>
  <c r="R18" i="10"/>
  <c r="N82" i="10"/>
  <c r="U82" i="10"/>
  <c r="H82" i="10"/>
  <c r="R82" i="10"/>
  <c r="K82" i="10"/>
  <c r="P82" i="10"/>
  <c r="U18" i="10"/>
  <c r="H18" i="10"/>
  <c r="U4" i="9"/>
  <c r="U33" i="9"/>
  <c r="U5" i="9"/>
  <c r="U34" i="9"/>
  <c r="U6" i="9"/>
  <c r="U35" i="9"/>
  <c r="U7" i="9"/>
  <c r="U36" i="9"/>
  <c r="U8" i="9"/>
  <c r="U37" i="9"/>
  <c r="U9" i="9"/>
  <c r="U10" i="9"/>
  <c r="U38" i="9"/>
  <c r="U11" i="9"/>
  <c r="U39" i="9"/>
  <c r="U40" i="9"/>
  <c r="U12" i="9"/>
  <c r="U13" i="9"/>
  <c r="U41" i="9"/>
  <c r="U42" i="9"/>
  <c r="U14" i="9"/>
  <c r="U15" i="9"/>
  <c r="U43" i="9"/>
  <c r="U44" i="9"/>
  <c r="U16" i="9"/>
  <c r="U45" i="9"/>
  <c r="U17" i="9"/>
  <c r="H18" i="9"/>
  <c r="R46" i="9"/>
  <c r="S18" i="9"/>
  <c r="O18" i="9"/>
  <c r="N18" i="9"/>
  <c r="K18" i="9"/>
  <c r="O46" i="9"/>
  <c r="U46" i="9"/>
  <c r="S46" i="9"/>
  <c r="F19" i="9"/>
  <c r="K19" i="9" s="1"/>
  <c r="M18" i="9"/>
  <c r="I18" i="9"/>
  <c r="G46" i="9"/>
  <c r="M46" i="9"/>
  <c r="U18" i="9"/>
  <c r="F47" i="9"/>
  <c r="H47" i="9" s="1"/>
  <c r="G18" i="9"/>
  <c r="T18" i="9"/>
  <c r="R18" i="9"/>
  <c r="L18" i="9"/>
  <c r="J18" i="9"/>
  <c r="K18" i="8"/>
  <c r="I18" i="8"/>
  <c r="T18" i="8"/>
  <c r="O18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S18" i="8"/>
  <c r="J18" i="8"/>
  <c r="G18" i="8"/>
  <c r="J19" i="8"/>
  <c r="R19" i="8"/>
  <c r="K19" i="8"/>
  <c r="S19" i="8"/>
  <c r="L19" i="8"/>
  <c r="T19" i="8"/>
  <c r="M19" i="8"/>
  <c r="U19" i="8"/>
  <c r="N19" i="8"/>
  <c r="O19" i="8"/>
  <c r="P19" i="8"/>
  <c r="Q19" i="8"/>
  <c r="G19" i="8"/>
  <c r="H19" i="8"/>
  <c r="I19" i="8"/>
  <c r="F42" i="8"/>
  <c r="R18" i="8"/>
  <c r="P18" i="8"/>
  <c r="L18" i="8"/>
  <c r="N18" i="8"/>
  <c r="W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N18" i="3"/>
  <c r="U18" i="3"/>
  <c r="S18" i="3"/>
  <c r="M18" i="3"/>
  <c r="K18" i="3"/>
  <c r="V18" i="3"/>
  <c r="H18" i="3"/>
  <c r="I18" i="3"/>
  <c r="P18" i="3"/>
  <c r="G18" i="3"/>
  <c r="T18" i="3"/>
  <c r="R18" i="3"/>
  <c r="L18" i="3"/>
  <c r="J18" i="3"/>
  <c r="V3" i="9"/>
  <c r="V3" i="8"/>
  <c r="V19" i="8" s="1"/>
  <c r="F19" i="3"/>
  <c r="O19" i="3" s="1"/>
  <c r="AL33" i="18" l="1"/>
  <c r="Z33" i="18"/>
  <c r="Q33" i="18"/>
  <c r="AJ33" i="18"/>
  <c r="I33" i="18"/>
  <c r="AK33" i="18"/>
  <c r="AN33" i="18"/>
  <c r="AI33" i="18"/>
  <c r="J33" i="18"/>
  <c r="AH33" i="18"/>
  <c r="T33" i="18"/>
  <c r="AF33" i="18"/>
  <c r="Y33" i="18"/>
  <c r="AB33" i="18"/>
  <c r="P33" i="18"/>
  <c r="AO33" i="18"/>
  <c r="AA33" i="18"/>
  <c r="V33" i="18"/>
  <c r="K33" i="18"/>
  <c r="S33" i="18"/>
  <c r="AD33" i="18"/>
  <c r="G33" i="18"/>
  <c r="X33" i="18"/>
  <c r="AC33" i="18"/>
  <c r="R33" i="18"/>
  <c r="W33" i="18"/>
  <c r="AG33" i="18"/>
  <c r="L33" i="18"/>
  <c r="M33" i="18"/>
  <c r="O33" i="18"/>
  <c r="AM33" i="18"/>
  <c r="AE33" i="18"/>
  <c r="H33" i="18"/>
  <c r="N33" i="18"/>
  <c r="F34" i="18"/>
  <c r="Q34" i="18" s="1"/>
  <c r="AK3" i="17"/>
  <c r="AJ4" i="17"/>
  <c r="AJ5" i="17"/>
  <c r="AJ72" i="17"/>
  <c r="AJ17" i="17"/>
  <c r="AJ90" i="17"/>
  <c r="AJ35" i="17"/>
  <c r="AJ54" i="17"/>
  <c r="AJ6" i="17"/>
  <c r="AJ91" i="17"/>
  <c r="AJ36" i="17"/>
  <c r="AJ7" i="17"/>
  <c r="AJ55" i="17"/>
  <c r="AJ18" i="17"/>
  <c r="AJ73" i="17"/>
  <c r="AJ8" i="17"/>
  <c r="AJ37" i="17"/>
  <c r="AJ92" i="17"/>
  <c r="AJ56" i="17"/>
  <c r="AJ19" i="17"/>
  <c r="AJ74" i="17"/>
  <c r="AJ93" i="17"/>
  <c r="AJ9" i="17"/>
  <c r="AJ75" i="17"/>
  <c r="AJ20" i="17"/>
  <c r="AJ38" i="17"/>
  <c r="AJ57" i="17"/>
  <c r="AJ94" i="17"/>
  <c r="AJ21" i="17"/>
  <c r="AJ10" i="17"/>
  <c r="AJ39" i="17"/>
  <c r="AJ58" i="17"/>
  <c r="AJ76" i="17"/>
  <c r="AJ95" i="17"/>
  <c r="AJ59" i="17"/>
  <c r="AJ77" i="17"/>
  <c r="AJ11" i="17"/>
  <c r="AJ40" i="17"/>
  <c r="AJ22" i="17"/>
  <c r="AJ60" i="17"/>
  <c r="AJ41" i="17"/>
  <c r="AJ12" i="17"/>
  <c r="AJ96" i="17"/>
  <c r="AJ23" i="17"/>
  <c r="AJ78" i="17"/>
  <c r="AJ97" i="17"/>
  <c r="AJ42" i="17"/>
  <c r="AJ61" i="17"/>
  <c r="AJ24" i="17"/>
  <c r="AJ13" i="17"/>
  <c r="AJ79" i="17"/>
  <c r="AJ98" i="17"/>
  <c r="AJ80" i="17"/>
  <c r="AJ62" i="17"/>
  <c r="AJ43" i="17"/>
  <c r="AJ14" i="17"/>
  <c r="AJ25" i="17"/>
  <c r="AJ44" i="17"/>
  <c r="AJ63" i="17"/>
  <c r="AJ15" i="17"/>
  <c r="AJ26" i="17"/>
  <c r="AJ81" i="17"/>
  <c r="AJ99" i="17"/>
  <c r="AJ100" i="17"/>
  <c r="AJ27" i="17"/>
  <c r="AJ64" i="17"/>
  <c r="AJ16" i="17"/>
  <c r="AJ45" i="17"/>
  <c r="AJ82" i="17"/>
  <c r="AJ28" i="17"/>
  <c r="AJ83" i="17"/>
  <c r="AJ101" i="17"/>
  <c r="AJ46" i="17"/>
  <c r="AJ65" i="17"/>
  <c r="AJ66" i="17"/>
  <c r="AJ102" i="17"/>
  <c r="AJ84" i="17"/>
  <c r="AJ47" i="17"/>
  <c r="AJ29" i="17"/>
  <c r="AJ48" i="17"/>
  <c r="AJ30" i="17"/>
  <c r="AJ103" i="17"/>
  <c r="AJ67" i="17"/>
  <c r="AJ85" i="17"/>
  <c r="AJ31" i="17"/>
  <c r="AJ49" i="17"/>
  <c r="AJ86" i="17"/>
  <c r="AJ68" i="17"/>
  <c r="AJ69" i="17"/>
  <c r="AJ32" i="17"/>
  <c r="AJ50" i="17"/>
  <c r="AJ87" i="17"/>
  <c r="AJ33" i="17"/>
  <c r="AJ88" i="17"/>
  <c r="AJ70" i="17"/>
  <c r="AJ51" i="17"/>
  <c r="AJ89" i="17"/>
  <c r="AJ34" i="17"/>
  <c r="AJ71" i="17"/>
  <c r="AJ52" i="17"/>
  <c r="AJ53" i="17"/>
  <c r="V42" i="10"/>
  <c r="S42" i="10"/>
  <c r="R42" i="10"/>
  <c r="Q42" i="10"/>
  <c r="L19" i="10"/>
  <c r="AD4" i="15"/>
  <c r="AE3" i="15"/>
  <c r="AD5" i="15"/>
  <c r="AD27" i="15"/>
  <c r="AD15" i="15"/>
  <c r="AD6" i="15"/>
  <c r="AD7" i="15"/>
  <c r="AD16" i="15"/>
  <c r="AD28" i="15"/>
  <c r="AD29" i="15"/>
  <c r="AD17" i="15"/>
  <c r="AD8" i="15"/>
  <c r="AD30" i="15"/>
  <c r="AD18" i="15"/>
  <c r="AD9" i="15"/>
  <c r="AD19" i="15"/>
  <c r="AD31" i="15"/>
  <c r="AD10" i="15"/>
  <c r="AD20" i="15"/>
  <c r="AD32" i="15"/>
  <c r="AD11" i="15"/>
  <c r="AD12" i="15"/>
  <c r="AD21" i="15"/>
  <c r="AD22" i="15"/>
  <c r="AD13" i="15"/>
  <c r="AD14" i="15"/>
  <c r="AD23" i="15"/>
  <c r="AD24" i="15"/>
  <c r="AD25" i="15"/>
  <c r="AD26" i="15"/>
  <c r="AF3" i="14"/>
  <c r="AE4" i="14"/>
  <c r="AE5" i="14"/>
  <c r="AE21" i="14"/>
  <c r="AE6" i="14"/>
  <c r="AE7" i="14"/>
  <c r="AE22" i="14"/>
  <c r="AE23" i="14"/>
  <c r="AE8" i="14"/>
  <c r="AE24" i="14"/>
  <c r="AE9" i="14"/>
  <c r="AE25" i="14"/>
  <c r="AE10" i="14"/>
  <c r="AE11" i="14"/>
  <c r="AE26" i="14"/>
  <c r="AE27" i="14"/>
  <c r="AE12" i="14"/>
  <c r="AE13" i="14"/>
  <c r="AE28" i="14"/>
  <c r="AE14" i="14"/>
  <c r="AE29" i="14"/>
  <c r="AE15" i="14"/>
  <c r="AE30" i="14"/>
  <c r="AE31" i="14"/>
  <c r="AE16" i="14"/>
  <c r="AE32" i="14"/>
  <c r="AE17" i="14"/>
  <c r="AE18" i="14"/>
  <c r="AE19" i="14"/>
  <c r="AE20" i="14"/>
  <c r="R27" i="13"/>
  <c r="L27" i="13"/>
  <c r="AD27" i="13"/>
  <c r="Q27" i="13"/>
  <c r="J27" i="13"/>
  <c r="M27" i="13"/>
  <c r="Y27" i="13"/>
  <c r="X27" i="13"/>
  <c r="S27" i="13"/>
  <c r="U27" i="13"/>
  <c r="G27" i="13"/>
  <c r="Z27" i="13"/>
  <c r="H27" i="13"/>
  <c r="AC27" i="13"/>
  <c r="O27" i="13"/>
  <c r="K27" i="13"/>
  <c r="AA27" i="13"/>
  <c r="K28" i="13"/>
  <c r="I28" i="13"/>
  <c r="P27" i="13"/>
  <c r="T27" i="13"/>
  <c r="N27" i="13"/>
  <c r="AE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B27" i="13"/>
  <c r="V27" i="13"/>
  <c r="I27" i="13"/>
  <c r="AG28" i="12"/>
  <c r="F29" i="12"/>
  <c r="I29" i="12" s="1"/>
  <c r="AE28" i="12"/>
  <c r="Q28" i="12"/>
  <c r="T28" i="12"/>
  <c r="N28" i="12"/>
  <c r="Y28" i="12"/>
  <c r="AB28" i="12"/>
  <c r="V28" i="12"/>
  <c r="H28" i="12"/>
  <c r="AD28" i="12"/>
  <c r="P28" i="12"/>
  <c r="S28" i="12"/>
  <c r="M28" i="12"/>
  <c r="X28" i="12"/>
  <c r="J28" i="12"/>
  <c r="K28" i="12"/>
  <c r="U28" i="12"/>
  <c r="G28" i="12"/>
  <c r="AF28" i="12"/>
  <c r="R28" i="12"/>
  <c r="AG4" i="12"/>
  <c r="AH3" i="12"/>
  <c r="AG6" i="12"/>
  <c r="AG5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A28" i="12"/>
  <c r="AC28" i="12"/>
  <c r="O28" i="12"/>
  <c r="Z28" i="12"/>
  <c r="W28" i="12"/>
  <c r="I28" i="12"/>
  <c r="T47" i="9"/>
  <c r="S47" i="9"/>
  <c r="K47" i="9"/>
  <c r="P47" i="9"/>
  <c r="M47" i="9"/>
  <c r="J47" i="9"/>
  <c r="O47" i="9"/>
  <c r="G47" i="9"/>
  <c r="R47" i="9"/>
  <c r="U47" i="9"/>
  <c r="Q47" i="9"/>
  <c r="P42" i="10"/>
  <c r="O42" i="10"/>
  <c r="T42" i="10"/>
  <c r="J42" i="10"/>
  <c r="H42" i="10"/>
  <c r="K42" i="10"/>
  <c r="L42" i="10"/>
  <c r="P19" i="10"/>
  <c r="I42" i="10"/>
  <c r="M42" i="10"/>
  <c r="G19" i="10"/>
  <c r="Q19" i="10"/>
  <c r="N42" i="10"/>
  <c r="K19" i="10"/>
  <c r="F43" i="10"/>
  <c r="S43" i="10" s="1"/>
  <c r="G43" i="10"/>
  <c r="N43" i="10"/>
  <c r="M43" i="10"/>
  <c r="P43" i="10"/>
  <c r="T43" i="10"/>
  <c r="K43" i="10"/>
  <c r="U42" i="10"/>
  <c r="N47" i="9"/>
  <c r="I47" i="9"/>
  <c r="L47" i="9"/>
  <c r="N19" i="9"/>
  <c r="R19" i="11"/>
  <c r="N19" i="11"/>
  <c r="I19" i="11"/>
  <c r="S19" i="11"/>
  <c r="K19" i="11"/>
  <c r="N42" i="11"/>
  <c r="H42" i="11"/>
  <c r="V42" i="11"/>
  <c r="J42" i="11"/>
  <c r="I42" i="11"/>
  <c r="R42" i="11"/>
  <c r="M42" i="11"/>
  <c r="K42" i="11"/>
  <c r="S42" i="11"/>
  <c r="S71" i="11"/>
  <c r="J19" i="11"/>
  <c r="T71" i="11"/>
  <c r="T19" i="11"/>
  <c r="P71" i="11"/>
  <c r="W19" i="11"/>
  <c r="O19" i="11"/>
  <c r="Q19" i="11"/>
  <c r="L19" i="11"/>
  <c r="L71" i="11"/>
  <c r="S97" i="11"/>
  <c r="I72" i="11"/>
  <c r="L72" i="11"/>
  <c r="R71" i="11"/>
  <c r="M97" i="11"/>
  <c r="G19" i="11"/>
  <c r="H19" i="11"/>
  <c r="P42" i="11"/>
  <c r="W71" i="11"/>
  <c r="N71" i="11"/>
  <c r="J97" i="11"/>
  <c r="U97" i="11"/>
  <c r="O97" i="11"/>
  <c r="K71" i="11"/>
  <c r="G71" i="11"/>
  <c r="V71" i="11"/>
  <c r="I71" i="11"/>
  <c r="I97" i="11"/>
  <c r="X3" i="11"/>
  <c r="W4" i="11"/>
  <c r="W5" i="11"/>
  <c r="W84" i="11"/>
  <c r="W58" i="11"/>
  <c r="W6" i="11"/>
  <c r="W59" i="11"/>
  <c r="W85" i="11"/>
  <c r="W7" i="11"/>
  <c r="W60" i="11"/>
  <c r="W86" i="11"/>
  <c r="W8" i="11"/>
  <c r="W9" i="11"/>
  <c r="W61" i="11"/>
  <c r="W87" i="11"/>
  <c r="W62" i="11"/>
  <c r="W88" i="11"/>
  <c r="W10" i="11"/>
  <c r="W89" i="11"/>
  <c r="W11" i="11"/>
  <c r="W63" i="11"/>
  <c r="W64" i="11"/>
  <c r="W12" i="11"/>
  <c r="W35" i="11"/>
  <c r="W90" i="11"/>
  <c r="W91" i="11"/>
  <c r="W65" i="11"/>
  <c r="W13" i="11"/>
  <c r="W36" i="11"/>
  <c r="W14" i="11"/>
  <c r="W92" i="11"/>
  <c r="W37" i="11"/>
  <c r="W66" i="11"/>
  <c r="W67" i="11"/>
  <c r="W93" i="11"/>
  <c r="W38" i="11"/>
  <c r="W15" i="11"/>
  <c r="W39" i="11"/>
  <c r="W94" i="11"/>
  <c r="W68" i="11"/>
  <c r="W16" i="11"/>
  <c r="W40" i="11"/>
  <c r="W95" i="11"/>
  <c r="W69" i="11"/>
  <c r="W17" i="11"/>
  <c r="W18" i="11"/>
  <c r="W70" i="11"/>
  <c r="W41" i="11"/>
  <c r="W96" i="11"/>
  <c r="V98" i="11"/>
  <c r="F20" i="11"/>
  <c r="H20" i="11" s="1"/>
  <c r="O71" i="11"/>
  <c r="Q71" i="11"/>
  <c r="L97" i="11"/>
  <c r="Q97" i="11"/>
  <c r="W42" i="11"/>
  <c r="M71" i="11"/>
  <c r="T97" i="11"/>
  <c r="N97" i="11"/>
  <c r="U19" i="11"/>
  <c r="M19" i="11"/>
  <c r="V19" i="11"/>
  <c r="O43" i="11"/>
  <c r="N43" i="11"/>
  <c r="G43" i="11"/>
  <c r="K43" i="11"/>
  <c r="I43" i="11"/>
  <c r="H43" i="11"/>
  <c r="U43" i="11"/>
  <c r="P43" i="11"/>
  <c r="T43" i="11"/>
  <c r="M43" i="11"/>
  <c r="U71" i="11"/>
  <c r="H71" i="11"/>
  <c r="K97" i="11"/>
  <c r="R97" i="11"/>
  <c r="V97" i="11"/>
  <c r="H97" i="11"/>
  <c r="N83" i="10"/>
  <c r="U19" i="10"/>
  <c r="T19" i="10"/>
  <c r="M83" i="10"/>
  <c r="U83" i="10"/>
  <c r="H83" i="10"/>
  <c r="O83" i="10"/>
  <c r="H84" i="10"/>
  <c r="K83" i="10"/>
  <c r="F20" i="10"/>
  <c r="V20" i="10" s="1"/>
  <c r="V83" i="10"/>
  <c r="S83" i="10"/>
  <c r="J19" i="10"/>
  <c r="W19" i="10"/>
  <c r="S19" i="10"/>
  <c r="N19" i="10"/>
  <c r="W4" i="10"/>
  <c r="X3" i="10"/>
  <c r="W5" i="10"/>
  <c r="W69" i="10"/>
  <c r="W70" i="10"/>
  <c r="W33" i="10"/>
  <c r="W6" i="10"/>
  <c r="W71" i="10"/>
  <c r="W34" i="10"/>
  <c r="W7" i="10"/>
  <c r="W72" i="10"/>
  <c r="W8" i="10"/>
  <c r="W35" i="10"/>
  <c r="W9" i="10"/>
  <c r="W73" i="10"/>
  <c r="W36" i="10"/>
  <c r="W37" i="10"/>
  <c r="W10" i="10"/>
  <c r="W74" i="10"/>
  <c r="W11" i="10"/>
  <c r="W75" i="10"/>
  <c r="W38" i="10"/>
  <c r="W12" i="10"/>
  <c r="W39" i="10"/>
  <c r="W76" i="10"/>
  <c r="W40" i="10"/>
  <c r="W13" i="10"/>
  <c r="W77" i="10"/>
  <c r="W78" i="10"/>
  <c r="W14" i="10"/>
  <c r="W41" i="10"/>
  <c r="W15" i="10"/>
  <c r="W42" i="10"/>
  <c r="W79" i="10"/>
  <c r="W16" i="10"/>
  <c r="W80" i="10"/>
  <c r="W43" i="10"/>
  <c r="W17" i="10"/>
  <c r="W81" i="10"/>
  <c r="W18" i="10"/>
  <c r="W82" i="10"/>
  <c r="H19" i="10"/>
  <c r="V19" i="10"/>
  <c r="G83" i="10"/>
  <c r="I83" i="10"/>
  <c r="M19" i="10"/>
  <c r="R19" i="10"/>
  <c r="I19" i="10"/>
  <c r="J83" i="10"/>
  <c r="R83" i="10"/>
  <c r="W83" i="10"/>
  <c r="Q83" i="10"/>
  <c r="L83" i="10"/>
  <c r="I19" i="9"/>
  <c r="V4" i="9"/>
  <c r="V5" i="9"/>
  <c r="V33" i="9"/>
  <c r="V6" i="9"/>
  <c r="V34" i="9"/>
  <c r="V35" i="9"/>
  <c r="V7" i="9"/>
  <c r="V36" i="9"/>
  <c r="V8" i="9"/>
  <c r="V9" i="9"/>
  <c r="V37" i="9"/>
  <c r="V38" i="9"/>
  <c r="V10" i="9"/>
  <c r="V11" i="9"/>
  <c r="V39" i="9"/>
  <c r="V12" i="9"/>
  <c r="V40" i="9"/>
  <c r="V13" i="9"/>
  <c r="V41" i="9"/>
  <c r="V14" i="9"/>
  <c r="V42" i="9"/>
  <c r="V15" i="9"/>
  <c r="V43" i="9"/>
  <c r="V44" i="9"/>
  <c r="V16" i="9"/>
  <c r="V17" i="9"/>
  <c r="V45" i="9"/>
  <c r="V46" i="9"/>
  <c r="V18" i="9"/>
  <c r="V47" i="9"/>
  <c r="F48" i="9"/>
  <c r="V48" i="9" s="1"/>
  <c r="T19" i="9"/>
  <c r="O19" i="9"/>
  <c r="U19" i="9"/>
  <c r="S19" i="9"/>
  <c r="G19" i="9"/>
  <c r="M19" i="9"/>
  <c r="R19" i="9"/>
  <c r="F20" i="9"/>
  <c r="K20" i="9" s="1"/>
  <c r="Q19" i="9"/>
  <c r="L19" i="9"/>
  <c r="P19" i="9"/>
  <c r="J19" i="9"/>
  <c r="H19" i="9"/>
  <c r="V19" i="9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P19" i="3"/>
  <c r="S19" i="3"/>
  <c r="J19" i="3"/>
  <c r="K19" i="3"/>
  <c r="M19" i="3"/>
  <c r="H19" i="3"/>
  <c r="V19" i="3"/>
  <c r="N19" i="3"/>
  <c r="L19" i="3"/>
  <c r="Q19" i="3"/>
  <c r="U19" i="3"/>
  <c r="I19" i="3"/>
  <c r="W19" i="3"/>
  <c r="T19" i="3"/>
  <c r="R19" i="3"/>
  <c r="G19" i="3"/>
  <c r="X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3" i="9"/>
  <c r="W3" i="8"/>
  <c r="F20" i="8"/>
  <c r="F20" i="3"/>
  <c r="S20" i="3" s="1"/>
  <c r="AC34" i="18" l="1"/>
  <c r="O34" i="18"/>
  <c r="AL34" i="18"/>
  <c r="L34" i="18"/>
  <c r="AK34" i="18"/>
  <c r="I34" i="18"/>
  <c r="AI34" i="18"/>
  <c r="R34" i="18"/>
  <c r="AD34" i="18"/>
  <c r="Y34" i="18"/>
  <c r="AB34" i="18"/>
  <c r="AA34" i="18"/>
  <c r="W34" i="18"/>
  <c r="AJ34" i="18"/>
  <c r="G34" i="18"/>
  <c r="T34" i="18"/>
  <c r="AH34" i="18"/>
  <c r="U34" i="18"/>
  <c r="M34" i="18"/>
  <c r="AG34" i="18"/>
  <c r="K34" i="18"/>
  <c r="N34" i="18"/>
  <c r="P34" i="18"/>
  <c r="X34" i="18"/>
  <c r="AN34" i="18"/>
  <c r="AF34" i="18"/>
  <c r="S34" i="18"/>
  <c r="H34" i="18"/>
  <c r="J34" i="18"/>
  <c r="AM34" i="18"/>
  <c r="AE34" i="18"/>
  <c r="V34" i="18"/>
  <c r="Z34" i="18"/>
  <c r="F35" i="18"/>
  <c r="X35" i="18" s="1"/>
  <c r="AB35" i="18"/>
  <c r="AH35" i="18"/>
  <c r="AI35" i="18"/>
  <c r="AO34" i="18"/>
  <c r="AL3" i="17"/>
  <c r="AK4" i="17"/>
  <c r="AK5" i="17"/>
  <c r="AK54" i="17"/>
  <c r="AK72" i="17"/>
  <c r="AK35" i="17"/>
  <c r="AK6" i="17"/>
  <c r="AK90" i="17"/>
  <c r="AK17" i="17"/>
  <c r="AK18" i="17"/>
  <c r="AK73" i="17"/>
  <c r="AK36" i="17"/>
  <c r="AK7" i="17"/>
  <c r="AK55" i="17"/>
  <c r="AK91" i="17"/>
  <c r="AK92" i="17"/>
  <c r="AK37" i="17"/>
  <c r="AK56" i="17"/>
  <c r="AK19" i="17"/>
  <c r="AK74" i="17"/>
  <c r="AK8" i="17"/>
  <c r="AK57" i="17"/>
  <c r="AK75" i="17"/>
  <c r="AK38" i="17"/>
  <c r="AK93" i="17"/>
  <c r="AK9" i="17"/>
  <c r="AK20" i="17"/>
  <c r="AK39" i="17"/>
  <c r="AK10" i="17"/>
  <c r="AK76" i="17"/>
  <c r="AK94" i="17"/>
  <c r="AK21" i="17"/>
  <c r="AK58" i="17"/>
  <c r="AK11" i="17"/>
  <c r="AK95" i="17"/>
  <c r="AK40" i="17"/>
  <c r="AK77" i="17"/>
  <c r="AK22" i="17"/>
  <c r="AK59" i="17"/>
  <c r="AK60" i="17"/>
  <c r="AK96" i="17"/>
  <c r="AK78" i="17"/>
  <c r="AK41" i="17"/>
  <c r="AK12" i="17"/>
  <c r="AK23" i="17"/>
  <c r="AK13" i="17"/>
  <c r="AK61" i="17"/>
  <c r="AK79" i="17"/>
  <c r="AK97" i="17"/>
  <c r="AK42" i="17"/>
  <c r="AK24" i="17"/>
  <c r="AK62" i="17"/>
  <c r="AK43" i="17"/>
  <c r="AK14" i="17"/>
  <c r="AK98" i="17"/>
  <c r="AK25" i="17"/>
  <c r="AK80" i="17"/>
  <c r="AK15" i="17"/>
  <c r="AK81" i="17"/>
  <c r="AK44" i="17"/>
  <c r="AK99" i="17"/>
  <c r="AK26" i="17"/>
  <c r="AK63" i="17"/>
  <c r="AK45" i="17"/>
  <c r="AK64" i="17"/>
  <c r="AK16" i="17"/>
  <c r="AK100" i="17"/>
  <c r="AK82" i="17"/>
  <c r="AK27" i="17"/>
  <c r="AK101" i="17"/>
  <c r="AK28" i="17"/>
  <c r="AK65" i="17"/>
  <c r="AK46" i="17"/>
  <c r="AK83" i="17"/>
  <c r="AK47" i="17"/>
  <c r="AK29" i="17"/>
  <c r="AK66" i="17"/>
  <c r="AK84" i="17"/>
  <c r="AK102" i="17"/>
  <c r="AK48" i="17"/>
  <c r="AK103" i="17"/>
  <c r="AK67" i="17"/>
  <c r="AK30" i="17"/>
  <c r="AK85" i="17"/>
  <c r="AK31" i="17"/>
  <c r="AK49" i="17"/>
  <c r="AK68" i="17"/>
  <c r="AK86" i="17"/>
  <c r="AK50" i="17"/>
  <c r="AK32" i="17"/>
  <c r="AK87" i="17"/>
  <c r="AK69" i="17"/>
  <c r="AK33" i="17"/>
  <c r="AK70" i="17"/>
  <c r="AK51" i="17"/>
  <c r="AK88" i="17"/>
  <c r="AK89" i="17"/>
  <c r="AK71" i="17"/>
  <c r="AK52" i="17"/>
  <c r="AK34" i="17"/>
  <c r="AK53" i="17"/>
  <c r="U43" i="10"/>
  <c r="O43" i="10"/>
  <c r="G48" i="9"/>
  <c r="U48" i="9"/>
  <c r="I43" i="10"/>
  <c r="R43" i="10"/>
  <c r="H20" i="9"/>
  <c r="U20" i="9"/>
  <c r="S20" i="9"/>
  <c r="AE4" i="15"/>
  <c r="AF3" i="15"/>
  <c r="AE5" i="15"/>
  <c r="AE15" i="15"/>
  <c r="AE27" i="15"/>
  <c r="AE6" i="15"/>
  <c r="AE16" i="15"/>
  <c r="AE7" i="15"/>
  <c r="AE28" i="15"/>
  <c r="AE29" i="15"/>
  <c r="AE17" i="15"/>
  <c r="AE8" i="15"/>
  <c r="AE18" i="15"/>
  <c r="AE30" i="15"/>
  <c r="AE9" i="15"/>
  <c r="AE31" i="15"/>
  <c r="AE19" i="15"/>
  <c r="AE10" i="15"/>
  <c r="AE32" i="15"/>
  <c r="AE11" i="15"/>
  <c r="AE20" i="15"/>
  <c r="AE21" i="15"/>
  <c r="AE12" i="15"/>
  <c r="AE13" i="15"/>
  <c r="AE22" i="15"/>
  <c r="AE23" i="15"/>
  <c r="AE14" i="15"/>
  <c r="AE24" i="15"/>
  <c r="AE25" i="15"/>
  <c r="AE26" i="15"/>
  <c r="AG3" i="14"/>
  <c r="AF4" i="14"/>
  <c r="AF5" i="14"/>
  <c r="AF6" i="14"/>
  <c r="AF21" i="14"/>
  <c r="AF7" i="14"/>
  <c r="AF22" i="14"/>
  <c r="AF8" i="14"/>
  <c r="AF23" i="14"/>
  <c r="AF9" i="14"/>
  <c r="AF24" i="14"/>
  <c r="AF25" i="14"/>
  <c r="AF10" i="14"/>
  <c r="AF11" i="14"/>
  <c r="AF26" i="14"/>
  <c r="AF12" i="14"/>
  <c r="AF27" i="14"/>
  <c r="AF28" i="14"/>
  <c r="AF13" i="14"/>
  <c r="AF29" i="14"/>
  <c r="AF14" i="14"/>
  <c r="AF15" i="14"/>
  <c r="AF30" i="14"/>
  <c r="AF16" i="14"/>
  <c r="AF31" i="14"/>
  <c r="AF17" i="14"/>
  <c r="AF32" i="14"/>
  <c r="AF18" i="14"/>
  <c r="AF19" i="14"/>
  <c r="AF20" i="14"/>
  <c r="AD28" i="13"/>
  <c r="V28" i="13"/>
  <c r="M28" i="13"/>
  <c r="P28" i="13"/>
  <c r="Y28" i="13"/>
  <c r="T28" i="13"/>
  <c r="N28" i="13"/>
  <c r="AA28" i="13"/>
  <c r="H28" i="13"/>
  <c r="AB28" i="13"/>
  <c r="AF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C28" i="13"/>
  <c r="X28" i="13"/>
  <c r="J28" i="13"/>
  <c r="G28" i="13"/>
  <c r="R28" i="13"/>
  <c r="S28" i="13"/>
  <c r="O28" i="13"/>
  <c r="Z28" i="13"/>
  <c r="W28" i="13"/>
  <c r="O29" i="13"/>
  <c r="U28" i="13"/>
  <c r="AE28" i="13"/>
  <c r="Q28" i="13"/>
  <c r="L28" i="13"/>
  <c r="AH29" i="12"/>
  <c r="V29" i="12"/>
  <c r="X29" i="12"/>
  <c r="J29" i="12"/>
  <c r="L29" i="12"/>
  <c r="G29" i="12"/>
  <c r="AF29" i="12"/>
  <c r="R29" i="12"/>
  <c r="T29" i="12"/>
  <c r="O29" i="12"/>
  <c r="Z29" i="12"/>
  <c r="AB29" i="12"/>
  <c r="W29" i="12"/>
  <c r="F30" i="12"/>
  <c r="W30" i="12" s="1"/>
  <c r="AE29" i="12"/>
  <c r="Q29" i="12"/>
  <c r="K29" i="12"/>
  <c r="M29" i="12"/>
  <c r="AD29" i="12"/>
  <c r="Y29" i="12"/>
  <c r="S29" i="12"/>
  <c r="U29" i="12"/>
  <c r="H29" i="12"/>
  <c r="AG29" i="12"/>
  <c r="AA29" i="12"/>
  <c r="AC29" i="12"/>
  <c r="AH4" i="12"/>
  <c r="AI3" i="12"/>
  <c r="AH6" i="12"/>
  <c r="AH5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N29" i="12"/>
  <c r="P29" i="12"/>
  <c r="M20" i="9"/>
  <c r="M48" i="9"/>
  <c r="J48" i="9"/>
  <c r="T48" i="9"/>
  <c r="O20" i="9"/>
  <c r="S48" i="9"/>
  <c r="I20" i="9"/>
  <c r="K48" i="9"/>
  <c r="P20" i="9"/>
  <c r="O48" i="9"/>
  <c r="H43" i="10"/>
  <c r="Q43" i="10"/>
  <c r="L43" i="10"/>
  <c r="J43" i="10"/>
  <c r="F44" i="10"/>
  <c r="P44" i="10" s="1"/>
  <c r="L44" i="10"/>
  <c r="V44" i="10"/>
  <c r="V43" i="10"/>
  <c r="Q20" i="3"/>
  <c r="H20" i="3"/>
  <c r="O20" i="3"/>
  <c r="U20" i="3"/>
  <c r="X20" i="3"/>
  <c r="Q43" i="11"/>
  <c r="S43" i="11"/>
  <c r="X43" i="11"/>
  <c r="V43" i="11"/>
  <c r="L43" i="11"/>
  <c r="J43" i="11"/>
  <c r="W43" i="11"/>
  <c r="R43" i="11"/>
  <c r="P20" i="11"/>
  <c r="X20" i="11"/>
  <c r="X72" i="11"/>
  <c r="Q72" i="11"/>
  <c r="K20" i="11"/>
  <c r="W20" i="11"/>
  <c r="G20" i="11"/>
  <c r="V20" i="11"/>
  <c r="J20" i="11"/>
  <c r="Q98" i="11"/>
  <c r="K98" i="11"/>
  <c r="M98" i="11"/>
  <c r="K72" i="11"/>
  <c r="H72" i="11"/>
  <c r="Q20" i="11"/>
  <c r="R20" i="11"/>
  <c r="G98" i="11"/>
  <c r="O98" i="11"/>
  <c r="S98" i="11"/>
  <c r="U98" i="11"/>
  <c r="P72" i="11"/>
  <c r="J72" i="11"/>
  <c r="M72" i="11"/>
  <c r="L20" i="11"/>
  <c r="I20" i="11"/>
  <c r="M20" i="11"/>
  <c r="H98" i="11"/>
  <c r="W72" i="11"/>
  <c r="O72" i="11"/>
  <c r="R72" i="11"/>
  <c r="U72" i="11"/>
  <c r="R44" i="11"/>
  <c r="S44" i="11"/>
  <c r="S20" i="11"/>
  <c r="U20" i="11"/>
  <c r="X4" i="11"/>
  <c r="Y3" i="11"/>
  <c r="Y44" i="11" s="1"/>
  <c r="X5" i="11"/>
  <c r="X84" i="11"/>
  <c r="X58" i="11"/>
  <c r="X6" i="11"/>
  <c r="X85" i="11"/>
  <c r="X7" i="11"/>
  <c r="X59" i="11"/>
  <c r="X60" i="11"/>
  <c r="X8" i="11"/>
  <c r="X86" i="11"/>
  <c r="X87" i="11"/>
  <c r="X61" i="11"/>
  <c r="X9" i="11"/>
  <c r="X62" i="11"/>
  <c r="X10" i="11"/>
  <c r="X88" i="11"/>
  <c r="X89" i="11"/>
  <c r="X11" i="11"/>
  <c r="X63" i="11"/>
  <c r="X12" i="11"/>
  <c r="X64" i="11"/>
  <c r="X35" i="11"/>
  <c r="X90" i="11"/>
  <c r="X91" i="11"/>
  <c r="X36" i="11"/>
  <c r="X65" i="11"/>
  <c r="X13" i="11"/>
  <c r="X14" i="11"/>
  <c r="X92" i="11"/>
  <c r="X66" i="11"/>
  <c r="X37" i="11"/>
  <c r="X38" i="11"/>
  <c r="X67" i="11"/>
  <c r="X93" i="11"/>
  <c r="X15" i="11"/>
  <c r="X16" i="11"/>
  <c r="X68" i="11"/>
  <c r="X39" i="11"/>
  <c r="X94" i="11"/>
  <c r="X40" i="11"/>
  <c r="X17" i="11"/>
  <c r="X69" i="11"/>
  <c r="X95" i="11"/>
  <c r="X96" i="11"/>
  <c r="X41" i="11"/>
  <c r="X18" i="11"/>
  <c r="X70" i="11"/>
  <c r="X42" i="11"/>
  <c r="X19" i="11"/>
  <c r="X97" i="11"/>
  <c r="X71" i="11"/>
  <c r="X99" i="11"/>
  <c r="P99" i="11"/>
  <c r="H99" i="11"/>
  <c r="G99" i="11"/>
  <c r="M99" i="11"/>
  <c r="K99" i="11"/>
  <c r="T99" i="11"/>
  <c r="N98" i="11"/>
  <c r="J98" i="11"/>
  <c r="L98" i="11"/>
  <c r="P98" i="11"/>
  <c r="W98" i="11"/>
  <c r="R98" i="11"/>
  <c r="T98" i="11"/>
  <c r="R73" i="11"/>
  <c r="U73" i="11"/>
  <c r="X98" i="11"/>
  <c r="G72" i="11"/>
  <c r="T72" i="11"/>
  <c r="N72" i="11"/>
  <c r="Q99" i="11"/>
  <c r="F21" i="11"/>
  <c r="H21" i="11" s="1"/>
  <c r="O20" i="11"/>
  <c r="T20" i="11"/>
  <c r="N20" i="11"/>
  <c r="I98" i="11"/>
  <c r="S72" i="11"/>
  <c r="V72" i="11"/>
  <c r="Q84" i="10"/>
  <c r="X84" i="10"/>
  <c r="R84" i="10"/>
  <c r="T84" i="10"/>
  <c r="M84" i="10"/>
  <c r="U84" i="10"/>
  <c r="I84" i="10"/>
  <c r="O84" i="10"/>
  <c r="K84" i="10"/>
  <c r="W84" i="10"/>
  <c r="V84" i="10"/>
  <c r="P20" i="10"/>
  <c r="K20" i="10"/>
  <c r="X20" i="10"/>
  <c r="L85" i="10"/>
  <c r="S84" i="10"/>
  <c r="P84" i="10"/>
  <c r="N20" i="10"/>
  <c r="Q20" i="10"/>
  <c r="G20" i="10"/>
  <c r="J84" i="10"/>
  <c r="Y3" i="10"/>
  <c r="X4" i="10"/>
  <c r="X69" i="10"/>
  <c r="X5" i="10"/>
  <c r="X70" i="10"/>
  <c r="X33" i="10"/>
  <c r="X6" i="10"/>
  <c r="X34" i="10"/>
  <c r="X71" i="10"/>
  <c r="X7" i="10"/>
  <c r="X72" i="10"/>
  <c r="X8" i="10"/>
  <c r="X35" i="10"/>
  <c r="X9" i="10"/>
  <c r="X73" i="10"/>
  <c r="X36" i="10"/>
  <c r="X74" i="10"/>
  <c r="X10" i="10"/>
  <c r="X37" i="10"/>
  <c r="X75" i="10"/>
  <c r="X11" i="10"/>
  <c r="X38" i="10"/>
  <c r="X12" i="10"/>
  <c r="X76" i="10"/>
  <c r="X39" i="10"/>
  <c r="X77" i="10"/>
  <c r="X13" i="10"/>
  <c r="X40" i="10"/>
  <c r="X41" i="10"/>
  <c r="X14" i="10"/>
  <c r="X78" i="10"/>
  <c r="X79" i="10"/>
  <c r="X42" i="10"/>
  <c r="X15" i="10"/>
  <c r="X43" i="10"/>
  <c r="X16" i="10"/>
  <c r="X80" i="10"/>
  <c r="X81" i="10"/>
  <c r="X17" i="10"/>
  <c r="X44" i="10"/>
  <c r="X82" i="10"/>
  <c r="X18" i="10"/>
  <c r="X83" i="10"/>
  <c r="X19" i="10"/>
  <c r="T20" i="10"/>
  <c r="O20" i="10"/>
  <c r="N84" i="10"/>
  <c r="L84" i="10"/>
  <c r="G84" i="10"/>
  <c r="F21" i="10"/>
  <c r="R21" i="10" s="1"/>
  <c r="S20" i="10"/>
  <c r="W20" i="10"/>
  <c r="J20" i="10"/>
  <c r="I20" i="10"/>
  <c r="L20" i="10"/>
  <c r="R20" i="10"/>
  <c r="M20" i="10"/>
  <c r="U20" i="10"/>
  <c r="H20" i="10"/>
  <c r="F21" i="9"/>
  <c r="S21" i="9" s="1"/>
  <c r="G20" i="9"/>
  <c r="R48" i="9"/>
  <c r="H48" i="9"/>
  <c r="F49" i="9"/>
  <c r="I49" i="9" s="1"/>
  <c r="L48" i="9"/>
  <c r="N48" i="9"/>
  <c r="Q20" i="9"/>
  <c r="V20" i="9"/>
  <c r="R20" i="9"/>
  <c r="Q48" i="9"/>
  <c r="W4" i="9"/>
  <c r="W33" i="9"/>
  <c r="W5" i="9"/>
  <c r="W6" i="9"/>
  <c r="W34" i="9"/>
  <c r="W35" i="9"/>
  <c r="W7" i="9"/>
  <c r="W8" i="9"/>
  <c r="W36" i="9"/>
  <c r="W37" i="9"/>
  <c r="W9" i="9"/>
  <c r="W38" i="9"/>
  <c r="W10" i="9"/>
  <c r="W39" i="9"/>
  <c r="W11" i="9"/>
  <c r="W40" i="9"/>
  <c r="W12" i="9"/>
  <c r="W41" i="9"/>
  <c r="W13" i="9"/>
  <c r="W14" i="9"/>
  <c r="W42" i="9"/>
  <c r="W43" i="9"/>
  <c r="W15" i="9"/>
  <c r="W44" i="9"/>
  <c r="W16" i="9"/>
  <c r="W17" i="9"/>
  <c r="W45" i="9"/>
  <c r="W46" i="9"/>
  <c r="W18" i="9"/>
  <c r="W19" i="9"/>
  <c r="W47" i="9"/>
  <c r="P48" i="9"/>
  <c r="T20" i="9"/>
  <c r="W20" i="9"/>
  <c r="N20" i="9"/>
  <c r="L20" i="9"/>
  <c r="J20" i="9"/>
  <c r="I48" i="9"/>
  <c r="W48" i="9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W4" i="8"/>
  <c r="W20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V20" i="8"/>
  <c r="G20" i="3"/>
  <c r="M20" i="3"/>
  <c r="K20" i="3"/>
  <c r="P20" i="3"/>
  <c r="Y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J20" i="3"/>
  <c r="R20" i="3"/>
  <c r="V20" i="3"/>
  <c r="T20" i="3"/>
  <c r="N20" i="3"/>
  <c r="L20" i="3"/>
  <c r="I20" i="3"/>
  <c r="W20" i="3"/>
  <c r="X3" i="9"/>
  <c r="X49" i="9" s="1"/>
  <c r="X3" i="8"/>
  <c r="F21" i="8"/>
  <c r="W21" i="8" s="1"/>
  <c r="F21" i="3"/>
  <c r="P21" i="3" s="1"/>
  <c r="AF35" i="18" l="1"/>
  <c r="G35" i="18"/>
  <c r="J35" i="18"/>
  <c r="K35" i="18"/>
  <c r="S35" i="18"/>
  <c r="AL35" i="18"/>
  <c r="Y35" i="18"/>
  <c r="AK35" i="18"/>
  <c r="N35" i="18"/>
  <c r="AJ35" i="18"/>
  <c r="V35" i="18"/>
  <c r="AA35" i="18"/>
  <c r="P35" i="18"/>
  <c r="AD35" i="18"/>
  <c r="U35" i="18"/>
  <c r="Q35" i="18"/>
  <c r="AN35" i="18"/>
  <c r="AC35" i="18"/>
  <c r="Z35" i="18"/>
  <c r="I35" i="18"/>
  <c r="O35" i="18"/>
  <c r="R35" i="18"/>
  <c r="AO35" i="18"/>
  <c r="AG35" i="18"/>
  <c r="M35" i="18"/>
  <c r="W35" i="18"/>
  <c r="L35" i="18"/>
  <c r="AM35" i="18"/>
  <c r="AE35" i="18"/>
  <c r="T35" i="18"/>
  <c r="H35" i="18"/>
  <c r="F36" i="18"/>
  <c r="L36" i="18" s="1"/>
  <c r="AM3" i="17"/>
  <c r="AL4" i="17"/>
  <c r="AL5" i="17"/>
  <c r="AL35" i="17"/>
  <c r="AL90" i="17"/>
  <c r="AL17" i="17"/>
  <c r="AL54" i="17"/>
  <c r="AL6" i="17"/>
  <c r="AL72" i="17"/>
  <c r="AL91" i="17"/>
  <c r="AL7" i="17"/>
  <c r="AL36" i="17"/>
  <c r="AL18" i="17"/>
  <c r="AL73" i="17"/>
  <c r="AL55" i="17"/>
  <c r="AL74" i="17"/>
  <c r="AL56" i="17"/>
  <c r="AL19" i="17"/>
  <c r="AL37" i="17"/>
  <c r="AL8" i="17"/>
  <c r="AL92" i="17"/>
  <c r="AL93" i="17"/>
  <c r="AL57" i="17"/>
  <c r="AL20" i="17"/>
  <c r="AL9" i="17"/>
  <c r="AL38" i="17"/>
  <c r="AL75" i="17"/>
  <c r="AL21" i="17"/>
  <c r="AL94" i="17"/>
  <c r="AL10" i="17"/>
  <c r="AL58" i="17"/>
  <c r="AL76" i="17"/>
  <c r="AL39" i="17"/>
  <c r="AL11" i="17"/>
  <c r="AL59" i="17"/>
  <c r="AL95" i="17"/>
  <c r="AL40" i="17"/>
  <c r="AL77" i="17"/>
  <c r="AL22" i="17"/>
  <c r="AL41" i="17"/>
  <c r="AL96" i="17"/>
  <c r="AL23" i="17"/>
  <c r="AL12" i="17"/>
  <c r="AL60" i="17"/>
  <c r="AL78" i="17"/>
  <c r="AL13" i="17"/>
  <c r="AL79" i="17"/>
  <c r="AL97" i="17"/>
  <c r="AL61" i="17"/>
  <c r="AL42" i="17"/>
  <c r="AL24" i="17"/>
  <c r="AL43" i="17"/>
  <c r="AL80" i="17"/>
  <c r="AL14" i="17"/>
  <c r="AL25" i="17"/>
  <c r="AL98" i="17"/>
  <c r="AL62" i="17"/>
  <c r="AL44" i="17"/>
  <c r="AL26" i="17"/>
  <c r="AL99" i="17"/>
  <c r="AL81" i="17"/>
  <c r="AL63" i="17"/>
  <c r="AL15" i="17"/>
  <c r="AL82" i="17"/>
  <c r="AL100" i="17"/>
  <c r="AL27" i="17"/>
  <c r="AL45" i="17"/>
  <c r="AL64" i="17"/>
  <c r="AL16" i="17"/>
  <c r="AL65" i="17"/>
  <c r="AL101" i="17"/>
  <c r="AL83" i="17"/>
  <c r="AL28" i="17"/>
  <c r="AL46" i="17"/>
  <c r="AL47" i="17"/>
  <c r="AL66" i="17"/>
  <c r="AL84" i="17"/>
  <c r="AL29" i="17"/>
  <c r="AL102" i="17"/>
  <c r="AL30" i="17"/>
  <c r="AL67" i="17"/>
  <c r="AL48" i="17"/>
  <c r="AL85" i="17"/>
  <c r="AL103" i="17"/>
  <c r="AL31" i="17"/>
  <c r="AL86" i="17"/>
  <c r="AL68" i="17"/>
  <c r="AL49" i="17"/>
  <c r="AL32" i="17"/>
  <c r="AL87" i="17"/>
  <c r="AL50" i="17"/>
  <c r="AL69" i="17"/>
  <c r="AL33" i="17"/>
  <c r="AL88" i="17"/>
  <c r="AL70" i="17"/>
  <c r="AL51" i="17"/>
  <c r="AL52" i="17"/>
  <c r="AL71" i="17"/>
  <c r="AL34" i="17"/>
  <c r="AL89" i="17"/>
  <c r="AL53" i="17"/>
  <c r="J44" i="10"/>
  <c r="U44" i="10"/>
  <c r="G44" i="10"/>
  <c r="H44" i="10"/>
  <c r="Q44" i="10"/>
  <c r="K21" i="10"/>
  <c r="K44" i="10"/>
  <c r="AF4" i="15"/>
  <c r="AG3" i="15"/>
  <c r="AF5" i="15"/>
  <c r="AF27" i="15"/>
  <c r="AF6" i="15"/>
  <c r="AF15" i="15"/>
  <c r="AF28" i="15"/>
  <c r="AF7" i="15"/>
  <c r="AF16" i="15"/>
  <c r="AF29" i="15"/>
  <c r="AF17" i="15"/>
  <c r="AF8" i="15"/>
  <c r="AF18" i="15"/>
  <c r="AF9" i="15"/>
  <c r="AF30" i="15"/>
  <c r="AF31" i="15"/>
  <c r="AF19" i="15"/>
  <c r="AF10" i="15"/>
  <c r="AF11" i="15"/>
  <c r="AF32" i="15"/>
  <c r="AF20" i="15"/>
  <c r="AF21" i="15"/>
  <c r="AF12" i="15"/>
  <c r="AF22" i="15"/>
  <c r="AF13" i="15"/>
  <c r="AF14" i="15"/>
  <c r="AF23" i="15"/>
  <c r="AF24" i="15"/>
  <c r="AF25" i="15"/>
  <c r="AF26" i="15"/>
  <c r="AG4" i="14"/>
  <c r="AH3" i="14"/>
  <c r="AG5" i="14"/>
  <c r="AG21" i="14"/>
  <c r="AG6" i="14"/>
  <c r="AG22" i="14"/>
  <c r="AG7" i="14"/>
  <c r="AG23" i="14"/>
  <c r="AG8" i="14"/>
  <c r="AG24" i="14"/>
  <c r="AG9" i="14"/>
  <c r="AG10" i="14"/>
  <c r="AG25" i="14"/>
  <c r="AG26" i="14"/>
  <c r="AG11" i="14"/>
  <c r="AG12" i="14"/>
  <c r="AG27" i="14"/>
  <c r="AG13" i="14"/>
  <c r="AG28" i="14"/>
  <c r="AG29" i="14"/>
  <c r="AG14" i="14"/>
  <c r="AG30" i="14"/>
  <c r="AG15" i="14"/>
  <c r="AG16" i="14"/>
  <c r="AG31" i="14"/>
  <c r="AG17" i="14"/>
  <c r="AG32" i="14"/>
  <c r="AG18" i="14"/>
  <c r="AG19" i="14"/>
  <c r="AG20" i="14"/>
  <c r="N29" i="13"/>
  <c r="AD29" i="13"/>
  <c r="S29" i="13"/>
  <c r="U29" i="13"/>
  <c r="Q29" i="13"/>
  <c r="Y29" i="13"/>
  <c r="AE29" i="13"/>
  <c r="AF29" i="13"/>
  <c r="H29" i="13"/>
  <c r="K29" i="13"/>
  <c r="M29" i="13"/>
  <c r="P29" i="13"/>
  <c r="AA29" i="13"/>
  <c r="AC29" i="13"/>
  <c r="AF4" i="13"/>
  <c r="AG3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V29" i="13"/>
  <c r="J29" i="13"/>
  <c r="L29" i="13"/>
  <c r="G29" i="13"/>
  <c r="I29" i="13"/>
  <c r="X29" i="13"/>
  <c r="R29" i="13"/>
  <c r="T29" i="13"/>
  <c r="AF30" i="13"/>
  <c r="Z29" i="13"/>
  <c r="AB29" i="13"/>
  <c r="W29" i="13"/>
  <c r="J30" i="12"/>
  <c r="L30" i="12"/>
  <c r="Q30" i="12"/>
  <c r="AH30" i="12"/>
  <c r="AD30" i="12"/>
  <c r="P30" i="12"/>
  <c r="Y30" i="12"/>
  <c r="K30" i="12"/>
  <c r="M30" i="12"/>
  <c r="X30" i="12"/>
  <c r="AI6" i="12"/>
  <c r="AI4" i="12"/>
  <c r="AJ3" i="12"/>
  <c r="AI5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I30" i="12"/>
  <c r="S30" i="12"/>
  <c r="U30" i="12"/>
  <c r="G30" i="12"/>
  <c r="AF30" i="12"/>
  <c r="AG30" i="12"/>
  <c r="AA30" i="12"/>
  <c r="AC30" i="12"/>
  <c r="O30" i="12"/>
  <c r="AI30" i="12"/>
  <c r="F31" i="12"/>
  <c r="AE30" i="12"/>
  <c r="R30" i="12"/>
  <c r="T30" i="12"/>
  <c r="N30" i="12"/>
  <c r="Z30" i="12"/>
  <c r="AB30" i="12"/>
  <c r="V30" i="12"/>
  <c r="H30" i="12"/>
  <c r="X21" i="8"/>
  <c r="O44" i="10"/>
  <c r="I44" i="10"/>
  <c r="P21" i="10"/>
  <c r="L21" i="10"/>
  <c r="N44" i="10"/>
  <c r="T44" i="10"/>
  <c r="U21" i="10"/>
  <c r="V21" i="10"/>
  <c r="S44" i="10"/>
  <c r="R44" i="10"/>
  <c r="G21" i="10"/>
  <c r="M44" i="10"/>
  <c r="H21" i="10"/>
  <c r="F45" i="10"/>
  <c r="I45" i="10" s="1"/>
  <c r="W44" i="10"/>
  <c r="Q21" i="10"/>
  <c r="J21" i="9"/>
  <c r="L21" i="9"/>
  <c r="M21" i="9"/>
  <c r="R21" i="8"/>
  <c r="I21" i="8"/>
  <c r="Y21" i="3"/>
  <c r="S21" i="3"/>
  <c r="S21" i="11"/>
  <c r="P21" i="11"/>
  <c r="X21" i="11"/>
  <c r="I44" i="11"/>
  <c r="M44" i="11"/>
  <c r="N44" i="11"/>
  <c r="L73" i="11"/>
  <c r="J73" i="11"/>
  <c r="L99" i="11"/>
  <c r="O99" i="11"/>
  <c r="K73" i="11"/>
  <c r="M73" i="11"/>
  <c r="S99" i="11"/>
  <c r="W99" i="11"/>
  <c r="H73" i="11"/>
  <c r="P73" i="11"/>
  <c r="U99" i="11"/>
  <c r="I99" i="11"/>
  <c r="G73" i="11"/>
  <c r="X73" i="11"/>
  <c r="V99" i="11"/>
  <c r="Y73" i="11"/>
  <c r="W21" i="11"/>
  <c r="V21" i="11"/>
  <c r="M21" i="11"/>
  <c r="P44" i="11"/>
  <c r="T44" i="11"/>
  <c r="I21" i="11"/>
  <c r="G44" i="11"/>
  <c r="L74" i="11"/>
  <c r="N74" i="11"/>
  <c r="G21" i="11"/>
  <c r="Q21" i="11"/>
  <c r="L21" i="11"/>
  <c r="S73" i="11"/>
  <c r="O73" i="11"/>
  <c r="N73" i="11"/>
  <c r="O21" i="11"/>
  <c r="Y21" i="11"/>
  <c r="T21" i="11"/>
  <c r="W73" i="11"/>
  <c r="V73" i="11"/>
  <c r="I73" i="11"/>
  <c r="R99" i="11"/>
  <c r="J99" i="11"/>
  <c r="N99" i="11"/>
  <c r="Y99" i="11"/>
  <c r="X44" i="11"/>
  <c r="L44" i="11"/>
  <c r="U44" i="11"/>
  <c r="O44" i="11"/>
  <c r="K44" i="11"/>
  <c r="T73" i="11"/>
  <c r="Q73" i="11"/>
  <c r="W44" i="11"/>
  <c r="G45" i="11"/>
  <c r="V45" i="11"/>
  <c r="N45" i="11"/>
  <c r="Q45" i="11"/>
  <c r="P45" i="11"/>
  <c r="Y45" i="11"/>
  <c r="T45" i="11"/>
  <c r="L45" i="11"/>
  <c r="F22" i="11"/>
  <c r="X22" i="11" s="1"/>
  <c r="J21" i="11"/>
  <c r="K21" i="11"/>
  <c r="U21" i="11"/>
  <c r="R21" i="11"/>
  <c r="N21" i="11"/>
  <c r="Z3" i="11"/>
  <c r="Y4" i="11"/>
  <c r="Y5" i="11"/>
  <c r="Y58" i="11"/>
  <c r="Y84" i="11"/>
  <c r="Y6" i="11"/>
  <c r="Y59" i="11"/>
  <c r="Y7" i="11"/>
  <c r="Y85" i="11"/>
  <c r="Y8" i="11"/>
  <c r="Y60" i="11"/>
  <c r="Y86" i="11"/>
  <c r="Y9" i="11"/>
  <c r="Y87" i="11"/>
  <c r="Y61" i="11"/>
  <c r="Y88" i="11"/>
  <c r="Y62" i="11"/>
  <c r="Y10" i="11"/>
  <c r="Y63" i="11"/>
  <c r="Y89" i="11"/>
  <c r="Y11" i="11"/>
  <c r="Y90" i="11"/>
  <c r="Y35" i="11"/>
  <c r="Y64" i="11"/>
  <c r="Y12" i="11"/>
  <c r="Y13" i="11"/>
  <c r="Y36" i="11"/>
  <c r="Y91" i="11"/>
  <c r="Y65" i="11"/>
  <c r="Y14" i="11"/>
  <c r="Y37" i="11"/>
  <c r="Y66" i="11"/>
  <c r="Y92" i="11"/>
  <c r="Y15" i="11"/>
  <c r="Y38" i="11"/>
  <c r="Y93" i="11"/>
  <c r="Y67" i="11"/>
  <c r="Y68" i="11"/>
  <c r="Y39" i="11"/>
  <c r="Y94" i="11"/>
  <c r="Y16" i="11"/>
  <c r="Y95" i="11"/>
  <c r="Y69" i="11"/>
  <c r="Y17" i="11"/>
  <c r="Y40" i="11"/>
  <c r="Y18" i="11"/>
  <c r="Y70" i="11"/>
  <c r="Y41" i="11"/>
  <c r="Y96" i="11"/>
  <c r="Y97" i="11"/>
  <c r="Y71" i="11"/>
  <c r="Y19" i="11"/>
  <c r="Y42" i="11"/>
  <c r="Y72" i="11"/>
  <c r="Y20" i="11"/>
  <c r="Y98" i="11"/>
  <c r="Y43" i="11"/>
  <c r="H44" i="11"/>
  <c r="Q44" i="11"/>
  <c r="V44" i="11"/>
  <c r="J44" i="11"/>
  <c r="Y85" i="10"/>
  <c r="N85" i="10"/>
  <c r="W21" i="10"/>
  <c r="Y21" i="10"/>
  <c r="T21" i="10"/>
  <c r="G85" i="10"/>
  <c r="P85" i="10"/>
  <c r="S86" i="10"/>
  <c r="M21" i="10"/>
  <c r="Z3" i="10"/>
  <c r="Y4" i="10"/>
  <c r="Y5" i="10"/>
  <c r="Y69" i="10"/>
  <c r="Y33" i="10"/>
  <c r="Y6" i="10"/>
  <c r="Y70" i="10"/>
  <c r="Y7" i="10"/>
  <c r="Y71" i="10"/>
  <c r="Y34" i="10"/>
  <c r="Y8" i="10"/>
  <c r="Y72" i="10"/>
  <c r="Y35" i="10"/>
  <c r="Y36" i="10"/>
  <c r="Y73" i="10"/>
  <c r="Y9" i="10"/>
  <c r="Y37" i="10"/>
  <c r="Y10" i="10"/>
  <c r="Y74" i="10"/>
  <c r="Y38" i="10"/>
  <c r="Y75" i="10"/>
  <c r="Y11" i="10"/>
  <c r="Y39" i="10"/>
  <c r="Y12" i="10"/>
  <c r="Y76" i="10"/>
  <c r="Y13" i="10"/>
  <c r="Y77" i="10"/>
  <c r="Y40" i="10"/>
  <c r="Y78" i="10"/>
  <c r="Y41" i="10"/>
  <c r="Y14" i="10"/>
  <c r="Y42" i="10"/>
  <c r="Y79" i="10"/>
  <c r="Y15" i="10"/>
  <c r="Y80" i="10"/>
  <c r="Y43" i="10"/>
  <c r="Y16" i="10"/>
  <c r="Y44" i="10"/>
  <c r="Y81" i="10"/>
  <c r="Y17" i="10"/>
  <c r="Y45" i="10"/>
  <c r="Y82" i="10"/>
  <c r="Y18" i="10"/>
  <c r="Y83" i="10"/>
  <c r="Y19" i="10"/>
  <c r="Y20" i="10"/>
  <c r="Y84" i="10"/>
  <c r="V85" i="10"/>
  <c r="Q85" i="10"/>
  <c r="X85" i="10"/>
  <c r="U85" i="10"/>
  <c r="H85" i="10"/>
  <c r="F22" i="10"/>
  <c r="R22" i="10" s="1"/>
  <c r="R85" i="10"/>
  <c r="M85" i="10"/>
  <c r="X21" i="10"/>
  <c r="O21" i="10"/>
  <c r="S21" i="10"/>
  <c r="N21" i="10"/>
  <c r="O85" i="10"/>
  <c r="J85" i="10"/>
  <c r="I85" i="10"/>
  <c r="K85" i="10"/>
  <c r="W85" i="10"/>
  <c r="J21" i="10"/>
  <c r="I21" i="10"/>
  <c r="T85" i="10"/>
  <c r="S85" i="10"/>
  <c r="X21" i="9"/>
  <c r="G49" i="9"/>
  <c r="P21" i="9"/>
  <c r="W49" i="9"/>
  <c r="P49" i="9"/>
  <c r="U49" i="9"/>
  <c r="S49" i="9"/>
  <c r="H21" i="9"/>
  <c r="O49" i="9"/>
  <c r="H49" i="9"/>
  <c r="M49" i="9"/>
  <c r="K49" i="9"/>
  <c r="Q49" i="9"/>
  <c r="F22" i="9"/>
  <c r="M22" i="9" s="1"/>
  <c r="K21" i="9"/>
  <c r="Q21" i="9"/>
  <c r="V21" i="9"/>
  <c r="I21" i="9"/>
  <c r="W21" i="9"/>
  <c r="F50" i="9"/>
  <c r="G50" i="9" s="1"/>
  <c r="L50" i="9"/>
  <c r="V49" i="9"/>
  <c r="T49" i="9"/>
  <c r="R49" i="9"/>
  <c r="N21" i="9"/>
  <c r="O21" i="9"/>
  <c r="X4" i="9"/>
  <c r="X33" i="9"/>
  <c r="X5" i="9"/>
  <c r="X34" i="9"/>
  <c r="X6" i="9"/>
  <c r="X7" i="9"/>
  <c r="X35" i="9"/>
  <c r="X8" i="9"/>
  <c r="X36" i="9"/>
  <c r="X37" i="9"/>
  <c r="X9" i="9"/>
  <c r="X10" i="9"/>
  <c r="X38" i="9"/>
  <c r="X11" i="9"/>
  <c r="X39" i="9"/>
  <c r="X12" i="9"/>
  <c r="X40" i="9"/>
  <c r="X13" i="9"/>
  <c r="X41" i="9"/>
  <c r="X42" i="9"/>
  <c r="X14" i="9"/>
  <c r="X15" i="9"/>
  <c r="X43" i="9"/>
  <c r="X16" i="9"/>
  <c r="X44" i="9"/>
  <c r="X45" i="9"/>
  <c r="X17" i="9"/>
  <c r="X18" i="9"/>
  <c r="X46" i="9"/>
  <c r="X47" i="9"/>
  <c r="X19" i="9"/>
  <c r="X20" i="9"/>
  <c r="X48" i="9"/>
  <c r="N49" i="9"/>
  <c r="L49" i="9"/>
  <c r="J49" i="9"/>
  <c r="T21" i="9"/>
  <c r="U21" i="9"/>
  <c r="R21" i="9"/>
  <c r="G21" i="9"/>
  <c r="Q21" i="8"/>
  <c r="G21" i="8"/>
  <c r="M21" i="8"/>
  <c r="O21" i="8"/>
  <c r="K21" i="8"/>
  <c r="P21" i="8"/>
  <c r="X4" i="8"/>
  <c r="X5" i="8"/>
  <c r="X20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H21" i="8"/>
  <c r="V21" i="8"/>
  <c r="T21" i="8"/>
  <c r="U21" i="8"/>
  <c r="S21" i="8"/>
  <c r="J21" i="8"/>
  <c r="N21" i="8"/>
  <c r="L21" i="8"/>
  <c r="U21" i="3"/>
  <c r="G21" i="3"/>
  <c r="K21" i="3"/>
  <c r="Q21" i="3"/>
  <c r="I21" i="3"/>
  <c r="O21" i="3"/>
  <c r="Z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T21" i="3"/>
  <c r="R21" i="3"/>
  <c r="W21" i="3"/>
  <c r="N21" i="3"/>
  <c r="L21" i="3"/>
  <c r="J21" i="3"/>
  <c r="X21" i="3"/>
  <c r="V21" i="3"/>
  <c r="M21" i="3"/>
  <c r="H21" i="3"/>
  <c r="Y3" i="9"/>
  <c r="Y50" i="9" s="1"/>
  <c r="Y3" i="8"/>
  <c r="F22" i="8"/>
  <c r="R22" i="8" s="1"/>
  <c r="F22" i="3"/>
  <c r="W22" i="3" s="1"/>
  <c r="Y36" i="18" l="1"/>
  <c r="W36" i="18"/>
  <c r="V36" i="18"/>
  <c r="R36" i="18"/>
  <c r="AO36" i="18"/>
  <c r="AM36" i="18"/>
  <c r="AH36" i="18"/>
  <c r="J36" i="18"/>
  <c r="AG36" i="18"/>
  <c r="H36" i="18"/>
  <c r="AE36" i="18"/>
  <c r="U36" i="18"/>
  <c r="AD36" i="18"/>
  <c r="M36" i="18"/>
  <c r="AL36" i="18"/>
  <c r="AC36" i="18"/>
  <c r="N36" i="18"/>
  <c r="O36" i="18"/>
  <c r="AK36" i="18"/>
  <c r="AB36" i="18"/>
  <c r="T36" i="18"/>
  <c r="P36" i="18"/>
  <c r="AJ36" i="18"/>
  <c r="AA36" i="18"/>
  <c r="K36" i="18"/>
  <c r="I36" i="18"/>
  <c r="AI36" i="18"/>
  <c r="Z36" i="18"/>
  <c r="S36" i="18"/>
  <c r="Q36" i="18"/>
  <c r="AN36" i="18"/>
  <c r="AF36" i="18"/>
  <c r="X36" i="18"/>
  <c r="G36" i="18"/>
  <c r="F37" i="18"/>
  <c r="M37" i="18" s="1"/>
  <c r="AN3" i="17"/>
  <c r="AM4" i="17"/>
  <c r="AM5" i="17"/>
  <c r="AM6" i="17"/>
  <c r="AM35" i="17"/>
  <c r="AM54" i="17"/>
  <c r="AM90" i="17"/>
  <c r="AM17" i="17"/>
  <c r="AM72" i="17"/>
  <c r="AM91" i="17"/>
  <c r="AM55" i="17"/>
  <c r="AM73" i="17"/>
  <c r="AM7" i="17"/>
  <c r="AM36" i="17"/>
  <c r="AM18" i="17"/>
  <c r="AM74" i="17"/>
  <c r="AM56" i="17"/>
  <c r="AM8" i="17"/>
  <c r="AM37" i="17"/>
  <c r="AM19" i="17"/>
  <c r="AM92" i="17"/>
  <c r="AM38" i="17"/>
  <c r="AM75" i="17"/>
  <c r="AM93" i="17"/>
  <c r="AM9" i="17"/>
  <c r="AM57" i="17"/>
  <c r="AM20" i="17"/>
  <c r="AM76" i="17"/>
  <c r="AM58" i="17"/>
  <c r="AM39" i="17"/>
  <c r="AM21" i="17"/>
  <c r="AM10" i="17"/>
  <c r="AM94" i="17"/>
  <c r="AM59" i="17"/>
  <c r="AM77" i="17"/>
  <c r="AM40" i="17"/>
  <c r="AM11" i="17"/>
  <c r="AM22" i="17"/>
  <c r="AM95" i="17"/>
  <c r="AM12" i="17"/>
  <c r="AM78" i="17"/>
  <c r="AM60" i="17"/>
  <c r="AM96" i="17"/>
  <c r="AM23" i="17"/>
  <c r="AM41" i="17"/>
  <c r="AM13" i="17"/>
  <c r="AM97" i="17"/>
  <c r="AM79" i="17"/>
  <c r="AM24" i="17"/>
  <c r="AM61" i="17"/>
  <c r="AM42" i="17"/>
  <c r="AM80" i="17"/>
  <c r="AM14" i="17"/>
  <c r="AM62" i="17"/>
  <c r="AM25" i="17"/>
  <c r="AM43" i="17"/>
  <c r="AM98" i="17"/>
  <c r="AM15" i="17"/>
  <c r="AM63" i="17"/>
  <c r="AM81" i="17"/>
  <c r="AM99" i="17"/>
  <c r="AM26" i="17"/>
  <c r="AM44" i="17"/>
  <c r="AM82" i="17"/>
  <c r="AM27" i="17"/>
  <c r="AM16" i="17"/>
  <c r="AM64" i="17"/>
  <c r="AM100" i="17"/>
  <c r="AM45" i="17"/>
  <c r="AM28" i="17"/>
  <c r="AM46" i="17"/>
  <c r="AM65" i="17"/>
  <c r="AM101" i="17"/>
  <c r="AM83" i="17"/>
  <c r="AM66" i="17"/>
  <c r="AM102" i="17"/>
  <c r="AM47" i="17"/>
  <c r="AM84" i="17"/>
  <c r="AM29" i="17"/>
  <c r="AM48" i="17"/>
  <c r="AM67" i="17"/>
  <c r="AM85" i="17"/>
  <c r="AM103" i="17"/>
  <c r="AM30" i="17"/>
  <c r="AM31" i="17"/>
  <c r="AM49" i="17"/>
  <c r="AM86" i="17"/>
  <c r="AM68" i="17"/>
  <c r="AM69" i="17"/>
  <c r="AM87" i="17"/>
  <c r="AM50" i="17"/>
  <c r="AM32" i="17"/>
  <c r="AM51" i="17"/>
  <c r="AM70" i="17"/>
  <c r="AM33" i="17"/>
  <c r="AM88" i="17"/>
  <c r="AM34" i="17"/>
  <c r="AM71" i="17"/>
  <c r="AM52" i="17"/>
  <c r="AM89" i="17"/>
  <c r="AM53" i="17"/>
  <c r="U45" i="10"/>
  <c r="K45" i="10"/>
  <c r="N45" i="10"/>
  <c r="M50" i="9"/>
  <c r="S50" i="9"/>
  <c r="R50" i="9"/>
  <c r="V50" i="9"/>
  <c r="Q50" i="9"/>
  <c r="I50" i="9"/>
  <c r="X50" i="9"/>
  <c r="T50" i="9"/>
  <c r="W50" i="9"/>
  <c r="V45" i="10"/>
  <c r="T45" i="10"/>
  <c r="U22" i="10"/>
  <c r="O45" i="10"/>
  <c r="L45" i="10"/>
  <c r="H45" i="10"/>
  <c r="G45" i="10"/>
  <c r="M45" i="10"/>
  <c r="K50" i="9"/>
  <c r="O50" i="9"/>
  <c r="U50" i="9"/>
  <c r="P50" i="9"/>
  <c r="H50" i="9"/>
  <c r="I22" i="3"/>
  <c r="AG4" i="15"/>
  <c r="AH3" i="15"/>
  <c r="AG5" i="15"/>
  <c r="AG6" i="15"/>
  <c r="AG27" i="15"/>
  <c r="AG15" i="15"/>
  <c r="AG28" i="15"/>
  <c r="AG7" i="15"/>
  <c r="AG16" i="15"/>
  <c r="AG17" i="15"/>
  <c r="AG8" i="15"/>
  <c r="AG29" i="15"/>
  <c r="AG9" i="15"/>
  <c r="AG30" i="15"/>
  <c r="AG18" i="15"/>
  <c r="AG19" i="15"/>
  <c r="AG31" i="15"/>
  <c r="AG10" i="15"/>
  <c r="AG11" i="15"/>
  <c r="AG20" i="15"/>
  <c r="AG32" i="15"/>
  <c r="AG21" i="15"/>
  <c r="AG12" i="15"/>
  <c r="AG13" i="15"/>
  <c r="AG22" i="15"/>
  <c r="AG14" i="15"/>
  <c r="AG23" i="15"/>
  <c r="AG24" i="15"/>
  <c r="AG25" i="15"/>
  <c r="AG26" i="15"/>
  <c r="AH4" i="14"/>
  <c r="AI3" i="14"/>
  <c r="AH5" i="14"/>
  <c r="AH6" i="14"/>
  <c r="AH21" i="14"/>
  <c r="AH22" i="14"/>
  <c r="AH7" i="14"/>
  <c r="AH23" i="14"/>
  <c r="AH8" i="14"/>
  <c r="AH24" i="14"/>
  <c r="AH9" i="14"/>
  <c r="AH25" i="14"/>
  <c r="AH10" i="14"/>
  <c r="AH11" i="14"/>
  <c r="AH26" i="14"/>
  <c r="AH27" i="14"/>
  <c r="AH12" i="14"/>
  <c r="AH28" i="14"/>
  <c r="AH13" i="14"/>
  <c r="AH14" i="14"/>
  <c r="AH29" i="14"/>
  <c r="AH30" i="14"/>
  <c r="AH15" i="14"/>
  <c r="AH31" i="14"/>
  <c r="AH16" i="14"/>
  <c r="AH32" i="14"/>
  <c r="AH17" i="14"/>
  <c r="AH18" i="14"/>
  <c r="AH19" i="14"/>
  <c r="AH20" i="14"/>
  <c r="K30" i="13"/>
  <c r="S30" i="13"/>
  <c r="N30" i="13"/>
  <c r="O30" i="13"/>
  <c r="W30" i="13"/>
  <c r="T30" i="13"/>
  <c r="Y30" i="13"/>
  <c r="L30" i="13"/>
  <c r="Z30" i="13"/>
  <c r="M30" i="13"/>
  <c r="H30" i="13"/>
  <c r="Q30" i="13"/>
  <c r="AC30" i="13"/>
  <c r="P30" i="13"/>
  <c r="X30" i="13"/>
  <c r="AB30" i="13"/>
  <c r="V30" i="13"/>
  <c r="J30" i="13"/>
  <c r="I30" i="13"/>
  <c r="AD30" i="13"/>
  <c r="R30" i="13"/>
  <c r="AA30" i="13"/>
  <c r="U30" i="13"/>
  <c r="G30" i="13"/>
  <c r="AG4" i="13"/>
  <c r="AH3" i="13"/>
  <c r="AG5" i="13"/>
  <c r="AG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P31" i="13"/>
  <c r="Y31" i="13"/>
  <c r="AE30" i="13"/>
  <c r="AG30" i="13"/>
  <c r="AJ31" i="12"/>
  <c r="L31" i="12"/>
  <c r="N31" i="12"/>
  <c r="Y31" i="12"/>
  <c r="S31" i="12"/>
  <c r="T31" i="12"/>
  <c r="V31" i="12"/>
  <c r="H31" i="12"/>
  <c r="AG31" i="12"/>
  <c r="AA31" i="12"/>
  <c r="AB31" i="12"/>
  <c r="AD31" i="12"/>
  <c r="P31" i="12"/>
  <c r="AI31" i="12"/>
  <c r="M31" i="12"/>
  <c r="X31" i="12"/>
  <c r="J31" i="12"/>
  <c r="U31" i="12"/>
  <c r="G31" i="12"/>
  <c r="AF31" i="12"/>
  <c r="R31" i="12"/>
  <c r="AC31" i="12"/>
  <c r="O31" i="12"/>
  <c r="Z31" i="12"/>
  <c r="AJ5" i="12"/>
  <c r="AJ4" i="12"/>
  <c r="AK3" i="12"/>
  <c r="AJ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W31" i="12"/>
  <c r="I31" i="12"/>
  <c r="F32" i="12"/>
  <c r="AE31" i="12"/>
  <c r="Q31" i="12"/>
  <c r="K31" i="12"/>
  <c r="Q22" i="3"/>
  <c r="N50" i="9"/>
  <c r="J50" i="9"/>
  <c r="S22" i="9"/>
  <c r="R45" i="10"/>
  <c r="S45" i="10"/>
  <c r="N22" i="10"/>
  <c r="S22" i="10"/>
  <c r="L22" i="10"/>
  <c r="Q45" i="10"/>
  <c r="J45" i="10"/>
  <c r="O22" i="10"/>
  <c r="W45" i="10"/>
  <c r="P45" i="10"/>
  <c r="H22" i="10"/>
  <c r="F46" i="10"/>
  <c r="O46" i="10" s="1"/>
  <c r="X45" i="10"/>
  <c r="J22" i="10"/>
  <c r="P22" i="9"/>
  <c r="T22" i="3"/>
  <c r="S22" i="3"/>
  <c r="L22" i="3"/>
  <c r="K22" i="3"/>
  <c r="G22" i="3"/>
  <c r="M22" i="3"/>
  <c r="S22" i="11"/>
  <c r="U45" i="11"/>
  <c r="J45" i="11"/>
  <c r="O45" i="11"/>
  <c r="H45" i="11"/>
  <c r="R45" i="11"/>
  <c r="W45" i="11"/>
  <c r="X45" i="11"/>
  <c r="K45" i="11"/>
  <c r="I45" i="11"/>
  <c r="S45" i="11"/>
  <c r="Z45" i="11"/>
  <c r="M45" i="11"/>
  <c r="G22" i="11"/>
  <c r="P22" i="11"/>
  <c r="P74" i="11"/>
  <c r="I22" i="11"/>
  <c r="J22" i="11"/>
  <c r="U74" i="11"/>
  <c r="I74" i="11"/>
  <c r="Q22" i="11"/>
  <c r="R22" i="11"/>
  <c r="O22" i="11"/>
  <c r="J74" i="11"/>
  <c r="K22" i="11"/>
  <c r="L22" i="11"/>
  <c r="M74" i="11"/>
  <c r="V22" i="11"/>
  <c r="M22" i="11"/>
  <c r="T22" i="11"/>
  <c r="N22" i="11"/>
  <c r="K46" i="11"/>
  <c r="J46" i="11"/>
  <c r="Q46" i="11"/>
  <c r="W46" i="11"/>
  <c r="G46" i="11"/>
  <c r="N46" i="11"/>
  <c r="O46" i="11"/>
  <c r="U46" i="11"/>
  <c r="H46" i="11"/>
  <c r="Q100" i="11"/>
  <c r="K100" i="11"/>
  <c r="M100" i="11"/>
  <c r="Z74" i="11"/>
  <c r="W100" i="11"/>
  <c r="N100" i="11"/>
  <c r="Y100" i="11"/>
  <c r="S100" i="11"/>
  <c r="U100" i="11"/>
  <c r="O75" i="11"/>
  <c r="P75" i="11"/>
  <c r="I75" i="11"/>
  <c r="G75" i="11"/>
  <c r="V100" i="11"/>
  <c r="R74" i="11"/>
  <c r="V74" i="11"/>
  <c r="O74" i="11"/>
  <c r="O100" i="11"/>
  <c r="H74" i="11"/>
  <c r="X74" i="11"/>
  <c r="AA3" i="11"/>
  <c r="AA46" i="11" s="1"/>
  <c r="Z4" i="11"/>
  <c r="Z5" i="11"/>
  <c r="Z6" i="11"/>
  <c r="Z84" i="11"/>
  <c r="Z58" i="11"/>
  <c r="Z59" i="11"/>
  <c r="Z85" i="11"/>
  <c r="Z7" i="11"/>
  <c r="Z60" i="11"/>
  <c r="Z86" i="11"/>
  <c r="Z8" i="11"/>
  <c r="Z87" i="11"/>
  <c r="Z61" i="11"/>
  <c r="Z9" i="11"/>
  <c r="Z88" i="11"/>
  <c r="Z10" i="11"/>
  <c r="Z62" i="11"/>
  <c r="Z89" i="11"/>
  <c r="Z63" i="11"/>
  <c r="Z11" i="11"/>
  <c r="Z35" i="11"/>
  <c r="Z12" i="11"/>
  <c r="Z64" i="11"/>
  <c r="Z90" i="11"/>
  <c r="Z65" i="11"/>
  <c r="Z36" i="11"/>
  <c r="Z13" i="11"/>
  <c r="Z91" i="11"/>
  <c r="Z66" i="11"/>
  <c r="Z14" i="11"/>
  <c r="Z37" i="11"/>
  <c r="Z92" i="11"/>
  <c r="Z38" i="11"/>
  <c r="Z67" i="11"/>
  <c r="Z93" i="11"/>
  <c r="Z15" i="11"/>
  <c r="Z94" i="11"/>
  <c r="Z16" i="11"/>
  <c r="Z39" i="11"/>
  <c r="Z68" i="11"/>
  <c r="Z17" i="11"/>
  <c r="Z69" i="11"/>
  <c r="Z95" i="11"/>
  <c r="Z40" i="11"/>
  <c r="Z96" i="11"/>
  <c r="Z41" i="11"/>
  <c r="Z70" i="11"/>
  <c r="Z18" i="11"/>
  <c r="Z19" i="11"/>
  <c r="Z71" i="11"/>
  <c r="Z42" i="11"/>
  <c r="Z97" i="11"/>
  <c r="Z98" i="11"/>
  <c r="Z72" i="11"/>
  <c r="Z43" i="11"/>
  <c r="Z20" i="11"/>
  <c r="Z99" i="11"/>
  <c r="Z73" i="11"/>
  <c r="Z44" i="11"/>
  <c r="Z21" i="11"/>
  <c r="Z22" i="11"/>
  <c r="W22" i="11"/>
  <c r="U22" i="11"/>
  <c r="H22" i="11"/>
  <c r="X100" i="11"/>
  <c r="J100" i="11"/>
  <c r="L100" i="11"/>
  <c r="Q74" i="11"/>
  <c r="P100" i="11"/>
  <c r="R100" i="11"/>
  <c r="T100" i="11"/>
  <c r="Y22" i="11"/>
  <c r="H100" i="11"/>
  <c r="Z100" i="11"/>
  <c r="K74" i="11"/>
  <c r="Y74" i="11"/>
  <c r="S74" i="11"/>
  <c r="W74" i="11"/>
  <c r="T74" i="11"/>
  <c r="I101" i="11"/>
  <c r="F23" i="11"/>
  <c r="P23" i="11" s="1"/>
  <c r="G100" i="11"/>
  <c r="I100" i="11"/>
  <c r="G74" i="11"/>
  <c r="Q86" i="10"/>
  <c r="K86" i="10"/>
  <c r="R86" i="10"/>
  <c r="X86" i="10"/>
  <c r="J86" i="10"/>
  <c r="M86" i="10"/>
  <c r="L86" i="10"/>
  <c r="V86" i="10"/>
  <c r="G86" i="10"/>
  <c r="W86" i="10"/>
  <c r="K22" i="10"/>
  <c r="W22" i="10"/>
  <c r="Y22" i="10"/>
  <c r="H86" i="10"/>
  <c r="T86" i="10"/>
  <c r="AA3" i="10"/>
  <c r="Z4" i="10"/>
  <c r="Z69" i="10"/>
  <c r="Z5" i="10"/>
  <c r="Z6" i="10"/>
  <c r="Z33" i="10"/>
  <c r="Z70" i="10"/>
  <c r="Z34" i="10"/>
  <c r="Z71" i="10"/>
  <c r="Z7" i="10"/>
  <c r="Z72" i="10"/>
  <c r="Z35" i="10"/>
  <c r="Z8" i="10"/>
  <c r="Z73" i="10"/>
  <c r="Z36" i="10"/>
  <c r="Z9" i="10"/>
  <c r="Z10" i="10"/>
  <c r="Z37" i="10"/>
  <c r="Z74" i="10"/>
  <c r="Z38" i="10"/>
  <c r="Z75" i="10"/>
  <c r="Z11" i="10"/>
  <c r="Z39" i="10"/>
  <c r="Z12" i="10"/>
  <c r="Z76" i="10"/>
  <c r="Z40" i="10"/>
  <c r="Z77" i="10"/>
  <c r="Z13" i="10"/>
  <c r="Z41" i="10"/>
  <c r="Z14" i="10"/>
  <c r="Z78" i="10"/>
  <c r="Z42" i="10"/>
  <c r="Z79" i="10"/>
  <c r="Z15" i="10"/>
  <c r="Z43" i="10"/>
  <c r="Z80" i="10"/>
  <c r="Z16" i="10"/>
  <c r="Z44" i="10"/>
  <c r="Z81" i="10"/>
  <c r="Z17" i="10"/>
  <c r="Z18" i="10"/>
  <c r="Z82" i="10"/>
  <c r="Z45" i="10"/>
  <c r="Z19" i="10"/>
  <c r="Z46" i="10"/>
  <c r="Z83" i="10"/>
  <c r="Z20" i="10"/>
  <c r="Z84" i="10"/>
  <c r="Z85" i="10"/>
  <c r="Z21" i="10"/>
  <c r="T22" i="10"/>
  <c r="M22" i="10"/>
  <c r="U87" i="10"/>
  <c r="S87" i="10"/>
  <c r="Z87" i="10"/>
  <c r="W87" i="10"/>
  <c r="I86" i="10"/>
  <c r="Q22" i="10"/>
  <c r="V22" i="10"/>
  <c r="P22" i="10"/>
  <c r="Z86" i="10"/>
  <c r="N86" i="10"/>
  <c r="Y86" i="10"/>
  <c r="U86" i="10"/>
  <c r="V23" i="10"/>
  <c r="N23" i="10"/>
  <c r="U23" i="10"/>
  <c r="M23" i="10"/>
  <c r="T23" i="10"/>
  <c r="L23" i="10"/>
  <c r="AA23" i="10"/>
  <c r="S23" i="10"/>
  <c r="K23" i="10"/>
  <c r="Y23" i="10"/>
  <c r="Q23" i="10"/>
  <c r="I23" i="10"/>
  <c r="O23" i="10"/>
  <c r="P23" i="10"/>
  <c r="J23" i="10"/>
  <c r="H23" i="10"/>
  <c r="Z23" i="10"/>
  <c r="G23" i="10"/>
  <c r="X23" i="10"/>
  <c r="R23" i="10"/>
  <c r="W23" i="10"/>
  <c r="X22" i="10"/>
  <c r="Z22" i="10"/>
  <c r="I22" i="10"/>
  <c r="G22" i="10"/>
  <c r="P86" i="10"/>
  <c r="O86" i="10"/>
  <c r="F51" i="9"/>
  <c r="L51" i="9" s="1"/>
  <c r="K22" i="9"/>
  <c r="H22" i="9"/>
  <c r="V22" i="9"/>
  <c r="T22" i="9"/>
  <c r="Q22" i="9"/>
  <c r="N22" i="9"/>
  <c r="L22" i="9"/>
  <c r="R22" i="9"/>
  <c r="Y22" i="9"/>
  <c r="I22" i="9"/>
  <c r="J22" i="9"/>
  <c r="W22" i="9"/>
  <c r="O22" i="9"/>
  <c r="U22" i="9"/>
  <c r="G22" i="9"/>
  <c r="Y4" i="9"/>
  <c r="Y5" i="9"/>
  <c r="Y33" i="9"/>
  <c r="Y34" i="9"/>
  <c r="Y6" i="9"/>
  <c r="Y35" i="9"/>
  <c r="Y7" i="9"/>
  <c r="Y8" i="9"/>
  <c r="Y36" i="9"/>
  <c r="Y9" i="9"/>
  <c r="Y37" i="9"/>
  <c r="Y38" i="9"/>
  <c r="Y10" i="9"/>
  <c r="Y39" i="9"/>
  <c r="Y11" i="9"/>
  <c r="Y12" i="9"/>
  <c r="Y40" i="9"/>
  <c r="Y13" i="9"/>
  <c r="Y41" i="9"/>
  <c r="Y14" i="9"/>
  <c r="Y42" i="9"/>
  <c r="Y15" i="9"/>
  <c r="Y43" i="9"/>
  <c r="Y16" i="9"/>
  <c r="Y44" i="9"/>
  <c r="Y17" i="9"/>
  <c r="Y45" i="9"/>
  <c r="Y46" i="9"/>
  <c r="Y18" i="9"/>
  <c r="Y19" i="9"/>
  <c r="Y47" i="9"/>
  <c r="Y20" i="9"/>
  <c r="Y48" i="9"/>
  <c r="Y49" i="9"/>
  <c r="Y21" i="9"/>
  <c r="F23" i="9"/>
  <c r="Y23" i="9" s="1"/>
  <c r="X22" i="9"/>
  <c r="H22" i="8"/>
  <c r="P22" i="8"/>
  <c r="Y4" i="8"/>
  <c r="Y20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1" i="8"/>
  <c r="T22" i="8"/>
  <c r="W22" i="8"/>
  <c r="G22" i="8"/>
  <c r="O22" i="8"/>
  <c r="L22" i="8"/>
  <c r="J22" i="8"/>
  <c r="X22" i="8"/>
  <c r="U22" i="8"/>
  <c r="S22" i="8"/>
  <c r="Y22" i="8"/>
  <c r="N22" i="8"/>
  <c r="V22" i="8"/>
  <c r="M22" i="8"/>
  <c r="K22" i="8"/>
  <c r="Q22" i="8"/>
  <c r="I22" i="8"/>
  <c r="X22" i="3"/>
  <c r="AA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P22" i="3"/>
  <c r="H22" i="3"/>
  <c r="V22" i="3"/>
  <c r="Z22" i="3"/>
  <c r="N22" i="3"/>
  <c r="R22" i="3"/>
  <c r="J22" i="3"/>
  <c r="Y22" i="3"/>
  <c r="O22" i="3"/>
  <c r="U22" i="3"/>
  <c r="Z3" i="9"/>
  <c r="F23" i="8"/>
  <c r="N23" i="8" s="1"/>
  <c r="Z3" i="8"/>
  <c r="F23" i="3"/>
  <c r="Z23" i="3" s="1"/>
  <c r="AG37" i="18" l="1"/>
  <c r="AH37" i="18"/>
  <c r="AC37" i="18"/>
  <c r="U37" i="18"/>
  <c r="X37" i="18"/>
  <c r="P37" i="18"/>
  <c r="AK37" i="18"/>
  <c r="J37" i="18"/>
  <c r="AJ37" i="18"/>
  <c r="I37" i="18"/>
  <c r="AN37" i="18"/>
  <c r="AB37" i="18"/>
  <c r="O37" i="18"/>
  <c r="AL37" i="18"/>
  <c r="Z37" i="18"/>
  <c r="L37" i="18"/>
  <c r="AD37" i="18"/>
  <c r="N37" i="18"/>
  <c r="AO37" i="18"/>
  <c r="AF37" i="18"/>
  <c r="G37" i="18"/>
  <c r="T37" i="18"/>
  <c r="AI37" i="18"/>
  <c r="Y37" i="18"/>
  <c r="H37" i="18"/>
  <c r="AM37" i="18"/>
  <c r="AE37" i="18"/>
  <c r="W37" i="18"/>
  <c r="K37" i="18"/>
  <c r="F38" i="18"/>
  <c r="H38" i="18" s="1"/>
  <c r="AA37" i="18"/>
  <c r="V37" i="18"/>
  <c r="Q37" i="18"/>
  <c r="R37" i="18"/>
  <c r="S37" i="18"/>
  <c r="AO3" i="17"/>
  <c r="AN4" i="17"/>
  <c r="AN5" i="17"/>
  <c r="AN54" i="17"/>
  <c r="AN6" i="17"/>
  <c r="AN90" i="17"/>
  <c r="AN17" i="17"/>
  <c r="AN35" i="17"/>
  <c r="AN72" i="17"/>
  <c r="AN73" i="17"/>
  <c r="AN18" i="17"/>
  <c r="AN36" i="17"/>
  <c r="AN7" i="17"/>
  <c r="AN55" i="17"/>
  <c r="AN91" i="17"/>
  <c r="AN37" i="17"/>
  <c r="AN56" i="17"/>
  <c r="AN8" i="17"/>
  <c r="AN92" i="17"/>
  <c r="AN74" i="17"/>
  <c r="AN19" i="17"/>
  <c r="AN20" i="17"/>
  <c r="AN93" i="17"/>
  <c r="AN57" i="17"/>
  <c r="AN38" i="17"/>
  <c r="AN75" i="17"/>
  <c r="AN9" i="17"/>
  <c r="AN10" i="17"/>
  <c r="AN94" i="17"/>
  <c r="AN39" i="17"/>
  <c r="AN76" i="17"/>
  <c r="AN21" i="17"/>
  <c r="AN58" i="17"/>
  <c r="AN22" i="17"/>
  <c r="AN40" i="17"/>
  <c r="AN77" i="17"/>
  <c r="AN11" i="17"/>
  <c r="AN95" i="17"/>
  <c r="AN59" i="17"/>
  <c r="AN41" i="17"/>
  <c r="AN78" i="17"/>
  <c r="AN23" i="17"/>
  <c r="AN12" i="17"/>
  <c r="AN96" i="17"/>
  <c r="AN60" i="17"/>
  <c r="AN13" i="17"/>
  <c r="AN42" i="17"/>
  <c r="AN79" i="17"/>
  <c r="AN97" i="17"/>
  <c r="AN24" i="17"/>
  <c r="AN61" i="17"/>
  <c r="AN80" i="17"/>
  <c r="AN43" i="17"/>
  <c r="AN14" i="17"/>
  <c r="AN62" i="17"/>
  <c r="AN98" i="17"/>
  <c r="AN25" i="17"/>
  <c r="AN99" i="17"/>
  <c r="AN26" i="17"/>
  <c r="AN15" i="17"/>
  <c r="AN44" i="17"/>
  <c r="AN81" i="17"/>
  <c r="AN63" i="17"/>
  <c r="AN64" i="17"/>
  <c r="AN100" i="17"/>
  <c r="AN82" i="17"/>
  <c r="AN45" i="17"/>
  <c r="AN27" i="17"/>
  <c r="AN16" i="17"/>
  <c r="AN101" i="17"/>
  <c r="AN46" i="17"/>
  <c r="AN65" i="17"/>
  <c r="AN28" i="17"/>
  <c r="AN83" i="17"/>
  <c r="AN84" i="17"/>
  <c r="AN47" i="17"/>
  <c r="AN66" i="17"/>
  <c r="AN102" i="17"/>
  <c r="AN29" i="17"/>
  <c r="AN48" i="17"/>
  <c r="AN85" i="17"/>
  <c r="AN30" i="17"/>
  <c r="AN103" i="17"/>
  <c r="AN67" i="17"/>
  <c r="AN86" i="17"/>
  <c r="AN68" i="17"/>
  <c r="AN49" i="17"/>
  <c r="AN31" i="17"/>
  <c r="AN69" i="17"/>
  <c r="AN50" i="17"/>
  <c r="AN32" i="17"/>
  <c r="AN87" i="17"/>
  <c r="AN51" i="17"/>
  <c r="AN88" i="17"/>
  <c r="AN33" i="17"/>
  <c r="AN70" i="17"/>
  <c r="AN34" i="17"/>
  <c r="AN89" i="17"/>
  <c r="AN71" i="17"/>
  <c r="AN52" i="17"/>
  <c r="AN53" i="17"/>
  <c r="AK32" i="12"/>
  <c r="K46" i="10"/>
  <c r="N46" i="10"/>
  <c r="AG32" i="12"/>
  <c r="T46" i="10"/>
  <c r="J46" i="10"/>
  <c r="P46" i="10"/>
  <c r="W46" i="10"/>
  <c r="AH4" i="15"/>
  <c r="AI3" i="15"/>
  <c r="AH5" i="15"/>
  <c r="AH6" i="15"/>
  <c r="AH27" i="15"/>
  <c r="AH15" i="15"/>
  <c r="AH16" i="15"/>
  <c r="AH7" i="15"/>
  <c r="AH28" i="15"/>
  <c r="AH29" i="15"/>
  <c r="AH17" i="15"/>
  <c r="AH8" i="15"/>
  <c r="AH9" i="15"/>
  <c r="AH18" i="15"/>
  <c r="AH30" i="15"/>
  <c r="AH31" i="15"/>
  <c r="AH19" i="15"/>
  <c r="AH10" i="15"/>
  <c r="AH20" i="15"/>
  <c r="AH11" i="15"/>
  <c r="AH32" i="15"/>
  <c r="AH21" i="15"/>
  <c r="AH12" i="15"/>
  <c r="AH22" i="15"/>
  <c r="AH13" i="15"/>
  <c r="AH23" i="15"/>
  <c r="AH14" i="15"/>
  <c r="AH24" i="15"/>
  <c r="AH25" i="15"/>
  <c r="AH26" i="15"/>
  <c r="AJ3" i="14"/>
  <c r="AI4" i="14"/>
  <c r="AI5" i="14"/>
  <c r="AI6" i="14"/>
  <c r="AI21" i="14"/>
  <c r="AI22" i="14"/>
  <c r="AI7" i="14"/>
  <c r="AI23" i="14"/>
  <c r="AI8" i="14"/>
  <c r="AI9" i="14"/>
  <c r="AI24" i="14"/>
  <c r="AI10" i="14"/>
  <c r="AI25" i="14"/>
  <c r="AI26" i="14"/>
  <c r="AI11" i="14"/>
  <c r="AI27" i="14"/>
  <c r="AI12" i="14"/>
  <c r="AI28" i="14"/>
  <c r="AI13" i="14"/>
  <c r="AI29" i="14"/>
  <c r="AI14" i="14"/>
  <c r="AI30" i="14"/>
  <c r="AI15" i="14"/>
  <c r="AI31" i="14"/>
  <c r="AI16" i="14"/>
  <c r="AI17" i="14"/>
  <c r="AI32" i="14"/>
  <c r="AI18" i="14"/>
  <c r="AI19" i="14"/>
  <c r="AI20" i="14"/>
  <c r="O31" i="13"/>
  <c r="X31" i="13"/>
  <c r="J31" i="13"/>
  <c r="S31" i="13"/>
  <c r="L31" i="13"/>
  <c r="U31" i="13"/>
  <c r="AE31" i="13"/>
  <c r="I31" i="13"/>
  <c r="AH31" i="13"/>
  <c r="AD31" i="13"/>
  <c r="Q31" i="13"/>
  <c r="K31" i="13"/>
  <c r="M31" i="13"/>
  <c r="H31" i="13"/>
  <c r="AG31" i="13"/>
  <c r="AA31" i="13"/>
  <c r="AC31" i="13"/>
  <c r="AH4" i="13"/>
  <c r="AI3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G32" i="13"/>
  <c r="L32" i="13"/>
  <c r="G31" i="13"/>
  <c r="AF31" i="13"/>
  <c r="R31" i="13"/>
  <c r="T31" i="13"/>
  <c r="N31" i="13"/>
  <c r="W31" i="13"/>
  <c r="Z31" i="13"/>
  <c r="AB31" i="13"/>
  <c r="V31" i="13"/>
  <c r="Y32" i="12"/>
  <c r="U32" i="12"/>
  <c r="AC32" i="12"/>
  <c r="O32" i="12"/>
  <c r="R32" i="12"/>
  <c r="N32" i="12"/>
  <c r="W32" i="12"/>
  <c r="H32" i="12"/>
  <c r="S32" i="12"/>
  <c r="J32" i="12"/>
  <c r="P32" i="12"/>
  <c r="X32" i="12"/>
  <c r="L32" i="12"/>
  <c r="AF32" i="12"/>
  <c r="T32" i="12"/>
  <c r="AE32" i="12"/>
  <c r="Z32" i="12"/>
  <c r="AB32" i="12"/>
  <c r="V32" i="12"/>
  <c r="I32" i="12"/>
  <c r="AH32" i="12"/>
  <c r="AJ32" i="12"/>
  <c r="AD32" i="12"/>
  <c r="G32" i="12"/>
  <c r="Q32" i="12"/>
  <c r="K32" i="12"/>
  <c r="M32" i="12"/>
  <c r="AI32" i="12"/>
  <c r="AK4" i="12"/>
  <c r="AL3" i="12"/>
  <c r="AK6" i="12"/>
  <c r="AK5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S23" i="9"/>
  <c r="P23" i="9"/>
  <c r="Q23" i="9"/>
  <c r="H23" i="9"/>
  <c r="I23" i="9"/>
  <c r="N23" i="9"/>
  <c r="Z23" i="9"/>
  <c r="V23" i="9"/>
  <c r="M23" i="9"/>
  <c r="W51" i="9"/>
  <c r="T23" i="9"/>
  <c r="L23" i="9"/>
  <c r="X46" i="10"/>
  <c r="S46" i="10"/>
  <c r="U46" i="10"/>
  <c r="Q46" i="10"/>
  <c r="V46" i="10"/>
  <c r="L46" i="10"/>
  <c r="R46" i="10"/>
  <c r="H46" i="10"/>
  <c r="I46" i="10"/>
  <c r="M46" i="10"/>
  <c r="G46" i="10"/>
  <c r="F47" i="10"/>
  <c r="G47" i="10" s="1"/>
  <c r="U47" i="10"/>
  <c r="Y46" i="10"/>
  <c r="W23" i="9"/>
  <c r="K23" i="9"/>
  <c r="K51" i="9"/>
  <c r="O23" i="9"/>
  <c r="R23" i="9"/>
  <c r="Q51" i="9"/>
  <c r="G23" i="9"/>
  <c r="J23" i="9"/>
  <c r="R51" i="9"/>
  <c r="U23" i="9"/>
  <c r="J51" i="9"/>
  <c r="Z23" i="8"/>
  <c r="J23" i="8"/>
  <c r="X23" i="8"/>
  <c r="X23" i="3"/>
  <c r="X46" i="11"/>
  <c r="L75" i="11"/>
  <c r="H75" i="11"/>
  <c r="R75" i="11"/>
  <c r="X75" i="11"/>
  <c r="S75" i="11"/>
  <c r="T75" i="11"/>
  <c r="AA75" i="11"/>
  <c r="V75" i="11"/>
  <c r="Q75" i="11"/>
  <c r="N75" i="11"/>
  <c r="X23" i="11"/>
  <c r="J23" i="11"/>
  <c r="W23" i="11"/>
  <c r="O23" i="11"/>
  <c r="R23" i="11"/>
  <c r="N23" i="11"/>
  <c r="T46" i="11"/>
  <c r="M46" i="11"/>
  <c r="Y46" i="11"/>
  <c r="S46" i="11"/>
  <c r="Z101" i="11"/>
  <c r="X101" i="11"/>
  <c r="AA23" i="11"/>
  <c r="Z23" i="11"/>
  <c r="V23" i="11"/>
  <c r="J101" i="11"/>
  <c r="M101" i="11"/>
  <c r="G101" i="11"/>
  <c r="G23" i="11"/>
  <c r="S23" i="11"/>
  <c r="I23" i="11"/>
  <c r="AB3" i="11"/>
  <c r="AA4" i="11"/>
  <c r="AA5" i="11"/>
  <c r="AA84" i="11"/>
  <c r="AA6" i="11"/>
  <c r="AA58" i="11"/>
  <c r="AA7" i="11"/>
  <c r="AA59" i="11"/>
  <c r="AA85" i="11"/>
  <c r="AA60" i="11"/>
  <c r="AA86" i="11"/>
  <c r="AA8" i="11"/>
  <c r="AA87" i="11"/>
  <c r="AA61" i="11"/>
  <c r="AA9" i="11"/>
  <c r="AA88" i="11"/>
  <c r="AA62" i="11"/>
  <c r="AA10" i="11"/>
  <c r="AA63" i="11"/>
  <c r="AA11" i="11"/>
  <c r="AA89" i="11"/>
  <c r="AA64" i="11"/>
  <c r="AA90" i="11"/>
  <c r="AA12" i="11"/>
  <c r="AA35" i="11"/>
  <c r="AA91" i="11"/>
  <c r="AA65" i="11"/>
  <c r="AA13" i="11"/>
  <c r="AA36" i="11"/>
  <c r="AA66" i="11"/>
  <c r="AA92" i="11"/>
  <c r="AA37" i="11"/>
  <c r="AA14" i="11"/>
  <c r="AA67" i="11"/>
  <c r="AA93" i="11"/>
  <c r="AA15" i="11"/>
  <c r="AA38" i="11"/>
  <c r="AA16" i="11"/>
  <c r="AA39" i="11"/>
  <c r="AA68" i="11"/>
  <c r="AA94" i="11"/>
  <c r="AA40" i="11"/>
  <c r="AA17" i="11"/>
  <c r="AA95" i="11"/>
  <c r="AA69" i="11"/>
  <c r="AA70" i="11"/>
  <c r="AA41" i="11"/>
  <c r="AA96" i="11"/>
  <c r="AA18" i="11"/>
  <c r="AA42" i="11"/>
  <c r="AA71" i="11"/>
  <c r="AA19" i="11"/>
  <c r="AA97" i="11"/>
  <c r="AA72" i="11"/>
  <c r="AA43" i="11"/>
  <c r="AA98" i="11"/>
  <c r="AA20" i="11"/>
  <c r="AA44" i="11"/>
  <c r="AA99" i="11"/>
  <c r="AA21" i="11"/>
  <c r="AA73" i="11"/>
  <c r="AA45" i="11"/>
  <c r="AA74" i="11"/>
  <c r="AA100" i="11"/>
  <c r="AA22" i="11"/>
  <c r="Z75" i="11"/>
  <c r="K75" i="11"/>
  <c r="W75" i="11"/>
  <c r="P46" i="11"/>
  <c r="K101" i="11"/>
  <c r="U101" i="11"/>
  <c r="O101" i="11"/>
  <c r="R101" i="11"/>
  <c r="W101" i="11"/>
  <c r="Q23" i="11"/>
  <c r="K23" i="11"/>
  <c r="U23" i="11"/>
  <c r="Y23" i="11"/>
  <c r="T23" i="11"/>
  <c r="X76" i="11"/>
  <c r="W47" i="11"/>
  <c r="R46" i="11"/>
  <c r="L101" i="11"/>
  <c r="Q101" i="11"/>
  <c r="H23" i="11"/>
  <c r="Z46" i="11"/>
  <c r="AA101" i="11"/>
  <c r="N101" i="11"/>
  <c r="Y101" i="11"/>
  <c r="L23" i="11"/>
  <c r="M23" i="11"/>
  <c r="U75" i="11"/>
  <c r="J75" i="11"/>
  <c r="M75" i="11"/>
  <c r="Y75" i="11"/>
  <c r="L46" i="11"/>
  <c r="V46" i="11"/>
  <c r="I46" i="11"/>
  <c r="S101" i="11"/>
  <c r="V101" i="11"/>
  <c r="H101" i="11"/>
  <c r="G102" i="11"/>
  <c r="F24" i="11"/>
  <c r="H24" i="11" s="1"/>
  <c r="T101" i="11"/>
  <c r="P101" i="11"/>
  <c r="I87" i="10"/>
  <c r="X87" i="10"/>
  <c r="O87" i="10"/>
  <c r="N87" i="10"/>
  <c r="H87" i="10"/>
  <c r="R87" i="10"/>
  <c r="Q87" i="10"/>
  <c r="T87" i="10"/>
  <c r="Y87" i="10"/>
  <c r="AA5" i="10"/>
  <c r="AB3" i="10"/>
  <c r="AA4" i="10"/>
  <c r="AA69" i="10"/>
  <c r="AA70" i="10"/>
  <c r="AA6" i="10"/>
  <c r="AA33" i="10"/>
  <c r="AA7" i="10"/>
  <c r="AA71" i="10"/>
  <c r="AA34" i="10"/>
  <c r="AA35" i="10"/>
  <c r="AA8" i="10"/>
  <c r="AA72" i="10"/>
  <c r="AA9" i="10"/>
  <c r="AA73" i="10"/>
  <c r="AA36" i="10"/>
  <c r="AA74" i="10"/>
  <c r="AA10" i="10"/>
  <c r="AA37" i="10"/>
  <c r="AA11" i="10"/>
  <c r="AA38" i="10"/>
  <c r="AA75" i="10"/>
  <c r="AA76" i="10"/>
  <c r="AA12" i="10"/>
  <c r="AA39" i="10"/>
  <c r="AA77" i="10"/>
  <c r="AA40" i="10"/>
  <c r="AA13" i="10"/>
  <c r="AA14" i="10"/>
  <c r="AA41" i="10"/>
  <c r="AA78" i="10"/>
  <c r="AA15" i="10"/>
  <c r="AA42" i="10"/>
  <c r="AA79" i="10"/>
  <c r="AA80" i="10"/>
  <c r="AA16" i="10"/>
  <c r="AA43" i="10"/>
  <c r="AA44" i="10"/>
  <c r="AA17" i="10"/>
  <c r="AA81" i="10"/>
  <c r="AA18" i="10"/>
  <c r="AA45" i="10"/>
  <c r="AA82" i="10"/>
  <c r="AA19" i="10"/>
  <c r="AA83" i="10"/>
  <c r="AA46" i="10"/>
  <c r="AA84" i="10"/>
  <c r="AA20" i="10"/>
  <c r="AA21" i="10"/>
  <c r="AA85" i="10"/>
  <c r="AA86" i="10"/>
  <c r="AA22" i="10"/>
  <c r="V87" i="10"/>
  <c r="J87" i="10"/>
  <c r="K87" i="10"/>
  <c r="G87" i="10"/>
  <c r="L87" i="10"/>
  <c r="AA87" i="10"/>
  <c r="G88" i="10"/>
  <c r="P87" i="10"/>
  <c r="M87" i="10"/>
  <c r="O51" i="9"/>
  <c r="U51" i="9"/>
  <c r="I51" i="9"/>
  <c r="G51" i="9"/>
  <c r="M51" i="9"/>
  <c r="X51" i="9"/>
  <c r="P51" i="9"/>
  <c r="Z4" i="9"/>
  <c r="Z33" i="9"/>
  <c r="Z5" i="9"/>
  <c r="Z6" i="9"/>
  <c r="Z34" i="9"/>
  <c r="Z35" i="9"/>
  <c r="Z7" i="9"/>
  <c r="Z8" i="9"/>
  <c r="Z36" i="9"/>
  <c r="Z37" i="9"/>
  <c r="Z9" i="9"/>
  <c r="Z10" i="9"/>
  <c r="Z38" i="9"/>
  <c r="Z11" i="9"/>
  <c r="Z39" i="9"/>
  <c r="Z40" i="9"/>
  <c r="Z12" i="9"/>
  <c r="Z41" i="9"/>
  <c r="Z13" i="9"/>
  <c r="Z14" i="9"/>
  <c r="Z42" i="9"/>
  <c r="Z15" i="9"/>
  <c r="Z43" i="9"/>
  <c r="Z44" i="9"/>
  <c r="Z16" i="9"/>
  <c r="Z45" i="9"/>
  <c r="Z17" i="9"/>
  <c r="Z18" i="9"/>
  <c r="Z46" i="9"/>
  <c r="Z47" i="9"/>
  <c r="Z19" i="9"/>
  <c r="Z20" i="9"/>
  <c r="Z48" i="9"/>
  <c r="Z21" i="9"/>
  <c r="Z49" i="9"/>
  <c r="Z50" i="9"/>
  <c r="Z22" i="9"/>
  <c r="F24" i="9"/>
  <c r="P24" i="9" s="1"/>
  <c r="X23" i="9"/>
  <c r="Y51" i="9"/>
  <c r="H51" i="9"/>
  <c r="V51" i="9"/>
  <c r="T51" i="9"/>
  <c r="S51" i="9"/>
  <c r="Z51" i="9"/>
  <c r="N51" i="9"/>
  <c r="F52" i="9"/>
  <c r="I52" i="9" s="1"/>
  <c r="S23" i="8"/>
  <c r="Y23" i="8"/>
  <c r="K23" i="8"/>
  <c r="P23" i="8"/>
  <c r="U23" i="8"/>
  <c r="Q23" i="8"/>
  <c r="T23" i="8"/>
  <c r="H23" i="8"/>
  <c r="M23" i="8"/>
  <c r="I23" i="8"/>
  <c r="W23" i="8"/>
  <c r="V23" i="8"/>
  <c r="O23" i="8"/>
  <c r="L23" i="8"/>
  <c r="R23" i="8"/>
  <c r="G23" i="8"/>
  <c r="Z4" i="8"/>
  <c r="Z20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1" i="8"/>
  <c r="Z22" i="8"/>
  <c r="O23" i="3"/>
  <c r="H23" i="3"/>
  <c r="V23" i="3"/>
  <c r="N23" i="3"/>
  <c r="W23" i="3"/>
  <c r="T23" i="3"/>
  <c r="R23" i="3"/>
  <c r="G23" i="3"/>
  <c r="L23" i="3"/>
  <c r="J23" i="3"/>
  <c r="M23" i="3"/>
  <c r="K23" i="3"/>
  <c r="Q23" i="3"/>
  <c r="Y23" i="3"/>
  <c r="I23" i="3"/>
  <c r="AA23" i="3"/>
  <c r="AB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P23" i="3"/>
  <c r="U23" i="3"/>
  <c r="S23" i="3"/>
  <c r="AA3" i="9"/>
  <c r="F24" i="8"/>
  <c r="AA3" i="8"/>
  <c r="F24" i="3"/>
  <c r="P24" i="3" s="1"/>
  <c r="AO38" i="18" l="1"/>
  <c r="AL38" i="18"/>
  <c r="AK38" i="18"/>
  <c r="Y38" i="18"/>
  <c r="V38" i="18"/>
  <c r="N38" i="18"/>
  <c r="L38" i="18"/>
  <c r="AC38" i="18"/>
  <c r="AG38" i="18"/>
  <c r="S38" i="18"/>
  <c r="AD38" i="18"/>
  <c r="Q38" i="18"/>
  <c r="I38" i="18"/>
  <c r="AN38" i="18"/>
  <c r="AF38" i="18"/>
  <c r="X38" i="18"/>
  <c r="K38" i="18"/>
  <c r="O38" i="18"/>
  <c r="AM38" i="18"/>
  <c r="AE38" i="18"/>
  <c r="G38" i="18"/>
  <c r="R38" i="18"/>
  <c r="F39" i="18"/>
  <c r="W39" i="18" s="1"/>
  <c r="AJ38" i="18"/>
  <c r="AB38" i="18"/>
  <c r="U38" i="18"/>
  <c r="T38" i="18"/>
  <c r="AI38" i="18"/>
  <c r="AA38" i="18"/>
  <c r="W38" i="18"/>
  <c r="J38" i="18"/>
  <c r="AH38" i="18"/>
  <c r="Z38" i="18"/>
  <c r="P38" i="18"/>
  <c r="M38" i="18"/>
  <c r="AO4" i="17"/>
  <c r="AO5" i="17"/>
  <c r="AO35" i="17"/>
  <c r="AO54" i="17"/>
  <c r="AO90" i="17"/>
  <c r="AO72" i="17"/>
  <c r="AO6" i="17"/>
  <c r="AO17" i="17"/>
  <c r="AO7" i="17"/>
  <c r="AO55" i="17"/>
  <c r="AO18" i="17"/>
  <c r="AO91" i="17"/>
  <c r="AO73" i="17"/>
  <c r="AO36" i="17"/>
  <c r="AO37" i="17"/>
  <c r="AO74" i="17"/>
  <c r="AO19" i="17"/>
  <c r="AO92" i="17"/>
  <c r="AO8" i="17"/>
  <c r="AO56" i="17"/>
  <c r="AO93" i="17"/>
  <c r="AO75" i="17"/>
  <c r="AO57" i="17"/>
  <c r="AO9" i="17"/>
  <c r="AO38" i="17"/>
  <c r="AO20" i="17"/>
  <c r="AO21" i="17"/>
  <c r="AO10" i="17"/>
  <c r="AO58" i="17"/>
  <c r="AO76" i="17"/>
  <c r="AO39" i="17"/>
  <c r="AO94" i="17"/>
  <c r="AO59" i="17"/>
  <c r="AO77" i="17"/>
  <c r="AO40" i="17"/>
  <c r="AO22" i="17"/>
  <c r="AO11" i="17"/>
  <c r="AO95" i="17"/>
  <c r="AO60" i="17"/>
  <c r="AO12" i="17"/>
  <c r="AO23" i="17"/>
  <c r="AO96" i="17"/>
  <c r="AO78" i="17"/>
  <c r="AO41" i="17"/>
  <c r="AO24" i="17"/>
  <c r="AO42" i="17"/>
  <c r="AO79" i="17"/>
  <c r="AO61" i="17"/>
  <c r="AO13" i="17"/>
  <c r="AO97" i="17"/>
  <c r="AO80" i="17"/>
  <c r="AO14" i="17"/>
  <c r="AO98" i="17"/>
  <c r="AO43" i="17"/>
  <c r="AO62" i="17"/>
  <c r="AO25" i="17"/>
  <c r="AO99" i="17"/>
  <c r="AO81" i="17"/>
  <c r="AO63" i="17"/>
  <c r="AO15" i="17"/>
  <c r="AO26" i="17"/>
  <c r="AO44" i="17"/>
  <c r="AO16" i="17"/>
  <c r="AO27" i="17"/>
  <c r="AO100" i="17"/>
  <c r="AO82" i="17"/>
  <c r="AO64" i="17"/>
  <c r="AO45" i="17"/>
  <c r="AO65" i="17"/>
  <c r="AO28" i="17"/>
  <c r="AO83" i="17"/>
  <c r="AO101" i="17"/>
  <c r="AO46" i="17"/>
  <c r="AO66" i="17"/>
  <c r="AO29" i="17"/>
  <c r="AO102" i="17"/>
  <c r="AO84" i="17"/>
  <c r="AO47" i="17"/>
  <c r="AO103" i="17"/>
  <c r="AO85" i="17"/>
  <c r="AO30" i="17"/>
  <c r="AO48" i="17"/>
  <c r="AO67" i="17"/>
  <c r="AO49" i="17"/>
  <c r="AO68" i="17"/>
  <c r="AO31" i="17"/>
  <c r="AO86" i="17"/>
  <c r="AO32" i="17"/>
  <c r="AO87" i="17"/>
  <c r="AO50" i="17"/>
  <c r="AO69" i="17"/>
  <c r="AO33" i="17"/>
  <c r="AO88" i="17"/>
  <c r="AO70" i="17"/>
  <c r="AO51" i="17"/>
  <c r="AO34" i="17"/>
  <c r="AO52" i="17"/>
  <c r="AO89" i="17"/>
  <c r="AO71" i="17"/>
  <c r="AO53" i="17"/>
  <c r="I47" i="10"/>
  <c r="S47" i="10"/>
  <c r="AA47" i="10"/>
  <c r="W47" i="10"/>
  <c r="H47" i="10"/>
  <c r="L47" i="10"/>
  <c r="Y47" i="10"/>
  <c r="T47" i="10"/>
  <c r="P47" i="10"/>
  <c r="R47" i="10"/>
  <c r="X47" i="10"/>
  <c r="U52" i="9"/>
  <c r="M52" i="9"/>
  <c r="O24" i="9"/>
  <c r="S52" i="9"/>
  <c r="W52" i="9"/>
  <c r="P52" i="9"/>
  <c r="K52" i="9"/>
  <c r="H52" i="9"/>
  <c r="J52" i="9"/>
  <c r="V52" i="9"/>
  <c r="Y52" i="9"/>
  <c r="X52" i="9"/>
  <c r="Q52" i="9"/>
  <c r="AJ3" i="15"/>
  <c r="AI4" i="15"/>
  <c r="AI5" i="15"/>
  <c r="AI27" i="15"/>
  <c r="AI15" i="15"/>
  <c r="AI6" i="15"/>
  <c r="AI28" i="15"/>
  <c r="AI7" i="15"/>
  <c r="AI16" i="15"/>
  <c r="AI29" i="15"/>
  <c r="AI8" i="15"/>
  <c r="AI17" i="15"/>
  <c r="AI18" i="15"/>
  <c r="AI9" i="15"/>
  <c r="AI30" i="15"/>
  <c r="AI31" i="15"/>
  <c r="AI10" i="15"/>
  <c r="AI19" i="15"/>
  <c r="AI32" i="15"/>
  <c r="AI11" i="15"/>
  <c r="AI20" i="15"/>
  <c r="AI12" i="15"/>
  <c r="AI21" i="15"/>
  <c r="AI22" i="15"/>
  <c r="AI13" i="15"/>
  <c r="AI23" i="15"/>
  <c r="AI14" i="15"/>
  <c r="AI24" i="15"/>
  <c r="AI25" i="15"/>
  <c r="AI26" i="15"/>
  <c r="AJ4" i="14"/>
  <c r="AK3" i="14"/>
  <c r="AJ5" i="14"/>
  <c r="AJ21" i="14"/>
  <c r="AJ6" i="14"/>
  <c r="AJ7" i="14"/>
  <c r="AJ22" i="14"/>
  <c r="AJ8" i="14"/>
  <c r="AJ23" i="14"/>
  <c r="AJ9" i="14"/>
  <c r="AJ24" i="14"/>
  <c r="AJ25" i="14"/>
  <c r="AJ10" i="14"/>
  <c r="AJ26" i="14"/>
  <c r="AJ11" i="14"/>
  <c r="AJ12" i="14"/>
  <c r="AJ27" i="14"/>
  <c r="AJ28" i="14"/>
  <c r="AJ13" i="14"/>
  <c r="AJ29" i="14"/>
  <c r="AJ14" i="14"/>
  <c r="AJ30" i="14"/>
  <c r="AJ15" i="14"/>
  <c r="AJ16" i="14"/>
  <c r="AJ31" i="14"/>
  <c r="AJ32" i="14"/>
  <c r="AJ17" i="14"/>
  <c r="AJ18" i="14"/>
  <c r="AJ19" i="14"/>
  <c r="AJ20" i="14"/>
  <c r="U32" i="13"/>
  <c r="Z32" i="13"/>
  <c r="S32" i="13"/>
  <c r="G32" i="13"/>
  <c r="AF32" i="13"/>
  <c r="AH32" i="13"/>
  <c r="AD32" i="13"/>
  <c r="P32" i="13"/>
  <c r="K32" i="13"/>
  <c r="M32" i="13"/>
  <c r="X32" i="13"/>
  <c r="AA32" i="13"/>
  <c r="AC32" i="13"/>
  <c r="O32" i="13"/>
  <c r="AI4" i="13"/>
  <c r="AJ3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W32" i="13"/>
  <c r="I32" i="13"/>
  <c r="AE32" i="13"/>
  <c r="Q32" i="13"/>
  <c r="R32" i="13"/>
  <c r="T32" i="13"/>
  <c r="N32" i="13"/>
  <c r="Y32" i="13"/>
  <c r="J32" i="13"/>
  <c r="AB32" i="13"/>
  <c r="V32" i="13"/>
  <c r="H32" i="13"/>
  <c r="AL4" i="12"/>
  <c r="AM3" i="12"/>
  <c r="AL5" i="12"/>
  <c r="AL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T52" i="9"/>
  <c r="Z24" i="9"/>
  <c r="Q47" i="10"/>
  <c r="M47" i="10"/>
  <c r="J47" i="10"/>
  <c r="V47" i="10"/>
  <c r="K47" i="10"/>
  <c r="O47" i="10"/>
  <c r="N47" i="10"/>
  <c r="F48" i="10"/>
  <c r="V48" i="10" s="1"/>
  <c r="P48" i="10"/>
  <c r="Z47" i="10"/>
  <c r="O52" i="9"/>
  <c r="Z52" i="9"/>
  <c r="X24" i="9"/>
  <c r="G52" i="9"/>
  <c r="R52" i="9"/>
  <c r="U24" i="9"/>
  <c r="Q24" i="9"/>
  <c r="N52" i="9"/>
  <c r="L52" i="9"/>
  <c r="G24" i="9"/>
  <c r="P24" i="11"/>
  <c r="J76" i="11"/>
  <c r="O24" i="11"/>
  <c r="X24" i="11"/>
  <c r="G24" i="11"/>
  <c r="AA24" i="11"/>
  <c r="L24" i="11"/>
  <c r="P24" i="10"/>
  <c r="N24" i="11"/>
  <c r="X47" i="11"/>
  <c r="M76" i="11"/>
  <c r="P102" i="11"/>
  <c r="AB24" i="11"/>
  <c r="V24" i="11"/>
  <c r="R24" i="11"/>
  <c r="J47" i="11"/>
  <c r="M47" i="11"/>
  <c r="U76" i="11"/>
  <c r="W76" i="11"/>
  <c r="AB76" i="11"/>
  <c r="W102" i="11"/>
  <c r="I102" i="11"/>
  <c r="AB47" i="11"/>
  <c r="Q24" i="11"/>
  <c r="T24" i="11"/>
  <c r="J24" i="11"/>
  <c r="I24" i="11"/>
  <c r="S24" i="11"/>
  <c r="Z24" i="11"/>
  <c r="L47" i="11"/>
  <c r="R47" i="11"/>
  <c r="U47" i="11"/>
  <c r="G47" i="11"/>
  <c r="G76" i="11"/>
  <c r="H76" i="11"/>
  <c r="V102" i="11"/>
  <c r="Q102" i="11"/>
  <c r="K102" i="11"/>
  <c r="M102" i="11"/>
  <c r="AB4" i="11"/>
  <c r="AC3" i="11"/>
  <c r="AB5" i="11"/>
  <c r="AB84" i="11"/>
  <c r="AB58" i="11"/>
  <c r="AB6" i="11"/>
  <c r="AB7" i="11"/>
  <c r="AB85" i="11"/>
  <c r="AB59" i="11"/>
  <c r="AB60" i="11"/>
  <c r="AB8" i="11"/>
  <c r="AB86" i="11"/>
  <c r="AB61" i="11"/>
  <c r="AB87" i="11"/>
  <c r="AB9" i="11"/>
  <c r="AB62" i="11"/>
  <c r="AB88" i="11"/>
  <c r="AB10" i="11"/>
  <c r="AB89" i="11"/>
  <c r="AB11" i="11"/>
  <c r="AB63" i="11"/>
  <c r="AB35" i="11"/>
  <c r="AB64" i="11"/>
  <c r="AB12" i="11"/>
  <c r="AB90" i="11"/>
  <c r="AB13" i="11"/>
  <c r="AB91" i="11"/>
  <c r="AB36" i="11"/>
  <c r="AB65" i="11"/>
  <c r="AB66" i="11"/>
  <c r="AB37" i="11"/>
  <c r="AB14" i="11"/>
  <c r="AB92" i="11"/>
  <c r="AB15" i="11"/>
  <c r="AB38" i="11"/>
  <c r="AB67" i="11"/>
  <c r="AB93" i="11"/>
  <c r="AB94" i="11"/>
  <c r="AB68" i="11"/>
  <c r="AB39" i="11"/>
  <c r="AB16" i="11"/>
  <c r="AB40" i="11"/>
  <c r="AB69" i="11"/>
  <c r="AB95" i="11"/>
  <c r="AB17" i="11"/>
  <c r="AB96" i="11"/>
  <c r="AB18" i="11"/>
  <c r="AB70" i="11"/>
  <c r="AB41" i="11"/>
  <c r="AB71" i="11"/>
  <c r="AB97" i="11"/>
  <c r="AB42" i="11"/>
  <c r="AB19" i="11"/>
  <c r="AB72" i="11"/>
  <c r="AB98" i="11"/>
  <c r="AB43" i="11"/>
  <c r="AB20" i="11"/>
  <c r="AB44" i="11"/>
  <c r="AB99" i="11"/>
  <c r="AB73" i="11"/>
  <c r="AB21" i="11"/>
  <c r="AB74" i="11"/>
  <c r="AB100" i="11"/>
  <c r="AB45" i="11"/>
  <c r="AB22" i="11"/>
  <c r="AB101" i="11"/>
  <c r="AB46" i="11"/>
  <c r="AB23" i="11"/>
  <c r="AB75" i="11"/>
  <c r="K47" i="11"/>
  <c r="I47" i="11"/>
  <c r="K76" i="11"/>
  <c r="AA76" i="11"/>
  <c r="T76" i="11"/>
  <c r="Z102" i="11"/>
  <c r="K24" i="11"/>
  <c r="W24" i="11"/>
  <c r="M24" i="11"/>
  <c r="H47" i="11"/>
  <c r="Z47" i="11"/>
  <c r="O47" i="11"/>
  <c r="V76" i="11"/>
  <c r="N76" i="11"/>
  <c r="R76" i="11"/>
  <c r="P76" i="11"/>
  <c r="Y102" i="11"/>
  <c r="S102" i="11"/>
  <c r="U102" i="11"/>
  <c r="AB102" i="11"/>
  <c r="Y24" i="11"/>
  <c r="U24" i="11"/>
  <c r="Y47" i="11"/>
  <c r="Q47" i="11"/>
  <c r="Z76" i="11"/>
  <c r="Y76" i="11"/>
  <c r="N102" i="11"/>
  <c r="X102" i="11"/>
  <c r="AA102" i="11"/>
  <c r="J48" i="11"/>
  <c r="T47" i="11"/>
  <c r="S47" i="11"/>
  <c r="N47" i="11"/>
  <c r="AB77" i="11"/>
  <c r="I76" i="11"/>
  <c r="J102" i="11"/>
  <c r="L102" i="11"/>
  <c r="P103" i="11"/>
  <c r="F25" i="11"/>
  <c r="L25" i="11" s="1"/>
  <c r="P47" i="11"/>
  <c r="AA47" i="11"/>
  <c r="V47" i="11"/>
  <c r="O76" i="11"/>
  <c r="Q76" i="11"/>
  <c r="S76" i="11"/>
  <c r="L76" i="11"/>
  <c r="O102" i="11"/>
  <c r="H102" i="11"/>
  <c r="R102" i="11"/>
  <c r="T102" i="11"/>
  <c r="Z88" i="10"/>
  <c r="X88" i="10"/>
  <c r="W88" i="10"/>
  <c r="K88" i="10"/>
  <c r="U24" i="10"/>
  <c r="G24" i="10"/>
  <c r="L24" i="10"/>
  <c r="M24" i="10"/>
  <c r="H24" i="10"/>
  <c r="AB24" i="10"/>
  <c r="Y24" i="10"/>
  <c r="V24" i="10"/>
  <c r="R24" i="10"/>
  <c r="AA24" i="10"/>
  <c r="S88" i="10"/>
  <c r="L88" i="10"/>
  <c r="AA88" i="10"/>
  <c r="AB88" i="10"/>
  <c r="I88" i="10"/>
  <c r="V25" i="10"/>
  <c r="I25" i="10"/>
  <c r="N24" i="10"/>
  <c r="X24" i="10"/>
  <c r="J24" i="10"/>
  <c r="J88" i="10"/>
  <c r="N88" i="10"/>
  <c r="R88" i="10"/>
  <c r="V88" i="10"/>
  <c r="Y88" i="10"/>
  <c r="U88" i="10"/>
  <c r="K24" i="10"/>
  <c r="S24" i="10"/>
  <c r="O24" i="10"/>
  <c r="Z24" i="10"/>
  <c r="P88" i="10"/>
  <c r="W24" i="10"/>
  <c r="I24" i="10"/>
  <c r="W89" i="10"/>
  <c r="Q88" i="10"/>
  <c r="M88" i="10"/>
  <c r="T88" i="10"/>
  <c r="H88" i="10"/>
  <c r="O88" i="10"/>
  <c r="T24" i="10"/>
  <c r="Q24" i="10"/>
  <c r="AB5" i="10"/>
  <c r="AB4" i="10"/>
  <c r="AC3" i="10"/>
  <c r="AB69" i="10"/>
  <c r="AB6" i="10"/>
  <c r="AB70" i="10"/>
  <c r="AB33" i="10"/>
  <c r="AB7" i="10"/>
  <c r="AB34" i="10"/>
  <c r="AB71" i="10"/>
  <c r="AB72" i="10"/>
  <c r="AB35" i="10"/>
  <c r="AB8" i="10"/>
  <c r="AB36" i="10"/>
  <c r="AB9" i="10"/>
  <c r="AB73" i="10"/>
  <c r="AB10" i="10"/>
  <c r="AB37" i="10"/>
  <c r="AB74" i="10"/>
  <c r="AB75" i="10"/>
  <c r="AB38" i="10"/>
  <c r="AB11" i="10"/>
  <c r="AB39" i="10"/>
  <c r="AB12" i="10"/>
  <c r="AB76" i="10"/>
  <c r="AB13" i="10"/>
  <c r="AB77" i="10"/>
  <c r="AB40" i="10"/>
  <c r="AB78" i="10"/>
  <c r="AB41" i="10"/>
  <c r="AB14" i="10"/>
  <c r="AB42" i="10"/>
  <c r="AB79" i="10"/>
  <c r="AB15" i="10"/>
  <c r="AB80" i="10"/>
  <c r="AB43" i="10"/>
  <c r="AB16" i="10"/>
  <c r="AB17" i="10"/>
  <c r="AB81" i="10"/>
  <c r="AB44" i="10"/>
  <c r="AB18" i="10"/>
  <c r="AB82" i="10"/>
  <c r="AB45" i="10"/>
  <c r="AB19" i="10"/>
  <c r="AB46" i="10"/>
  <c r="AB83" i="10"/>
  <c r="AB20" i="10"/>
  <c r="AB84" i="10"/>
  <c r="AB47" i="10"/>
  <c r="AB85" i="10"/>
  <c r="AB21" i="10"/>
  <c r="AB48" i="10"/>
  <c r="AB86" i="10"/>
  <c r="AB22" i="10"/>
  <c r="AB87" i="10"/>
  <c r="AB23" i="10"/>
  <c r="AA4" i="9"/>
  <c r="AA5" i="9"/>
  <c r="AA33" i="9"/>
  <c r="AA6" i="9"/>
  <c r="AA34" i="9"/>
  <c r="AA7" i="9"/>
  <c r="AA35" i="9"/>
  <c r="AA36" i="9"/>
  <c r="AA8" i="9"/>
  <c r="AA37" i="9"/>
  <c r="AA9" i="9"/>
  <c r="AA10" i="9"/>
  <c r="AA38" i="9"/>
  <c r="AA39" i="9"/>
  <c r="AA11" i="9"/>
  <c r="AA12" i="9"/>
  <c r="AA40" i="9"/>
  <c r="AA41" i="9"/>
  <c r="AA13" i="9"/>
  <c r="AA14" i="9"/>
  <c r="AA42" i="9"/>
  <c r="AA15" i="9"/>
  <c r="AA43" i="9"/>
  <c r="AA16" i="9"/>
  <c r="AA44" i="9"/>
  <c r="AA17" i="9"/>
  <c r="AA45" i="9"/>
  <c r="AA46" i="9"/>
  <c r="AA18" i="9"/>
  <c r="AA19" i="9"/>
  <c r="AA47" i="9"/>
  <c r="AA48" i="9"/>
  <c r="AA20" i="9"/>
  <c r="AA21" i="9"/>
  <c r="AA49" i="9"/>
  <c r="AA22" i="9"/>
  <c r="AA50" i="9"/>
  <c r="AA23" i="9"/>
  <c r="AA51" i="9"/>
  <c r="AA52" i="9"/>
  <c r="K24" i="9"/>
  <c r="L24" i="9"/>
  <c r="N24" i="9"/>
  <c r="T24" i="9"/>
  <c r="R24" i="9"/>
  <c r="Y24" i="9"/>
  <c r="J24" i="9"/>
  <c r="W24" i="9"/>
  <c r="V24" i="9"/>
  <c r="AA24" i="9"/>
  <c r="I24" i="9"/>
  <c r="F53" i="9"/>
  <c r="G53" i="9" s="1"/>
  <c r="M24" i="9"/>
  <c r="S24" i="9"/>
  <c r="F25" i="9"/>
  <c r="H25" i="9" s="1"/>
  <c r="H24" i="9"/>
  <c r="J24" i="8"/>
  <c r="U24" i="8"/>
  <c r="W24" i="8"/>
  <c r="M24" i="8"/>
  <c r="Q24" i="8"/>
  <c r="T24" i="8"/>
  <c r="Y24" i="8"/>
  <c r="L24" i="8"/>
  <c r="AA4" i="8"/>
  <c r="AA20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1" i="8"/>
  <c r="AA22" i="8"/>
  <c r="AA23" i="8"/>
  <c r="V24" i="8"/>
  <c r="AA24" i="8"/>
  <c r="I24" i="8"/>
  <c r="S24" i="8"/>
  <c r="X24" i="8"/>
  <c r="P24" i="8"/>
  <c r="O24" i="8"/>
  <c r="K24" i="8"/>
  <c r="H24" i="8"/>
  <c r="G24" i="8"/>
  <c r="R24" i="8"/>
  <c r="Z24" i="8"/>
  <c r="N24" i="8"/>
  <c r="N24" i="3"/>
  <c r="Q24" i="3"/>
  <c r="I24" i="3"/>
  <c r="L24" i="3"/>
  <c r="U24" i="3"/>
  <c r="Y24" i="3"/>
  <c r="W24" i="3"/>
  <c r="H24" i="3"/>
  <c r="AC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A24" i="3"/>
  <c r="M24" i="3"/>
  <c r="K24" i="3"/>
  <c r="AB24" i="3"/>
  <c r="O24" i="3"/>
  <c r="S24" i="3"/>
  <c r="T24" i="3"/>
  <c r="G24" i="3"/>
  <c r="R24" i="3"/>
  <c r="Z24" i="3"/>
  <c r="X24" i="3"/>
  <c r="V24" i="3"/>
  <c r="J24" i="3"/>
  <c r="AB3" i="9"/>
  <c r="AB3" i="8"/>
  <c r="F25" i="8"/>
  <c r="F25" i="3"/>
  <c r="J25" i="3" s="1"/>
  <c r="S39" i="18" l="1"/>
  <c r="AJ39" i="18"/>
  <c r="AI39" i="18"/>
  <c r="AA39" i="18"/>
  <c r="X39" i="18"/>
  <c r="P39" i="18"/>
  <c r="K39" i="18"/>
  <c r="AL39" i="18"/>
  <c r="J39" i="18"/>
  <c r="AD39" i="18"/>
  <c r="H39" i="18"/>
  <c r="AC39" i="18"/>
  <c r="T39" i="18"/>
  <c r="AH39" i="18"/>
  <c r="L39" i="18"/>
  <c r="AB39" i="18"/>
  <c r="O39" i="18"/>
  <c r="AK39" i="18"/>
  <c r="Z39" i="18"/>
  <c r="N39" i="18"/>
  <c r="AO39" i="18"/>
  <c r="AG39" i="18"/>
  <c r="Y39" i="18"/>
  <c r="Q39" i="18"/>
  <c r="V39" i="18"/>
  <c r="AN39" i="18"/>
  <c r="AF39" i="18"/>
  <c r="G39" i="18"/>
  <c r="M39" i="18"/>
  <c r="R39" i="18"/>
  <c r="AM39" i="18"/>
  <c r="AE39" i="18"/>
  <c r="U39" i="18"/>
  <c r="I39" i="18"/>
  <c r="P40" i="18"/>
  <c r="AA40" i="18"/>
  <c r="AD40" i="18"/>
  <c r="AJ4" i="15"/>
  <c r="AK3" i="15"/>
  <c r="AJ5" i="15"/>
  <c r="AJ15" i="15"/>
  <c r="AJ6" i="15"/>
  <c r="AJ27" i="15"/>
  <c r="AJ16" i="15"/>
  <c r="AJ7" i="15"/>
  <c r="AJ28" i="15"/>
  <c r="AJ17" i="15"/>
  <c r="AJ29" i="15"/>
  <c r="AJ8" i="15"/>
  <c r="AJ18" i="15"/>
  <c r="AJ30" i="15"/>
  <c r="AJ9" i="15"/>
  <c r="AJ19" i="15"/>
  <c r="AJ10" i="15"/>
  <c r="AJ31" i="15"/>
  <c r="AJ11" i="15"/>
  <c r="AJ20" i="15"/>
  <c r="AJ32" i="15"/>
  <c r="AJ21" i="15"/>
  <c r="AJ12" i="15"/>
  <c r="AJ13" i="15"/>
  <c r="AJ22" i="15"/>
  <c r="AJ14" i="15"/>
  <c r="AJ23" i="15"/>
  <c r="AJ24" i="15"/>
  <c r="AJ25" i="15"/>
  <c r="AJ26" i="15"/>
  <c r="AK4" i="14"/>
  <c r="AL3" i="14"/>
  <c r="AK5" i="14"/>
  <c r="AK6" i="14"/>
  <c r="AK21" i="14"/>
  <c r="AK7" i="14"/>
  <c r="AK22" i="14"/>
  <c r="AK23" i="14"/>
  <c r="AK8" i="14"/>
  <c r="AK24" i="14"/>
  <c r="AK9" i="14"/>
  <c r="AK10" i="14"/>
  <c r="AK25" i="14"/>
  <c r="AK11" i="14"/>
  <c r="AK26" i="14"/>
  <c r="AK27" i="14"/>
  <c r="AK12" i="14"/>
  <c r="AK28" i="14"/>
  <c r="AK13" i="14"/>
  <c r="AK14" i="14"/>
  <c r="AK29" i="14"/>
  <c r="AK30" i="14"/>
  <c r="AK15" i="14"/>
  <c r="AK16" i="14"/>
  <c r="AK31" i="14"/>
  <c r="AK32" i="14"/>
  <c r="AK17" i="14"/>
  <c r="AK18" i="14"/>
  <c r="AK19" i="14"/>
  <c r="AK20" i="14"/>
  <c r="AK3" i="13"/>
  <c r="AJ5" i="13"/>
  <c r="AJ4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M4" i="12"/>
  <c r="AM5" i="12"/>
  <c r="AN3" i="12"/>
  <c r="AM6" i="12"/>
  <c r="AM7" i="12"/>
  <c r="AM8" i="12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B25" i="8"/>
  <c r="V53" i="9"/>
  <c r="Z48" i="10"/>
  <c r="N48" i="10"/>
  <c r="T48" i="10"/>
  <c r="J48" i="10"/>
  <c r="U48" i="10"/>
  <c r="X48" i="10"/>
  <c r="O48" i="10"/>
  <c r="R48" i="10"/>
  <c r="G48" i="10"/>
  <c r="Q48" i="10"/>
  <c r="H48" i="10"/>
  <c r="I48" i="10"/>
  <c r="K48" i="10"/>
  <c r="S48" i="10"/>
  <c r="L48" i="10"/>
  <c r="W48" i="10"/>
  <c r="M48" i="10"/>
  <c r="Y48" i="10"/>
  <c r="F49" i="10"/>
  <c r="L49" i="10" s="1"/>
  <c r="R49" i="10"/>
  <c r="AA48" i="10"/>
  <c r="T25" i="9"/>
  <c r="AA53" i="9"/>
  <c r="N53" i="9"/>
  <c r="N25" i="9"/>
  <c r="W53" i="9"/>
  <c r="AB53" i="9"/>
  <c r="AA25" i="9"/>
  <c r="X53" i="9"/>
  <c r="S25" i="9"/>
  <c r="Z53" i="9"/>
  <c r="Y25" i="9"/>
  <c r="R53" i="9"/>
  <c r="J53" i="9"/>
  <c r="P48" i="11"/>
  <c r="Q25" i="11"/>
  <c r="I25" i="11"/>
  <c r="S77" i="11"/>
  <c r="S25" i="11"/>
  <c r="T77" i="11"/>
  <c r="H25" i="11"/>
  <c r="G25" i="11"/>
  <c r="V25" i="11"/>
  <c r="J25" i="11"/>
  <c r="X25" i="11"/>
  <c r="AC103" i="11"/>
  <c r="O25" i="10"/>
  <c r="M25" i="11"/>
  <c r="AB25" i="11"/>
  <c r="AA25" i="11"/>
  <c r="N77" i="11"/>
  <c r="N48" i="11"/>
  <c r="Z48" i="11"/>
  <c r="Z103" i="11"/>
  <c r="X103" i="11"/>
  <c r="AB78" i="11"/>
  <c r="P78" i="11"/>
  <c r="H78" i="11"/>
  <c r="S78" i="11"/>
  <c r="Z78" i="11"/>
  <c r="O78" i="11"/>
  <c r="Y78" i="11"/>
  <c r="R78" i="11"/>
  <c r="Y77" i="11"/>
  <c r="T48" i="11"/>
  <c r="V48" i="11"/>
  <c r="I48" i="11"/>
  <c r="AB103" i="11"/>
  <c r="M103" i="11"/>
  <c r="G103" i="11"/>
  <c r="Q77" i="11"/>
  <c r="J77" i="11"/>
  <c r="H77" i="11"/>
  <c r="Q48" i="11"/>
  <c r="K48" i="11"/>
  <c r="AA103" i="11"/>
  <c r="U103" i="11"/>
  <c r="O103" i="11"/>
  <c r="Z25" i="11"/>
  <c r="N25" i="11"/>
  <c r="T25" i="11"/>
  <c r="O25" i="11"/>
  <c r="G77" i="11"/>
  <c r="R77" i="11"/>
  <c r="U77" i="11"/>
  <c r="P77" i="11"/>
  <c r="L48" i="11"/>
  <c r="X48" i="11"/>
  <c r="Y48" i="11"/>
  <c r="S48" i="11"/>
  <c r="K103" i="11"/>
  <c r="W103" i="11"/>
  <c r="I103" i="11"/>
  <c r="P25" i="11"/>
  <c r="O77" i="11"/>
  <c r="AC25" i="11"/>
  <c r="R25" i="11"/>
  <c r="Y25" i="11"/>
  <c r="W25" i="11"/>
  <c r="K77" i="11"/>
  <c r="V77" i="11"/>
  <c r="Z77" i="11"/>
  <c r="X77" i="11"/>
  <c r="M48" i="11"/>
  <c r="AB48" i="11"/>
  <c r="G48" i="11"/>
  <c r="AA48" i="11"/>
  <c r="AC4" i="11"/>
  <c r="AD3" i="11"/>
  <c r="AC5" i="11"/>
  <c r="AC84" i="11"/>
  <c r="AC6" i="11"/>
  <c r="AC58" i="11"/>
  <c r="AC85" i="11"/>
  <c r="AC7" i="11"/>
  <c r="AC59" i="11"/>
  <c r="AC60" i="11"/>
  <c r="AC86" i="11"/>
  <c r="AC8" i="11"/>
  <c r="AC61" i="11"/>
  <c r="AC9" i="11"/>
  <c r="AC87" i="11"/>
  <c r="AC62" i="11"/>
  <c r="AC88" i="11"/>
  <c r="AC10" i="11"/>
  <c r="AC11" i="11"/>
  <c r="AC89" i="11"/>
  <c r="AC63" i="11"/>
  <c r="AC90" i="11"/>
  <c r="AC12" i="11"/>
  <c r="AC35" i="11"/>
  <c r="AC64" i="11"/>
  <c r="AC91" i="11"/>
  <c r="AC65" i="11"/>
  <c r="AC13" i="11"/>
  <c r="AC36" i="11"/>
  <c r="AC14" i="11"/>
  <c r="AC92" i="11"/>
  <c r="AC37" i="11"/>
  <c r="AC66" i="11"/>
  <c r="AC93" i="11"/>
  <c r="AC67" i="11"/>
  <c r="AC15" i="11"/>
  <c r="AC38" i="11"/>
  <c r="AC16" i="11"/>
  <c r="AC39" i="11"/>
  <c r="AC68" i="11"/>
  <c r="AC94" i="11"/>
  <c r="AC40" i="11"/>
  <c r="AC17" i="11"/>
  <c r="AC95" i="11"/>
  <c r="AC69" i="11"/>
  <c r="AC41" i="11"/>
  <c r="AC18" i="11"/>
  <c r="AC96" i="11"/>
  <c r="AC70" i="11"/>
  <c r="AC42" i="11"/>
  <c r="AC97" i="11"/>
  <c r="AC19" i="11"/>
  <c r="AC71" i="11"/>
  <c r="AC20" i="11"/>
  <c r="AC72" i="11"/>
  <c r="AC43" i="11"/>
  <c r="AC98" i="11"/>
  <c r="AC73" i="11"/>
  <c r="AC44" i="11"/>
  <c r="AC21" i="11"/>
  <c r="AC99" i="11"/>
  <c r="AC74" i="11"/>
  <c r="AC45" i="11"/>
  <c r="AC100" i="11"/>
  <c r="AC22" i="11"/>
  <c r="AC23" i="11"/>
  <c r="AC75" i="11"/>
  <c r="AC101" i="11"/>
  <c r="AC46" i="11"/>
  <c r="AC24" i="11"/>
  <c r="AC102" i="11"/>
  <c r="AC76" i="11"/>
  <c r="AC47" i="11"/>
  <c r="Q103" i="11"/>
  <c r="U25" i="11"/>
  <c r="AC77" i="11"/>
  <c r="M77" i="11"/>
  <c r="U48" i="11"/>
  <c r="H48" i="11"/>
  <c r="O48" i="11"/>
  <c r="S103" i="11"/>
  <c r="L103" i="11"/>
  <c r="N103" i="11"/>
  <c r="Y103" i="11"/>
  <c r="F26" i="11"/>
  <c r="AB26" i="11" s="1"/>
  <c r="K25" i="11"/>
  <c r="AA77" i="11"/>
  <c r="I77" i="11"/>
  <c r="W77" i="11"/>
  <c r="L77" i="11"/>
  <c r="AC48" i="11"/>
  <c r="W48" i="11"/>
  <c r="J103" i="11"/>
  <c r="V103" i="11"/>
  <c r="H103" i="11"/>
  <c r="W49" i="11"/>
  <c r="R48" i="11"/>
  <c r="T103" i="11"/>
  <c r="R103" i="11"/>
  <c r="V89" i="10"/>
  <c r="I89" i="10"/>
  <c r="X89" i="10"/>
  <c r="K89" i="10"/>
  <c r="AA89" i="10"/>
  <c r="J25" i="10"/>
  <c r="W25" i="10"/>
  <c r="G25" i="10"/>
  <c r="Z25" i="10"/>
  <c r="AB25" i="10"/>
  <c r="U25" i="10"/>
  <c r="Q25" i="10"/>
  <c r="S25" i="10"/>
  <c r="L25" i="10"/>
  <c r="H89" i="10"/>
  <c r="Z89" i="10"/>
  <c r="Q89" i="10"/>
  <c r="X25" i="10"/>
  <c r="P89" i="10"/>
  <c r="J89" i="10"/>
  <c r="M89" i="10"/>
  <c r="Y89" i="10"/>
  <c r="P25" i="10"/>
  <c r="H25" i="10"/>
  <c r="K25" i="10"/>
  <c r="M25" i="10"/>
  <c r="AC4" i="10"/>
  <c r="AC5" i="10"/>
  <c r="AD3" i="10"/>
  <c r="AC69" i="10"/>
  <c r="AC70" i="10"/>
  <c r="AC33" i="10"/>
  <c r="AC6" i="10"/>
  <c r="AC34" i="10"/>
  <c r="AC7" i="10"/>
  <c r="AC71" i="10"/>
  <c r="AC35" i="10"/>
  <c r="AC8" i="10"/>
  <c r="AC72" i="10"/>
  <c r="AC9" i="10"/>
  <c r="AC36" i="10"/>
  <c r="AC73" i="10"/>
  <c r="AC10" i="10"/>
  <c r="AC74" i="10"/>
  <c r="AC37" i="10"/>
  <c r="AC75" i="10"/>
  <c r="AC38" i="10"/>
  <c r="AC11" i="10"/>
  <c r="AC39" i="10"/>
  <c r="AC12" i="10"/>
  <c r="AC76" i="10"/>
  <c r="AC77" i="10"/>
  <c r="AC40" i="10"/>
  <c r="AC13" i="10"/>
  <c r="AC14" i="10"/>
  <c r="AC41" i="10"/>
  <c r="AC78" i="10"/>
  <c r="AC15" i="10"/>
  <c r="AC79" i="10"/>
  <c r="AC42" i="10"/>
  <c r="AC43" i="10"/>
  <c r="AC80" i="10"/>
  <c r="AC16" i="10"/>
  <c r="AC44" i="10"/>
  <c r="AC81" i="10"/>
  <c r="AC17" i="10"/>
  <c r="AC82" i="10"/>
  <c r="AC45" i="10"/>
  <c r="AC18" i="10"/>
  <c r="AC83" i="10"/>
  <c r="AC19" i="10"/>
  <c r="AC46" i="10"/>
  <c r="AC47" i="10"/>
  <c r="AC20" i="10"/>
  <c r="AC84" i="10"/>
  <c r="AC48" i="10"/>
  <c r="AC85" i="10"/>
  <c r="AC21" i="10"/>
  <c r="AC86" i="10"/>
  <c r="AC22" i="10"/>
  <c r="AC49" i="10"/>
  <c r="AC87" i="10"/>
  <c r="AC23" i="10"/>
  <c r="AC88" i="10"/>
  <c r="AC24" i="10"/>
  <c r="R89" i="10"/>
  <c r="U89" i="10"/>
  <c r="G89" i="10"/>
  <c r="T89" i="10"/>
  <c r="L89" i="10"/>
  <c r="AC89" i="10"/>
  <c r="O89" i="10"/>
  <c r="AC53" i="10"/>
  <c r="R53" i="10"/>
  <c r="T53" i="10"/>
  <c r="AA53" i="10"/>
  <c r="Q53" i="10"/>
  <c r="AA25" i="10"/>
  <c r="AC25" i="10"/>
  <c r="AB89" i="10"/>
  <c r="R25" i="10"/>
  <c r="T90" i="10"/>
  <c r="I26" i="10"/>
  <c r="S89" i="10"/>
  <c r="N89" i="10"/>
  <c r="Y25" i="10"/>
  <c r="T25" i="10"/>
  <c r="N25" i="10"/>
  <c r="F26" i="9"/>
  <c r="M26" i="9" s="1"/>
  <c r="K25" i="9"/>
  <c r="L25" i="9"/>
  <c r="Q25" i="9"/>
  <c r="F54" i="9"/>
  <c r="V54" i="9" s="1"/>
  <c r="Z25" i="9"/>
  <c r="O25" i="9"/>
  <c r="I53" i="9"/>
  <c r="AB4" i="9"/>
  <c r="AB5" i="9"/>
  <c r="AB33" i="9"/>
  <c r="AB34" i="9"/>
  <c r="AB6" i="9"/>
  <c r="AB35" i="9"/>
  <c r="AB7" i="9"/>
  <c r="AB36" i="9"/>
  <c r="AB8" i="9"/>
  <c r="AB9" i="9"/>
  <c r="AB37" i="9"/>
  <c r="AB10" i="9"/>
  <c r="AB38" i="9"/>
  <c r="AB11" i="9"/>
  <c r="AB39" i="9"/>
  <c r="AB40" i="9"/>
  <c r="AB12" i="9"/>
  <c r="AB41" i="9"/>
  <c r="AB13" i="9"/>
  <c r="AB42" i="9"/>
  <c r="AB14" i="9"/>
  <c r="AB15" i="9"/>
  <c r="AB43" i="9"/>
  <c r="AB16" i="9"/>
  <c r="AB44" i="9"/>
  <c r="AB45" i="9"/>
  <c r="AB17" i="9"/>
  <c r="AB46" i="9"/>
  <c r="AB18" i="9"/>
  <c r="AB47" i="9"/>
  <c r="AB19" i="9"/>
  <c r="AB48" i="9"/>
  <c r="AB20" i="9"/>
  <c r="AB49" i="9"/>
  <c r="AB21" i="9"/>
  <c r="AB22" i="9"/>
  <c r="AB50" i="9"/>
  <c r="AB51" i="9"/>
  <c r="AB23" i="9"/>
  <c r="AB52" i="9"/>
  <c r="AB24" i="9"/>
  <c r="U25" i="9"/>
  <c r="R25" i="9"/>
  <c r="G25" i="9"/>
  <c r="S53" i="9"/>
  <c r="K53" i="9"/>
  <c r="U53" i="9"/>
  <c r="P53" i="9"/>
  <c r="I25" i="9"/>
  <c r="W25" i="9"/>
  <c r="Q53" i="9"/>
  <c r="AB25" i="9"/>
  <c r="M25" i="9"/>
  <c r="J25" i="9"/>
  <c r="X25" i="9"/>
  <c r="T53" i="9"/>
  <c r="H53" i="9"/>
  <c r="V25" i="9"/>
  <c r="P25" i="9"/>
  <c r="M53" i="9"/>
  <c r="Y53" i="9"/>
  <c r="L53" i="9"/>
  <c r="O53" i="9"/>
  <c r="M25" i="8"/>
  <c r="K25" i="8"/>
  <c r="Q25" i="8"/>
  <c r="I25" i="8"/>
  <c r="W25" i="8"/>
  <c r="Z25" i="8"/>
  <c r="O25" i="8"/>
  <c r="T25" i="8"/>
  <c r="R25" i="8"/>
  <c r="G25" i="8"/>
  <c r="L25" i="8"/>
  <c r="J25" i="8"/>
  <c r="X25" i="8"/>
  <c r="P25" i="8"/>
  <c r="AA25" i="8"/>
  <c r="H25" i="8"/>
  <c r="V25" i="8"/>
  <c r="AB4" i="8"/>
  <c r="AB20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1" i="8"/>
  <c r="AB22" i="8"/>
  <c r="AB23" i="8"/>
  <c r="AB24" i="8"/>
  <c r="U25" i="8"/>
  <c r="S25" i="8"/>
  <c r="Y25" i="8"/>
  <c r="N25" i="8"/>
  <c r="O25" i="3"/>
  <c r="U25" i="3"/>
  <c r="Y25" i="3"/>
  <c r="G25" i="3"/>
  <c r="M25" i="3"/>
  <c r="K25" i="3"/>
  <c r="Q25" i="3"/>
  <c r="S25" i="3"/>
  <c r="X25" i="3"/>
  <c r="I25" i="3"/>
  <c r="P25" i="3"/>
  <c r="AB25" i="3"/>
  <c r="Z25" i="3"/>
  <c r="AD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H25" i="3"/>
  <c r="V25" i="3"/>
  <c r="T25" i="3"/>
  <c r="R25" i="3"/>
  <c r="N25" i="3"/>
  <c r="L25" i="3"/>
  <c r="W25" i="3"/>
  <c r="AC25" i="3"/>
  <c r="AA25" i="3"/>
  <c r="AC3" i="9"/>
  <c r="AC26" i="9" s="1"/>
  <c r="F26" i="8"/>
  <c r="S26" i="8" s="1"/>
  <c r="AC3" i="8"/>
  <c r="F26" i="3"/>
  <c r="V26" i="3" s="1"/>
  <c r="AO40" i="18" l="1"/>
  <c r="H40" i="18"/>
  <c r="AL40" i="18"/>
  <c r="AI40" i="18"/>
  <c r="J40" i="18"/>
  <c r="AG40" i="18"/>
  <c r="T40" i="18"/>
  <c r="O40" i="18"/>
  <c r="AF40" i="18"/>
  <c r="U40" i="18"/>
  <c r="AE40" i="18"/>
  <c r="I40" i="18"/>
  <c r="AN40" i="18"/>
  <c r="W40" i="18"/>
  <c r="Q40" i="18"/>
  <c r="AM40" i="18"/>
  <c r="L40" i="18"/>
  <c r="V40" i="18"/>
  <c r="AK40" i="18"/>
  <c r="AC40" i="18"/>
  <c r="Y40" i="18"/>
  <c r="K40" i="18"/>
  <c r="AJ40" i="18"/>
  <c r="AB40" i="18"/>
  <c r="X40" i="18"/>
  <c r="G40" i="18"/>
  <c r="AH40" i="18"/>
  <c r="Z40" i="18"/>
  <c r="N40" i="18"/>
  <c r="F41" i="18"/>
  <c r="Z41" i="18" s="1"/>
  <c r="S40" i="18"/>
  <c r="M40" i="18"/>
  <c r="R40" i="18"/>
  <c r="H49" i="10"/>
  <c r="W49" i="10"/>
  <c r="Z54" i="9"/>
  <c r="N49" i="10"/>
  <c r="I49" i="10"/>
  <c r="AA49" i="10"/>
  <c r="P49" i="10"/>
  <c r="Y49" i="10"/>
  <c r="M49" i="10"/>
  <c r="H54" i="9"/>
  <c r="AK4" i="15"/>
  <c r="AL3" i="15"/>
  <c r="AK5" i="15"/>
  <c r="AK6" i="15"/>
  <c r="AK27" i="15"/>
  <c r="AK15" i="15"/>
  <c r="AK28" i="15"/>
  <c r="AK7" i="15"/>
  <c r="AK16" i="15"/>
  <c r="AK17" i="15"/>
  <c r="AK8" i="15"/>
  <c r="AK29" i="15"/>
  <c r="AK18" i="15"/>
  <c r="AK9" i="15"/>
  <c r="AK30" i="15"/>
  <c r="AK31" i="15"/>
  <c r="AK19" i="15"/>
  <c r="AK10" i="15"/>
  <c r="AK11" i="15"/>
  <c r="AK32" i="15"/>
  <c r="AK20" i="15"/>
  <c r="AK21" i="15"/>
  <c r="AK12" i="15"/>
  <c r="AK13" i="15"/>
  <c r="AK22" i="15"/>
  <c r="AK23" i="15"/>
  <c r="AK14" i="15"/>
  <c r="AK24" i="15"/>
  <c r="AK25" i="15"/>
  <c r="AK26" i="15"/>
  <c r="AL4" i="14"/>
  <c r="AM3" i="14"/>
  <c r="AL5" i="14"/>
  <c r="AL6" i="14"/>
  <c r="AL21" i="14"/>
  <c r="AL22" i="14"/>
  <c r="AL7" i="14"/>
  <c r="AL23" i="14"/>
  <c r="AL8" i="14"/>
  <c r="AL9" i="14"/>
  <c r="AL24" i="14"/>
  <c r="AL10" i="14"/>
  <c r="AL25" i="14"/>
  <c r="AL26" i="14"/>
  <c r="AL11" i="14"/>
  <c r="AL12" i="14"/>
  <c r="AL27" i="14"/>
  <c r="AL28" i="14"/>
  <c r="AL13" i="14"/>
  <c r="AL29" i="14"/>
  <c r="AL14" i="14"/>
  <c r="AL15" i="14"/>
  <c r="AL30" i="14"/>
  <c r="AL31" i="14"/>
  <c r="AL16" i="14"/>
  <c r="AL32" i="14"/>
  <c r="AL17" i="14"/>
  <c r="AL18" i="14"/>
  <c r="AL19" i="14"/>
  <c r="AL20" i="14"/>
  <c r="AL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O3" i="12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Q26" i="3"/>
  <c r="R54" i="9"/>
  <c r="P54" i="9"/>
  <c r="M54" i="9"/>
  <c r="Y54" i="9"/>
  <c r="U26" i="9"/>
  <c r="Q54" i="9"/>
  <c r="N54" i="9"/>
  <c r="Z49" i="10"/>
  <c r="O49" i="10"/>
  <c r="Q49" i="10"/>
  <c r="K49" i="10"/>
  <c r="J49" i="10"/>
  <c r="S49" i="10"/>
  <c r="G49" i="10"/>
  <c r="T49" i="10"/>
  <c r="V49" i="10"/>
  <c r="X49" i="10"/>
  <c r="U49" i="10"/>
  <c r="F50" i="10"/>
  <c r="W50" i="10" s="1"/>
  <c r="AB49" i="10"/>
  <c r="AC54" i="9"/>
  <c r="U54" i="9"/>
  <c r="I54" i="9"/>
  <c r="Q26" i="9"/>
  <c r="J54" i="9"/>
  <c r="O26" i="9"/>
  <c r="I26" i="3"/>
  <c r="W26" i="3"/>
  <c r="M26" i="3"/>
  <c r="K26" i="3"/>
  <c r="AC26" i="11"/>
  <c r="M26" i="11"/>
  <c r="O26" i="11"/>
  <c r="W26" i="11"/>
  <c r="G78" i="11"/>
  <c r="G26" i="10"/>
  <c r="L49" i="11"/>
  <c r="S49" i="11"/>
  <c r="AA49" i="11"/>
  <c r="V49" i="11"/>
  <c r="AB49" i="11"/>
  <c r="P49" i="11"/>
  <c r="F27" i="11"/>
  <c r="I26" i="11"/>
  <c r="AD49" i="11"/>
  <c r="T26" i="11"/>
  <c r="N79" i="11"/>
  <c r="AB79" i="11"/>
  <c r="G79" i="11"/>
  <c r="R79" i="11"/>
  <c r="AC79" i="11"/>
  <c r="W79" i="11"/>
  <c r="J78" i="11"/>
  <c r="X78" i="11"/>
  <c r="K49" i="11"/>
  <c r="N49" i="11"/>
  <c r="X49" i="11"/>
  <c r="J49" i="11"/>
  <c r="M49" i="11"/>
  <c r="N26" i="11"/>
  <c r="L26" i="11"/>
  <c r="AD26" i="11"/>
  <c r="P26" i="11"/>
  <c r="K26" i="11"/>
  <c r="M78" i="11"/>
  <c r="Q78" i="11"/>
  <c r="U78" i="11"/>
  <c r="Y49" i="11"/>
  <c r="R49" i="11"/>
  <c r="U49" i="11"/>
  <c r="G49" i="11"/>
  <c r="Q26" i="11"/>
  <c r="Z26" i="11"/>
  <c r="S26" i="11"/>
  <c r="AA78" i="11"/>
  <c r="T49" i="11"/>
  <c r="H49" i="11"/>
  <c r="I49" i="11"/>
  <c r="Z49" i="11"/>
  <c r="AC49" i="11"/>
  <c r="O49" i="11"/>
  <c r="V26" i="11"/>
  <c r="H26" i="11"/>
  <c r="J26" i="11"/>
  <c r="AA26" i="11"/>
  <c r="AC78" i="11"/>
  <c r="N78" i="11"/>
  <c r="K78" i="11"/>
  <c r="L78" i="11"/>
  <c r="X26" i="11"/>
  <c r="Q49" i="11"/>
  <c r="Y26" i="11"/>
  <c r="R26" i="11"/>
  <c r="U26" i="11"/>
  <c r="G26" i="11"/>
  <c r="W78" i="11"/>
  <c r="I78" i="11"/>
  <c r="V78" i="11"/>
  <c r="T78" i="11"/>
  <c r="AD4" i="11"/>
  <c r="AE3" i="11"/>
  <c r="AD5" i="11"/>
  <c r="AD84" i="11"/>
  <c r="AD58" i="11"/>
  <c r="AD6" i="11"/>
  <c r="AD59" i="11"/>
  <c r="AD85" i="11"/>
  <c r="AD7" i="11"/>
  <c r="AD8" i="11"/>
  <c r="AD60" i="11"/>
  <c r="AD86" i="11"/>
  <c r="AD9" i="11"/>
  <c r="AD61" i="11"/>
  <c r="AD87" i="11"/>
  <c r="AD88" i="11"/>
  <c r="AD62" i="11"/>
  <c r="AD10" i="11"/>
  <c r="AD63" i="11"/>
  <c r="AD11" i="11"/>
  <c r="AD89" i="11"/>
  <c r="AD35" i="11"/>
  <c r="AD90" i="11"/>
  <c r="AD12" i="11"/>
  <c r="AD64" i="11"/>
  <c r="AD65" i="11"/>
  <c r="AD13" i="11"/>
  <c r="AD91" i="11"/>
  <c r="AD36" i="11"/>
  <c r="AD66" i="11"/>
  <c r="AD14" i="11"/>
  <c r="AD92" i="11"/>
  <c r="AD37" i="11"/>
  <c r="AD15" i="11"/>
  <c r="AD67" i="11"/>
  <c r="AD38" i="11"/>
  <c r="AD93" i="11"/>
  <c r="AD68" i="11"/>
  <c r="AD16" i="11"/>
  <c r="AD39" i="11"/>
  <c r="AD94" i="11"/>
  <c r="AD17" i="11"/>
  <c r="AD69" i="11"/>
  <c r="AD95" i="11"/>
  <c r="AD40" i="11"/>
  <c r="AD18" i="11"/>
  <c r="AD70" i="11"/>
  <c r="AD41" i="11"/>
  <c r="AD96" i="11"/>
  <c r="AD71" i="11"/>
  <c r="AD42" i="11"/>
  <c r="AD19" i="11"/>
  <c r="AD97" i="11"/>
  <c r="AD98" i="11"/>
  <c r="AD20" i="11"/>
  <c r="AD72" i="11"/>
  <c r="AD43" i="11"/>
  <c r="AD99" i="11"/>
  <c r="AD73" i="11"/>
  <c r="AD21" i="11"/>
  <c r="AD44" i="11"/>
  <c r="AD45" i="11"/>
  <c r="AD22" i="11"/>
  <c r="AD74" i="11"/>
  <c r="AD100" i="11"/>
  <c r="AD101" i="11"/>
  <c r="AD46" i="11"/>
  <c r="AD23" i="11"/>
  <c r="AD75" i="11"/>
  <c r="AD102" i="11"/>
  <c r="AD76" i="11"/>
  <c r="AD47" i="11"/>
  <c r="AD24" i="11"/>
  <c r="AD103" i="11"/>
  <c r="AD25" i="11"/>
  <c r="AD48" i="11"/>
  <c r="AD77" i="11"/>
  <c r="O50" i="11"/>
  <c r="AD78" i="11"/>
  <c r="Q90" i="10"/>
  <c r="K90" i="10"/>
  <c r="S53" i="10"/>
  <c r="I53" i="10"/>
  <c r="L53" i="10"/>
  <c r="M53" i="10"/>
  <c r="X53" i="10"/>
  <c r="P53" i="10"/>
  <c r="W53" i="10"/>
  <c r="Y53" i="10"/>
  <c r="J53" i="10"/>
  <c r="N26" i="10"/>
  <c r="AA26" i="10"/>
  <c r="P26" i="10"/>
  <c r="X26" i="10"/>
  <c r="AB26" i="10"/>
  <c r="Q26" i="10"/>
  <c r="K26" i="10"/>
  <c r="Y26" i="10"/>
  <c r="AD26" i="10"/>
  <c r="J26" i="10"/>
  <c r="M26" i="10"/>
  <c r="R26" i="10"/>
  <c r="T26" i="10"/>
  <c r="AC26" i="10"/>
  <c r="I91" i="10"/>
  <c r="Y90" i="10"/>
  <c r="S90" i="10"/>
  <c r="S26" i="10"/>
  <c r="O26" i="10"/>
  <c r="Z26" i="10"/>
  <c r="H90" i="10"/>
  <c r="G90" i="10"/>
  <c r="AA90" i="10"/>
  <c r="AD53" i="10"/>
  <c r="H53" i="10"/>
  <c r="Z53" i="10"/>
  <c r="V26" i="10"/>
  <c r="L26" i="10"/>
  <c r="W26" i="10"/>
  <c r="AD90" i="10"/>
  <c r="O90" i="10"/>
  <c r="N53" i="10"/>
  <c r="U53" i="10"/>
  <c r="G53" i="10"/>
  <c r="N90" i="10"/>
  <c r="L90" i="10"/>
  <c r="W90" i="10"/>
  <c r="J90" i="10"/>
  <c r="M90" i="10"/>
  <c r="AB53" i="10"/>
  <c r="O53" i="10"/>
  <c r="K53" i="10"/>
  <c r="AD4" i="10"/>
  <c r="AE3" i="10"/>
  <c r="AD69" i="10"/>
  <c r="AD5" i="10"/>
  <c r="AD33" i="10"/>
  <c r="AD70" i="10"/>
  <c r="AD6" i="10"/>
  <c r="AD34" i="10"/>
  <c r="AD71" i="10"/>
  <c r="AD7" i="10"/>
  <c r="AD35" i="10"/>
  <c r="AD72" i="10"/>
  <c r="AD8" i="10"/>
  <c r="AD9" i="10"/>
  <c r="AD36" i="10"/>
  <c r="AD73" i="10"/>
  <c r="AD37" i="10"/>
  <c r="AD10" i="10"/>
  <c r="AD74" i="10"/>
  <c r="AD11" i="10"/>
  <c r="AD38" i="10"/>
  <c r="AD75" i="10"/>
  <c r="AD76" i="10"/>
  <c r="AD39" i="10"/>
  <c r="AD12" i="10"/>
  <c r="AD77" i="10"/>
  <c r="AD13" i="10"/>
  <c r="AD40" i="10"/>
  <c r="AD41" i="10"/>
  <c r="AD14" i="10"/>
  <c r="AD78" i="10"/>
  <c r="AD15" i="10"/>
  <c r="AD79" i="10"/>
  <c r="AD42" i="10"/>
  <c r="AD43" i="10"/>
  <c r="AD80" i="10"/>
  <c r="AD16" i="10"/>
  <c r="AD17" i="10"/>
  <c r="AD44" i="10"/>
  <c r="AD81" i="10"/>
  <c r="AD18" i="10"/>
  <c r="AD82" i="10"/>
  <c r="AD45" i="10"/>
  <c r="AD19" i="10"/>
  <c r="AD83" i="10"/>
  <c r="AD46" i="10"/>
  <c r="AD47" i="10"/>
  <c r="AD84" i="10"/>
  <c r="AD20" i="10"/>
  <c r="AD48" i="10"/>
  <c r="AD21" i="10"/>
  <c r="AD85" i="10"/>
  <c r="AD22" i="10"/>
  <c r="AD49" i="10"/>
  <c r="AD86" i="10"/>
  <c r="AD23" i="10"/>
  <c r="AD87" i="10"/>
  <c r="AD50" i="10"/>
  <c r="AD24" i="10"/>
  <c r="AD88" i="10"/>
  <c r="AD25" i="10"/>
  <c r="AD89" i="10"/>
  <c r="X90" i="10"/>
  <c r="R90" i="10"/>
  <c r="U90" i="10"/>
  <c r="J27" i="10"/>
  <c r="U26" i="10"/>
  <c r="H26" i="10"/>
  <c r="V90" i="10"/>
  <c r="P90" i="10"/>
  <c r="Z90" i="10"/>
  <c r="AC90" i="10"/>
  <c r="V53" i="10"/>
  <c r="AB90" i="10"/>
  <c r="I90" i="10"/>
  <c r="X54" i="10"/>
  <c r="P54" i="10"/>
  <c r="H54" i="10"/>
  <c r="AD54" i="10"/>
  <c r="V54" i="10"/>
  <c r="I54" i="10"/>
  <c r="S54" i="10"/>
  <c r="K54" i="10"/>
  <c r="AB54" i="10"/>
  <c r="Z54" i="10"/>
  <c r="L54" i="10"/>
  <c r="J54" i="10"/>
  <c r="M54" i="10"/>
  <c r="F55" i="9"/>
  <c r="I55" i="9" s="1"/>
  <c r="Y26" i="9"/>
  <c r="R26" i="9"/>
  <c r="S26" i="9"/>
  <c r="J26" i="9"/>
  <c r="W26" i="9"/>
  <c r="K26" i="9"/>
  <c r="G26" i="9"/>
  <c r="AA54" i="9"/>
  <c r="F27" i="9"/>
  <c r="U27" i="9" s="1"/>
  <c r="X26" i="9"/>
  <c r="K54" i="9"/>
  <c r="W54" i="9"/>
  <c r="AB54" i="9"/>
  <c r="I26" i="9"/>
  <c r="P26" i="9"/>
  <c r="AB26" i="9"/>
  <c r="AC4" i="9"/>
  <c r="AC33" i="9"/>
  <c r="AC5" i="9"/>
  <c r="AC34" i="9"/>
  <c r="AC6" i="9"/>
  <c r="AC7" i="9"/>
  <c r="AC35" i="9"/>
  <c r="AC36" i="9"/>
  <c r="AC8" i="9"/>
  <c r="AC37" i="9"/>
  <c r="AC9" i="9"/>
  <c r="AC10" i="9"/>
  <c r="AC38" i="9"/>
  <c r="AC39" i="9"/>
  <c r="AC11" i="9"/>
  <c r="AC12" i="9"/>
  <c r="AC40" i="9"/>
  <c r="AC13" i="9"/>
  <c r="AC41" i="9"/>
  <c r="AC14" i="9"/>
  <c r="AC42" i="9"/>
  <c r="AC43" i="9"/>
  <c r="AC15" i="9"/>
  <c r="AC44" i="9"/>
  <c r="AC16" i="9"/>
  <c r="AC45" i="9"/>
  <c r="AC17" i="9"/>
  <c r="AC46" i="9"/>
  <c r="AC18" i="9"/>
  <c r="AC47" i="9"/>
  <c r="AC19" i="9"/>
  <c r="AC48" i="9"/>
  <c r="AC20" i="9"/>
  <c r="AC21" i="9"/>
  <c r="AC49" i="9"/>
  <c r="AC50" i="9"/>
  <c r="AC22" i="9"/>
  <c r="AC23" i="9"/>
  <c r="AC51" i="9"/>
  <c r="AC24" i="9"/>
  <c r="AC52" i="9"/>
  <c r="AC25" i="9"/>
  <c r="AC53" i="9"/>
  <c r="S54" i="9"/>
  <c r="O54" i="9"/>
  <c r="T54" i="9"/>
  <c r="AA26" i="9"/>
  <c r="H26" i="9"/>
  <c r="V26" i="9"/>
  <c r="T26" i="9"/>
  <c r="X54" i="9"/>
  <c r="G54" i="9"/>
  <c r="L54" i="9"/>
  <c r="Z26" i="9"/>
  <c r="N26" i="9"/>
  <c r="L26" i="9"/>
  <c r="J26" i="8"/>
  <c r="X26" i="8"/>
  <c r="AC4" i="8"/>
  <c r="AC20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1" i="8"/>
  <c r="AC22" i="8"/>
  <c r="AC23" i="8"/>
  <c r="AC24" i="8"/>
  <c r="AC25" i="8"/>
  <c r="P26" i="8"/>
  <c r="AB26" i="8"/>
  <c r="H26" i="8"/>
  <c r="V26" i="8"/>
  <c r="T26" i="8"/>
  <c r="Y26" i="8"/>
  <c r="N26" i="8"/>
  <c r="L26" i="8"/>
  <c r="Q26" i="8"/>
  <c r="R26" i="8"/>
  <c r="I26" i="8"/>
  <c r="W26" i="8"/>
  <c r="AC26" i="8"/>
  <c r="AA26" i="8"/>
  <c r="O26" i="8"/>
  <c r="U26" i="8"/>
  <c r="Z26" i="8"/>
  <c r="G26" i="8"/>
  <c r="M26" i="8"/>
  <c r="K26" i="8"/>
  <c r="AB26" i="3"/>
  <c r="Z26" i="3"/>
  <c r="O26" i="3"/>
  <c r="T26" i="3"/>
  <c r="R26" i="3"/>
  <c r="G26" i="3"/>
  <c r="AE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J26" i="3"/>
  <c r="X26" i="3"/>
  <c r="AD26" i="3"/>
  <c r="L26" i="3"/>
  <c r="P26" i="3"/>
  <c r="AC26" i="3"/>
  <c r="AA26" i="3"/>
  <c r="H26" i="3"/>
  <c r="U26" i="3"/>
  <c r="S26" i="3"/>
  <c r="Y26" i="3"/>
  <c r="N26" i="3"/>
  <c r="AD3" i="9"/>
  <c r="AD3" i="8"/>
  <c r="F27" i="8"/>
  <c r="AA27" i="8" s="1"/>
  <c r="F27" i="3"/>
  <c r="AI41" i="18" l="1"/>
  <c r="AH41" i="18"/>
  <c r="AD41" i="18"/>
  <c r="AA41" i="18"/>
  <c r="I41" i="18"/>
  <c r="M41" i="18"/>
  <c r="AL41" i="18"/>
  <c r="K41" i="18"/>
  <c r="AK41" i="18"/>
  <c r="O41" i="18"/>
  <c r="AJ41" i="18"/>
  <c r="Q41" i="18"/>
  <c r="AC41" i="18"/>
  <c r="G41" i="18"/>
  <c r="AB41" i="18"/>
  <c r="V41" i="18"/>
  <c r="P41" i="18"/>
  <c r="T41" i="18"/>
  <c r="Y41" i="18"/>
  <c r="S41" i="18"/>
  <c r="AO41" i="18"/>
  <c r="AG41" i="18"/>
  <c r="L41" i="18"/>
  <c r="R41" i="18"/>
  <c r="U41" i="18"/>
  <c r="AN41" i="18"/>
  <c r="AF41" i="18"/>
  <c r="X41" i="18"/>
  <c r="H41" i="18"/>
  <c r="W41" i="18"/>
  <c r="AM41" i="18"/>
  <c r="AE41" i="18"/>
  <c r="N41" i="18"/>
  <c r="J41" i="18"/>
  <c r="F42" i="18"/>
  <c r="M42" i="18" s="1"/>
  <c r="AB50" i="10"/>
  <c r="J50" i="10"/>
  <c r="G50" i="10"/>
  <c r="T50" i="10"/>
  <c r="P50" i="10"/>
  <c r="M50" i="10"/>
  <c r="L50" i="10"/>
  <c r="H50" i="10"/>
  <c r="AL4" i="15"/>
  <c r="AM3" i="15"/>
  <c r="AL5" i="15"/>
  <c r="AL15" i="15"/>
  <c r="AL6" i="15"/>
  <c r="AL27" i="15"/>
  <c r="AL28" i="15"/>
  <c r="AL16" i="15"/>
  <c r="AL7" i="15"/>
  <c r="AL17" i="15"/>
  <c r="AL8" i="15"/>
  <c r="AL29" i="15"/>
  <c r="AL30" i="15"/>
  <c r="AL18" i="15"/>
  <c r="AL9" i="15"/>
  <c r="AL19" i="15"/>
  <c r="AL31" i="15"/>
  <c r="AL10" i="15"/>
  <c r="AL11" i="15"/>
  <c r="AL20" i="15"/>
  <c r="AL32" i="15"/>
  <c r="AL12" i="15"/>
  <c r="AL21" i="15"/>
  <c r="AL22" i="15"/>
  <c r="AL13" i="15"/>
  <c r="AL23" i="15"/>
  <c r="AL14" i="15"/>
  <c r="AL24" i="15"/>
  <c r="AL25" i="15"/>
  <c r="AL26" i="15"/>
  <c r="AN3" i="14"/>
  <c r="AM4" i="14"/>
  <c r="AM5" i="14"/>
  <c r="AM21" i="14"/>
  <c r="AM6" i="14"/>
  <c r="AM7" i="14"/>
  <c r="AM22" i="14"/>
  <c r="AM8" i="14"/>
  <c r="AM23" i="14"/>
  <c r="AM24" i="14"/>
  <c r="AM9" i="14"/>
  <c r="AM25" i="14"/>
  <c r="AM10" i="14"/>
  <c r="AM11" i="14"/>
  <c r="AM26" i="14"/>
  <c r="AM27" i="14"/>
  <c r="AM12" i="14"/>
  <c r="AM13" i="14"/>
  <c r="AM28" i="14"/>
  <c r="AM29" i="14"/>
  <c r="AM14" i="14"/>
  <c r="AM15" i="14"/>
  <c r="AM30" i="14"/>
  <c r="AM16" i="14"/>
  <c r="AM31" i="14"/>
  <c r="AM32" i="14"/>
  <c r="AM17" i="14"/>
  <c r="AM18" i="14"/>
  <c r="AM19" i="14"/>
  <c r="AM20" i="14"/>
  <c r="AM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O6" i="12"/>
  <c r="AO4" i="12"/>
  <c r="AO5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D27" i="8"/>
  <c r="M27" i="9"/>
  <c r="Y27" i="9"/>
  <c r="Q27" i="9"/>
  <c r="Z50" i="10"/>
  <c r="U50" i="10"/>
  <c r="Y50" i="10"/>
  <c r="R50" i="10"/>
  <c r="AA50" i="10"/>
  <c r="V50" i="10"/>
  <c r="K50" i="10"/>
  <c r="O50" i="10"/>
  <c r="N50" i="10"/>
  <c r="X50" i="10"/>
  <c r="Q50" i="10"/>
  <c r="I50" i="10"/>
  <c r="S50" i="10"/>
  <c r="F51" i="10"/>
  <c r="R51" i="10" s="1"/>
  <c r="M51" i="10"/>
  <c r="K51" i="10"/>
  <c r="S51" i="10"/>
  <c r="AC50" i="10"/>
  <c r="S27" i="9"/>
  <c r="J55" i="9"/>
  <c r="K27" i="9"/>
  <c r="AA55" i="9"/>
  <c r="W55" i="9"/>
  <c r="X27" i="9"/>
  <c r="R55" i="9"/>
  <c r="O55" i="9"/>
  <c r="Z55" i="9"/>
  <c r="V27" i="8"/>
  <c r="Q27" i="8"/>
  <c r="N27" i="8"/>
  <c r="I27" i="8"/>
  <c r="AC27" i="8"/>
  <c r="H27" i="8"/>
  <c r="AB27" i="8"/>
  <c r="W27" i="8"/>
  <c r="T27" i="8"/>
  <c r="Y27" i="8"/>
  <c r="L27" i="8"/>
  <c r="O27" i="8"/>
  <c r="R27" i="8"/>
  <c r="J27" i="8"/>
  <c r="V27" i="11"/>
  <c r="F28" i="11"/>
  <c r="J28" i="11" s="1"/>
  <c r="AE27" i="11"/>
  <c r="I50" i="11"/>
  <c r="W50" i="11"/>
  <c r="J50" i="11"/>
  <c r="H50" i="11"/>
  <c r="U50" i="11"/>
  <c r="V50" i="11"/>
  <c r="J79" i="11"/>
  <c r="S79" i="11"/>
  <c r="V79" i="11"/>
  <c r="J27" i="11"/>
  <c r="Q79" i="11"/>
  <c r="I79" i="11"/>
  <c r="AD79" i="11"/>
  <c r="AC27" i="11"/>
  <c r="M79" i="11"/>
  <c r="U79" i="11"/>
  <c r="H79" i="11"/>
  <c r="Y27" i="11"/>
  <c r="Z79" i="11"/>
  <c r="L79" i="11"/>
  <c r="P79" i="11"/>
  <c r="Y79" i="11"/>
  <c r="O79" i="11"/>
  <c r="T79" i="11"/>
  <c r="X79" i="11"/>
  <c r="I27" i="11"/>
  <c r="K79" i="11"/>
  <c r="AA79" i="11"/>
  <c r="S27" i="11"/>
  <c r="M50" i="11"/>
  <c r="P50" i="11"/>
  <c r="AD50" i="11"/>
  <c r="Q50" i="11"/>
  <c r="K50" i="11"/>
  <c r="R80" i="11"/>
  <c r="M27" i="11"/>
  <c r="T27" i="11"/>
  <c r="AA27" i="11"/>
  <c r="AB50" i="11"/>
  <c r="Y50" i="11"/>
  <c r="S50" i="11"/>
  <c r="R27" i="11"/>
  <c r="P27" i="11"/>
  <c r="T50" i="11"/>
  <c r="G50" i="11"/>
  <c r="AA50" i="11"/>
  <c r="U27" i="11"/>
  <c r="Z27" i="11"/>
  <c r="L27" i="11"/>
  <c r="AD27" i="11"/>
  <c r="X50" i="11"/>
  <c r="X27" i="11"/>
  <c r="AD28" i="11"/>
  <c r="G27" i="11"/>
  <c r="O51" i="11"/>
  <c r="G51" i="11"/>
  <c r="AD51" i="11"/>
  <c r="V51" i="11"/>
  <c r="AC51" i="11"/>
  <c r="M51" i="11"/>
  <c r="AA51" i="11"/>
  <c r="S51" i="11"/>
  <c r="R51" i="11"/>
  <c r="J51" i="11"/>
  <c r="H51" i="11"/>
  <c r="Y51" i="11"/>
  <c r="X51" i="11"/>
  <c r="T51" i="11"/>
  <c r="L51" i="11"/>
  <c r="AE50" i="11"/>
  <c r="R50" i="11"/>
  <c r="AF3" i="11"/>
  <c r="AF51" i="11" s="1"/>
  <c r="AE4" i="11"/>
  <c r="AE5" i="11"/>
  <c r="AE6" i="11"/>
  <c r="AE58" i="11"/>
  <c r="AE84" i="11"/>
  <c r="AE7" i="11"/>
  <c r="AE59" i="11"/>
  <c r="AE85" i="11"/>
  <c r="AE86" i="11"/>
  <c r="AE8" i="11"/>
  <c r="AE60" i="11"/>
  <c r="AE61" i="11"/>
  <c r="AE87" i="11"/>
  <c r="AE9" i="11"/>
  <c r="AE62" i="11"/>
  <c r="AE10" i="11"/>
  <c r="AE88" i="11"/>
  <c r="AE63" i="11"/>
  <c r="AE89" i="11"/>
  <c r="AE11" i="11"/>
  <c r="AE12" i="11"/>
  <c r="AE64" i="11"/>
  <c r="AE35" i="11"/>
  <c r="AE90" i="11"/>
  <c r="AE91" i="11"/>
  <c r="AE36" i="11"/>
  <c r="AE65" i="11"/>
  <c r="AE13" i="11"/>
  <c r="AE92" i="11"/>
  <c r="AE37" i="11"/>
  <c r="AE14" i="11"/>
  <c r="AE66" i="11"/>
  <c r="AE38" i="11"/>
  <c r="AE15" i="11"/>
  <c r="AE67" i="11"/>
  <c r="AE93" i="11"/>
  <c r="AE94" i="11"/>
  <c r="AE39" i="11"/>
  <c r="AE68" i="11"/>
  <c r="AE16" i="11"/>
  <c r="AE40" i="11"/>
  <c r="AE95" i="11"/>
  <c r="AE69" i="11"/>
  <c r="AE17" i="11"/>
  <c r="AE70" i="11"/>
  <c r="AE96" i="11"/>
  <c r="AE18" i="11"/>
  <c r="AE41" i="11"/>
  <c r="AE71" i="11"/>
  <c r="AE42" i="11"/>
  <c r="AE19" i="11"/>
  <c r="AE97" i="11"/>
  <c r="AE98" i="11"/>
  <c r="AE20" i="11"/>
  <c r="AE43" i="11"/>
  <c r="AE72" i="11"/>
  <c r="AE73" i="11"/>
  <c r="AE44" i="11"/>
  <c r="AE21" i="11"/>
  <c r="AE99" i="11"/>
  <c r="AE100" i="11"/>
  <c r="AE74" i="11"/>
  <c r="AE22" i="11"/>
  <c r="AE45" i="11"/>
  <c r="AE23" i="11"/>
  <c r="AE101" i="11"/>
  <c r="AE46" i="11"/>
  <c r="AE75" i="11"/>
  <c r="AE76" i="11"/>
  <c r="AE24" i="11"/>
  <c r="AE102" i="11"/>
  <c r="AE47" i="11"/>
  <c r="AE48" i="11"/>
  <c r="AE25" i="11"/>
  <c r="AE103" i="11"/>
  <c r="AE77" i="11"/>
  <c r="AE49" i="11"/>
  <c r="AE78" i="11"/>
  <c r="AE26" i="11"/>
  <c r="AE79" i="11"/>
  <c r="H27" i="11"/>
  <c r="Q27" i="11"/>
  <c r="O27" i="11"/>
  <c r="AC50" i="11"/>
  <c r="L50" i="11"/>
  <c r="N50" i="11"/>
  <c r="Z50" i="11"/>
  <c r="N27" i="11"/>
  <c r="AB27" i="11"/>
  <c r="K27" i="11"/>
  <c r="W27" i="11"/>
  <c r="T54" i="10"/>
  <c r="G54" i="10"/>
  <c r="I27" i="10"/>
  <c r="R28" i="10"/>
  <c r="N91" i="10"/>
  <c r="H91" i="10"/>
  <c r="K91" i="10"/>
  <c r="AE91" i="10"/>
  <c r="Y27" i="10"/>
  <c r="L91" i="10"/>
  <c r="AA91" i="10"/>
  <c r="V91" i="10"/>
  <c r="O27" i="10"/>
  <c r="N27" i="10"/>
  <c r="R54" i="10"/>
  <c r="AA54" i="10"/>
  <c r="O54" i="10"/>
  <c r="G27" i="10"/>
  <c r="AB27" i="10"/>
  <c r="V27" i="10"/>
  <c r="P91" i="10"/>
  <c r="AD91" i="10"/>
  <c r="P92" i="10"/>
  <c r="X27" i="10"/>
  <c r="T27" i="10"/>
  <c r="W54" i="10"/>
  <c r="Z27" i="10"/>
  <c r="P27" i="10"/>
  <c r="AD27" i="10"/>
  <c r="T91" i="10"/>
  <c r="M91" i="10"/>
  <c r="Q91" i="10"/>
  <c r="Q27" i="10"/>
  <c r="L27" i="10"/>
  <c r="S91" i="10"/>
  <c r="AC55" i="10"/>
  <c r="AA55" i="10"/>
  <c r="R55" i="10"/>
  <c r="J55" i="10"/>
  <c r="AE55" i="10"/>
  <c r="AD55" i="10"/>
  <c r="AB55" i="10"/>
  <c r="Q55" i="10"/>
  <c r="V55" i="10"/>
  <c r="AE54" i="10"/>
  <c r="Q54" i="10"/>
  <c r="H27" i="10"/>
  <c r="K27" i="10"/>
  <c r="M27" i="10"/>
  <c r="AB91" i="10"/>
  <c r="R91" i="10"/>
  <c r="U91" i="10"/>
  <c r="G91" i="10"/>
  <c r="Y91" i="10"/>
  <c r="J91" i="10"/>
  <c r="AC54" i="10"/>
  <c r="U54" i="10"/>
  <c r="N54" i="10"/>
  <c r="Y54" i="10"/>
  <c r="AE27" i="10"/>
  <c r="R27" i="10"/>
  <c r="S27" i="10"/>
  <c r="U27" i="10"/>
  <c r="X91" i="10"/>
  <c r="AC91" i="10"/>
  <c r="O91" i="10"/>
  <c r="W27" i="10"/>
  <c r="AA27" i="10"/>
  <c r="AC27" i="10"/>
  <c r="AE4" i="10"/>
  <c r="AF3" i="10"/>
  <c r="AE69" i="10"/>
  <c r="AE5" i="10"/>
  <c r="AE33" i="10"/>
  <c r="AE70" i="10"/>
  <c r="AE6" i="10"/>
  <c r="AE71" i="10"/>
  <c r="AE7" i="10"/>
  <c r="AE34" i="10"/>
  <c r="AE35" i="10"/>
  <c r="AE8" i="10"/>
  <c r="AE72" i="10"/>
  <c r="AE9" i="10"/>
  <c r="AE73" i="10"/>
  <c r="AE36" i="10"/>
  <c r="AE10" i="10"/>
  <c r="AE37" i="10"/>
  <c r="AE74" i="10"/>
  <c r="AE38" i="10"/>
  <c r="AE75" i="10"/>
  <c r="AE11" i="10"/>
  <c r="AE76" i="10"/>
  <c r="AE12" i="10"/>
  <c r="AE39" i="10"/>
  <c r="AE40" i="10"/>
  <c r="AE13" i="10"/>
  <c r="AE77" i="10"/>
  <c r="AE78" i="10"/>
  <c r="AE14" i="10"/>
  <c r="AE41" i="10"/>
  <c r="AE79" i="10"/>
  <c r="AE42" i="10"/>
  <c r="AE15" i="10"/>
  <c r="AE16" i="10"/>
  <c r="AE80" i="10"/>
  <c r="AE43" i="10"/>
  <c r="AE44" i="10"/>
  <c r="AE81" i="10"/>
  <c r="AE17" i="10"/>
  <c r="AE18" i="10"/>
  <c r="AE82" i="10"/>
  <c r="AE45" i="10"/>
  <c r="AE83" i="10"/>
  <c r="AE46" i="10"/>
  <c r="AE19" i="10"/>
  <c r="AE84" i="10"/>
  <c r="AE20" i="10"/>
  <c r="AE47" i="10"/>
  <c r="AE85" i="10"/>
  <c r="AE21" i="10"/>
  <c r="AE48" i="10"/>
  <c r="AE22" i="10"/>
  <c r="AE49" i="10"/>
  <c r="AE86" i="10"/>
  <c r="AE87" i="10"/>
  <c r="AE23" i="10"/>
  <c r="AE50" i="10"/>
  <c r="AE24" i="10"/>
  <c r="AE51" i="10"/>
  <c r="AE88" i="10"/>
  <c r="AE25" i="10"/>
  <c r="AE89" i="10"/>
  <c r="AE52" i="10"/>
  <c r="AE53" i="10"/>
  <c r="AE90" i="10"/>
  <c r="AE26" i="10"/>
  <c r="Z91" i="10"/>
  <c r="W91" i="10"/>
  <c r="F28" i="9"/>
  <c r="G28" i="9" s="1"/>
  <c r="H27" i="9"/>
  <c r="AC27" i="9"/>
  <c r="AA27" i="9"/>
  <c r="V55" i="9"/>
  <c r="S55" i="9"/>
  <c r="N55" i="9"/>
  <c r="K55" i="9"/>
  <c r="AD4" i="9"/>
  <c r="AD33" i="9"/>
  <c r="AD5" i="9"/>
  <c r="AD34" i="9"/>
  <c r="AD6" i="9"/>
  <c r="AD35" i="9"/>
  <c r="AD7" i="9"/>
  <c r="AD36" i="9"/>
  <c r="AD8" i="9"/>
  <c r="AD9" i="9"/>
  <c r="AD37" i="9"/>
  <c r="AD10" i="9"/>
  <c r="AD38" i="9"/>
  <c r="AD39" i="9"/>
  <c r="AD11" i="9"/>
  <c r="AD12" i="9"/>
  <c r="AD40" i="9"/>
  <c r="AD41" i="9"/>
  <c r="AD13" i="9"/>
  <c r="AD14" i="9"/>
  <c r="AD42" i="9"/>
  <c r="AD15" i="9"/>
  <c r="AD43" i="9"/>
  <c r="AD16" i="9"/>
  <c r="AD44" i="9"/>
  <c r="AD45" i="9"/>
  <c r="AD17" i="9"/>
  <c r="AD46" i="9"/>
  <c r="AD18" i="9"/>
  <c r="AD19" i="9"/>
  <c r="AD47" i="9"/>
  <c r="AD20" i="9"/>
  <c r="AD48" i="9"/>
  <c r="AD49" i="9"/>
  <c r="AD21" i="9"/>
  <c r="AD50" i="9"/>
  <c r="AD22" i="9"/>
  <c r="AD23" i="9"/>
  <c r="AD51" i="9"/>
  <c r="AD52" i="9"/>
  <c r="AD24" i="9"/>
  <c r="AD25" i="9"/>
  <c r="AD53" i="9"/>
  <c r="AD26" i="9"/>
  <c r="AD54" i="9"/>
  <c r="AD27" i="9"/>
  <c r="I27" i="9"/>
  <c r="M55" i="9"/>
  <c r="AB55" i="9"/>
  <c r="V27" i="9"/>
  <c r="W27" i="9"/>
  <c r="AB27" i="9"/>
  <c r="Z27" i="9"/>
  <c r="G55" i="9"/>
  <c r="X55" i="9"/>
  <c r="T55" i="9"/>
  <c r="Y55" i="9"/>
  <c r="P27" i="9"/>
  <c r="O27" i="9"/>
  <c r="T27" i="9"/>
  <c r="R27" i="9"/>
  <c r="U55" i="9"/>
  <c r="H55" i="9"/>
  <c r="L55" i="9"/>
  <c r="Q55" i="9"/>
  <c r="N27" i="9"/>
  <c r="G27" i="9"/>
  <c r="L27" i="9"/>
  <c r="J27" i="9"/>
  <c r="AC55" i="9"/>
  <c r="P55" i="9"/>
  <c r="AD55" i="9"/>
  <c r="F56" i="9"/>
  <c r="N56" i="9" s="1"/>
  <c r="U27" i="8"/>
  <c r="S27" i="8"/>
  <c r="X27" i="8"/>
  <c r="AD4" i="8"/>
  <c r="AD5" i="8"/>
  <c r="AD20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1" i="8"/>
  <c r="AD22" i="8"/>
  <c r="AD23" i="8"/>
  <c r="AD24" i="8"/>
  <c r="AD25" i="8"/>
  <c r="AD26" i="8"/>
  <c r="Z27" i="8"/>
  <c r="G27" i="8"/>
  <c r="M27" i="8"/>
  <c r="K27" i="8"/>
  <c r="P27" i="8"/>
  <c r="I27" i="3"/>
  <c r="AC27" i="3"/>
  <c r="AA27" i="3"/>
  <c r="Z27" i="3"/>
  <c r="O27" i="3"/>
  <c r="U27" i="3"/>
  <c r="S27" i="3"/>
  <c r="AF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R27" i="3"/>
  <c r="G27" i="3"/>
  <c r="M27" i="3"/>
  <c r="K27" i="3"/>
  <c r="W27" i="3"/>
  <c r="J27" i="3"/>
  <c r="X27" i="3"/>
  <c r="P27" i="3"/>
  <c r="AD27" i="3"/>
  <c r="AB27" i="3"/>
  <c r="H27" i="3"/>
  <c r="V27" i="3"/>
  <c r="T27" i="3"/>
  <c r="Y27" i="3"/>
  <c r="N27" i="3"/>
  <c r="L27" i="3"/>
  <c r="Q27" i="3"/>
  <c r="AE27" i="3"/>
  <c r="AE3" i="9"/>
  <c r="F28" i="8"/>
  <c r="Y28" i="8" s="1"/>
  <c r="AE3" i="8"/>
  <c r="F28" i="3"/>
  <c r="AL42" i="18" l="1"/>
  <c r="H42" i="18"/>
  <c r="V42" i="18"/>
  <c r="G42" i="18"/>
  <c r="O42" i="18"/>
  <c r="AO42" i="18"/>
  <c r="S42" i="18"/>
  <c r="AJ42" i="18"/>
  <c r="AF42" i="18"/>
  <c r="AK42" i="18"/>
  <c r="I42" i="18"/>
  <c r="AC42" i="18"/>
  <c r="U42" i="18"/>
  <c r="AB42" i="18"/>
  <c r="R42" i="18"/>
  <c r="AI42" i="18"/>
  <c r="J42" i="18"/>
  <c r="Q42" i="18"/>
  <c r="AH42" i="18"/>
  <c r="N42" i="18"/>
  <c r="W42" i="18"/>
  <c r="AG42" i="18"/>
  <c r="AA42" i="18"/>
  <c r="P42" i="18"/>
  <c r="AN42" i="18"/>
  <c r="AD42" i="18"/>
  <c r="Z42" i="18"/>
  <c r="X42" i="18"/>
  <c r="L42" i="18"/>
  <c r="Y42" i="18"/>
  <c r="AM42" i="18"/>
  <c r="AE42" i="18"/>
  <c r="T42" i="18"/>
  <c r="K42" i="18"/>
  <c r="F43" i="18"/>
  <c r="L43" i="18" s="1"/>
  <c r="U28" i="11"/>
  <c r="N28" i="11"/>
  <c r="R28" i="11"/>
  <c r="K28" i="11"/>
  <c r="AC28" i="11"/>
  <c r="H51" i="10"/>
  <c r="AA51" i="10"/>
  <c r="Z51" i="10"/>
  <c r="P51" i="10"/>
  <c r="N51" i="10"/>
  <c r="T51" i="10"/>
  <c r="Y51" i="10"/>
  <c r="AE28" i="8"/>
  <c r="AM4" i="15"/>
  <c r="AN3" i="15"/>
  <c r="AM5" i="15"/>
  <c r="AM6" i="15"/>
  <c r="AM27" i="15"/>
  <c r="AM15" i="15"/>
  <c r="AM16" i="15"/>
  <c r="AM28" i="15"/>
  <c r="AM7" i="15"/>
  <c r="AM8" i="15"/>
  <c r="AM29" i="15"/>
  <c r="AM17" i="15"/>
  <c r="AM30" i="15"/>
  <c r="AM18" i="15"/>
  <c r="AM9" i="15"/>
  <c r="AM19" i="15"/>
  <c r="AM31" i="15"/>
  <c r="AM10" i="15"/>
  <c r="AM20" i="15"/>
  <c r="AM32" i="15"/>
  <c r="AM11" i="15"/>
  <c r="AM12" i="15"/>
  <c r="AM21" i="15"/>
  <c r="AM13" i="15"/>
  <c r="AM22" i="15"/>
  <c r="AM23" i="15"/>
  <c r="AM14" i="15"/>
  <c r="AM24" i="15"/>
  <c r="AM25" i="15"/>
  <c r="AM26" i="15"/>
  <c r="AO3" i="14"/>
  <c r="AN4" i="14"/>
  <c r="AN5" i="14"/>
  <c r="AN6" i="14"/>
  <c r="AN21" i="14"/>
  <c r="AN22" i="14"/>
  <c r="AN7" i="14"/>
  <c r="AN8" i="14"/>
  <c r="AN23" i="14"/>
  <c r="AN9" i="14"/>
  <c r="AN24" i="14"/>
  <c r="AN25" i="14"/>
  <c r="AN10" i="14"/>
  <c r="AN11" i="14"/>
  <c r="AN26" i="14"/>
  <c r="AN27" i="14"/>
  <c r="AN12" i="14"/>
  <c r="AN28" i="14"/>
  <c r="AN13" i="14"/>
  <c r="AN14" i="14"/>
  <c r="AN29" i="14"/>
  <c r="AN15" i="14"/>
  <c r="AN30" i="14"/>
  <c r="AN31" i="14"/>
  <c r="AN16" i="14"/>
  <c r="AN32" i="14"/>
  <c r="AN17" i="14"/>
  <c r="AN18" i="14"/>
  <c r="AN19" i="14"/>
  <c r="AN20" i="14"/>
  <c r="AM4" i="13"/>
  <c r="AN3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T28" i="11"/>
  <c r="V28" i="11"/>
  <c r="Z28" i="11"/>
  <c r="H28" i="11"/>
  <c r="G28" i="11"/>
  <c r="S28" i="11"/>
  <c r="I28" i="11"/>
  <c r="X28" i="11"/>
  <c r="O28" i="11"/>
  <c r="AA28" i="11"/>
  <c r="M28" i="11"/>
  <c r="L28" i="11"/>
  <c r="W28" i="11"/>
  <c r="Q28" i="11"/>
  <c r="AB28" i="11"/>
  <c r="AE28" i="11"/>
  <c r="Y28" i="11"/>
  <c r="P28" i="11"/>
  <c r="AF28" i="3"/>
  <c r="AC51" i="10"/>
  <c r="W51" i="10"/>
  <c r="J51" i="10"/>
  <c r="U51" i="10"/>
  <c r="X51" i="10"/>
  <c r="L51" i="10"/>
  <c r="G51" i="10"/>
  <c r="V51" i="10"/>
  <c r="I51" i="10"/>
  <c r="O51" i="10"/>
  <c r="AB51" i="10"/>
  <c r="Q51" i="10"/>
  <c r="P52" i="10"/>
  <c r="L52" i="10"/>
  <c r="W52" i="10"/>
  <c r="V52" i="10"/>
  <c r="O52" i="10"/>
  <c r="AB52" i="10"/>
  <c r="K52" i="10"/>
  <c r="N52" i="10"/>
  <c r="Q52" i="10"/>
  <c r="R52" i="10"/>
  <c r="T52" i="10"/>
  <c r="Z52" i="10"/>
  <c r="Y52" i="10"/>
  <c r="H52" i="10"/>
  <c r="U52" i="10"/>
  <c r="S52" i="10"/>
  <c r="AA52" i="10"/>
  <c r="I52" i="10"/>
  <c r="AC52" i="10"/>
  <c r="M52" i="10"/>
  <c r="G52" i="10"/>
  <c r="J52" i="10"/>
  <c r="X52" i="10"/>
  <c r="AD51" i="10"/>
  <c r="AD52" i="10"/>
  <c r="AE28" i="9"/>
  <c r="F29" i="11"/>
  <c r="J29" i="11" s="1"/>
  <c r="I51" i="11"/>
  <c r="AB51" i="11"/>
  <c r="U51" i="11"/>
  <c r="W51" i="11"/>
  <c r="P51" i="11"/>
  <c r="Z51" i="11"/>
  <c r="N51" i="11"/>
  <c r="Q51" i="11"/>
  <c r="K51" i="11"/>
  <c r="J52" i="11"/>
  <c r="AE51" i="11"/>
  <c r="Y80" i="11"/>
  <c r="O80" i="11"/>
  <c r="I80" i="11"/>
  <c r="X80" i="11"/>
  <c r="T80" i="11"/>
  <c r="M80" i="11"/>
  <c r="AC80" i="11"/>
  <c r="V80" i="11"/>
  <c r="AF80" i="11"/>
  <c r="AB80" i="11"/>
  <c r="S80" i="11"/>
  <c r="AF4" i="11"/>
  <c r="AG3" i="11"/>
  <c r="AF5" i="11"/>
  <c r="AF6" i="11"/>
  <c r="AF84" i="11"/>
  <c r="AF58" i="11"/>
  <c r="AF7" i="11"/>
  <c r="AF59" i="11"/>
  <c r="AF85" i="11"/>
  <c r="AF8" i="11"/>
  <c r="AF86" i="11"/>
  <c r="AF60" i="11"/>
  <c r="AF9" i="11"/>
  <c r="AF87" i="11"/>
  <c r="AF61" i="11"/>
  <c r="AF10" i="11"/>
  <c r="AF62" i="11"/>
  <c r="AF88" i="11"/>
  <c r="AF11" i="11"/>
  <c r="AF89" i="11"/>
  <c r="AF63" i="11"/>
  <c r="AF35" i="11"/>
  <c r="AF64" i="11"/>
  <c r="AF90" i="11"/>
  <c r="AF12" i="11"/>
  <c r="AF91" i="11"/>
  <c r="AF36" i="11"/>
  <c r="AF65" i="11"/>
  <c r="AF13" i="11"/>
  <c r="AF37" i="11"/>
  <c r="AF66" i="11"/>
  <c r="AF92" i="11"/>
  <c r="AF14" i="11"/>
  <c r="AF38" i="11"/>
  <c r="AF67" i="11"/>
  <c r="AF93" i="11"/>
  <c r="AF15" i="11"/>
  <c r="AF68" i="11"/>
  <c r="AF39" i="11"/>
  <c r="AF94" i="11"/>
  <c r="AF16" i="11"/>
  <c r="AF17" i="11"/>
  <c r="AF69" i="11"/>
  <c r="AF95" i="11"/>
  <c r="AF40" i="11"/>
  <c r="AF41" i="11"/>
  <c r="AF96" i="11"/>
  <c r="AF70" i="11"/>
  <c r="AF18" i="11"/>
  <c r="AF19" i="11"/>
  <c r="AF42" i="11"/>
  <c r="AF97" i="11"/>
  <c r="AF71" i="11"/>
  <c r="AF98" i="11"/>
  <c r="AF72" i="11"/>
  <c r="AF20" i="11"/>
  <c r="AF43" i="11"/>
  <c r="AF99" i="11"/>
  <c r="AF21" i="11"/>
  <c r="AF44" i="11"/>
  <c r="AF73" i="11"/>
  <c r="AF74" i="11"/>
  <c r="AF22" i="11"/>
  <c r="AF45" i="11"/>
  <c r="AF100" i="11"/>
  <c r="AF46" i="11"/>
  <c r="AF75" i="11"/>
  <c r="AF101" i="11"/>
  <c r="AF23" i="11"/>
  <c r="AF24" i="11"/>
  <c r="AF76" i="11"/>
  <c r="AF102" i="11"/>
  <c r="AF47" i="11"/>
  <c r="AF25" i="11"/>
  <c r="AF77" i="11"/>
  <c r="AF48" i="11"/>
  <c r="AF103" i="11"/>
  <c r="AF49" i="11"/>
  <c r="AF26" i="11"/>
  <c r="AF78" i="11"/>
  <c r="AF27" i="11"/>
  <c r="AF50" i="11"/>
  <c r="AF79" i="11"/>
  <c r="AE80" i="11"/>
  <c r="Q80" i="11"/>
  <c r="K80" i="11"/>
  <c r="J80" i="11"/>
  <c r="AF28" i="11"/>
  <c r="AD80" i="11"/>
  <c r="W80" i="11"/>
  <c r="P81" i="11"/>
  <c r="N81" i="11"/>
  <c r="H81" i="11"/>
  <c r="L81" i="11"/>
  <c r="Y81" i="11"/>
  <c r="K81" i="11"/>
  <c r="W81" i="11"/>
  <c r="S81" i="11"/>
  <c r="R81" i="11"/>
  <c r="O81" i="11"/>
  <c r="AC81" i="11"/>
  <c r="I81" i="11"/>
  <c r="G80" i="11"/>
  <c r="Z80" i="11"/>
  <c r="U80" i="11"/>
  <c r="H80" i="11"/>
  <c r="AA80" i="11"/>
  <c r="N80" i="11"/>
  <c r="P80" i="11"/>
  <c r="L80" i="11"/>
  <c r="L55" i="10"/>
  <c r="H55" i="10"/>
  <c r="T55" i="10"/>
  <c r="AF55" i="10"/>
  <c r="N55" i="10"/>
  <c r="AA28" i="10"/>
  <c r="AE28" i="10"/>
  <c r="Q28" i="10"/>
  <c r="H92" i="10"/>
  <c r="I55" i="10"/>
  <c r="V92" i="10"/>
  <c r="K28" i="10"/>
  <c r="M28" i="10"/>
  <c r="Y28" i="10"/>
  <c r="I93" i="10"/>
  <c r="AD92" i="10"/>
  <c r="X92" i="10"/>
  <c r="J92" i="10"/>
  <c r="L92" i="10"/>
  <c r="S28" i="10"/>
  <c r="U28" i="10"/>
  <c r="H28" i="10"/>
  <c r="AC92" i="10"/>
  <c r="AG3" i="10"/>
  <c r="AG93" i="10" s="1"/>
  <c r="AF4" i="10"/>
  <c r="AF5" i="10"/>
  <c r="AF69" i="10"/>
  <c r="AF6" i="10"/>
  <c r="AF33" i="10"/>
  <c r="AF70" i="10"/>
  <c r="AF71" i="10"/>
  <c r="AF7" i="10"/>
  <c r="AF34" i="10"/>
  <c r="AF72" i="10"/>
  <c r="AF8" i="10"/>
  <c r="AF35" i="10"/>
  <c r="AF9" i="10"/>
  <c r="AF36" i="10"/>
  <c r="AF73" i="10"/>
  <c r="AF74" i="10"/>
  <c r="AF10" i="10"/>
  <c r="AF37" i="10"/>
  <c r="AF11" i="10"/>
  <c r="AF38" i="10"/>
  <c r="AF75" i="10"/>
  <c r="AF76" i="10"/>
  <c r="AF12" i="10"/>
  <c r="AF39" i="10"/>
  <c r="AF77" i="10"/>
  <c r="AF13" i="10"/>
  <c r="AF40" i="10"/>
  <c r="AF78" i="10"/>
  <c r="AF41" i="10"/>
  <c r="AF14" i="10"/>
  <c r="AF79" i="10"/>
  <c r="AF42" i="10"/>
  <c r="AF15" i="10"/>
  <c r="AF43" i="10"/>
  <c r="AF16" i="10"/>
  <c r="AF80" i="10"/>
  <c r="AF81" i="10"/>
  <c r="AF44" i="10"/>
  <c r="AF17" i="10"/>
  <c r="AF18" i="10"/>
  <c r="AF45" i="10"/>
  <c r="AF82" i="10"/>
  <c r="AF46" i="10"/>
  <c r="AF19" i="10"/>
  <c r="AF83" i="10"/>
  <c r="AF84" i="10"/>
  <c r="AF20" i="10"/>
  <c r="AF47" i="10"/>
  <c r="AF85" i="10"/>
  <c r="AF48" i="10"/>
  <c r="AF21" i="10"/>
  <c r="AF22" i="10"/>
  <c r="AF86" i="10"/>
  <c r="AF49" i="10"/>
  <c r="AF50" i="10"/>
  <c r="AF23" i="10"/>
  <c r="AF87" i="10"/>
  <c r="AF51" i="10"/>
  <c r="AF24" i="10"/>
  <c r="AF88" i="10"/>
  <c r="AF25" i="10"/>
  <c r="AF89" i="10"/>
  <c r="AF52" i="10"/>
  <c r="AF53" i="10"/>
  <c r="AF90" i="10"/>
  <c r="AF26" i="10"/>
  <c r="AF91" i="10"/>
  <c r="AF27" i="10"/>
  <c r="AF54" i="10"/>
  <c r="G92" i="10"/>
  <c r="AF92" i="10"/>
  <c r="R92" i="10"/>
  <c r="T92" i="10"/>
  <c r="AC28" i="10"/>
  <c r="P28" i="10"/>
  <c r="X55" i="10"/>
  <c r="Z55" i="10"/>
  <c r="O92" i="10"/>
  <c r="Z92" i="10"/>
  <c r="AB92" i="10"/>
  <c r="AD28" i="10"/>
  <c r="AB28" i="10"/>
  <c r="X28" i="10"/>
  <c r="J28" i="10"/>
  <c r="N56" i="10"/>
  <c r="I56" i="10"/>
  <c r="G55" i="10"/>
  <c r="W92" i="10"/>
  <c r="I92" i="10"/>
  <c r="L28" i="10"/>
  <c r="T28" i="10"/>
  <c r="G28" i="10"/>
  <c r="AF28" i="10"/>
  <c r="P55" i="10"/>
  <c r="Y55" i="10"/>
  <c r="O55" i="10"/>
  <c r="K55" i="10"/>
  <c r="M55" i="10"/>
  <c r="N92" i="10"/>
  <c r="AE92" i="10"/>
  <c r="Q92" i="10"/>
  <c r="K92" i="10"/>
  <c r="M92" i="10"/>
  <c r="U29" i="10"/>
  <c r="AA29" i="10"/>
  <c r="S29" i="10"/>
  <c r="W29" i="10"/>
  <c r="R29" i="10"/>
  <c r="O28" i="10"/>
  <c r="Z28" i="10"/>
  <c r="AA92" i="10"/>
  <c r="W55" i="10"/>
  <c r="S55" i="10"/>
  <c r="U55" i="10"/>
  <c r="Y92" i="10"/>
  <c r="S92" i="10"/>
  <c r="U92" i="10"/>
  <c r="N28" i="10"/>
  <c r="V28" i="10"/>
  <c r="W28" i="10"/>
  <c r="I28" i="10"/>
  <c r="AC56" i="9"/>
  <c r="S28" i="9"/>
  <c r="L28" i="9"/>
  <c r="Q28" i="9"/>
  <c r="AE4" i="9"/>
  <c r="AE5" i="9"/>
  <c r="AE33" i="9"/>
  <c r="AE34" i="9"/>
  <c r="AE6" i="9"/>
  <c r="AE35" i="9"/>
  <c r="AE7" i="9"/>
  <c r="AE36" i="9"/>
  <c r="AE8" i="9"/>
  <c r="AE37" i="9"/>
  <c r="AE9" i="9"/>
  <c r="AE10" i="9"/>
  <c r="AE38" i="9"/>
  <c r="AE39" i="9"/>
  <c r="AE11" i="9"/>
  <c r="AE40" i="9"/>
  <c r="AE12" i="9"/>
  <c r="AE13" i="9"/>
  <c r="AE41" i="9"/>
  <c r="AE14" i="9"/>
  <c r="AE42" i="9"/>
  <c r="AE43" i="9"/>
  <c r="AE15" i="9"/>
  <c r="AE44" i="9"/>
  <c r="AE16" i="9"/>
  <c r="AE17" i="9"/>
  <c r="AE45" i="9"/>
  <c r="AE18" i="9"/>
  <c r="AE46" i="9"/>
  <c r="AE47" i="9"/>
  <c r="AE19" i="9"/>
  <c r="AE20" i="9"/>
  <c r="AE48" i="9"/>
  <c r="AE49" i="9"/>
  <c r="AE21" i="9"/>
  <c r="AE50" i="9"/>
  <c r="AE22" i="9"/>
  <c r="AE51" i="9"/>
  <c r="AE23" i="9"/>
  <c r="AE52" i="9"/>
  <c r="AE24" i="9"/>
  <c r="AE53" i="9"/>
  <c r="AE25" i="9"/>
  <c r="AE54" i="9"/>
  <c r="AE26" i="9"/>
  <c r="AE55" i="9"/>
  <c r="AE27" i="9"/>
  <c r="U56" i="9"/>
  <c r="Q56" i="9"/>
  <c r="AD56" i="9"/>
  <c r="AE56" i="9"/>
  <c r="M56" i="9"/>
  <c r="I56" i="9"/>
  <c r="V56" i="9"/>
  <c r="M28" i="9"/>
  <c r="I28" i="9"/>
  <c r="W28" i="9"/>
  <c r="Z56" i="9"/>
  <c r="AB56" i="9"/>
  <c r="AA56" i="9"/>
  <c r="K28" i="9"/>
  <c r="Z28" i="9"/>
  <c r="O28" i="9"/>
  <c r="F57" i="9"/>
  <c r="K57" i="9" s="1"/>
  <c r="R28" i="9"/>
  <c r="T56" i="9"/>
  <c r="K56" i="9"/>
  <c r="X56" i="9"/>
  <c r="F29" i="9"/>
  <c r="J29" i="9" s="1"/>
  <c r="J28" i="9"/>
  <c r="X28" i="9"/>
  <c r="S56" i="9"/>
  <c r="O56" i="9"/>
  <c r="W56" i="9"/>
  <c r="P56" i="9"/>
  <c r="U28" i="9"/>
  <c r="P28" i="9"/>
  <c r="AD28" i="9"/>
  <c r="L56" i="9"/>
  <c r="J56" i="9"/>
  <c r="G56" i="9"/>
  <c r="H56" i="9"/>
  <c r="AC28" i="9"/>
  <c r="AB28" i="9"/>
  <c r="H28" i="9"/>
  <c r="V28" i="9"/>
  <c r="R56" i="9"/>
  <c r="Y56" i="9"/>
  <c r="AA28" i="9"/>
  <c r="T28" i="9"/>
  <c r="Y28" i="9"/>
  <c r="N28" i="9"/>
  <c r="V28" i="8"/>
  <c r="AB28" i="8"/>
  <c r="R28" i="8"/>
  <c r="G28" i="8"/>
  <c r="W28" i="8"/>
  <c r="J28" i="8"/>
  <c r="X28" i="8"/>
  <c r="T28" i="8"/>
  <c r="P28" i="8"/>
  <c r="O28" i="8"/>
  <c r="AA28" i="8"/>
  <c r="H28" i="8"/>
  <c r="N28" i="8"/>
  <c r="S28" i="8"/>
  <c r="K28" i="8"/>
  <c r="Q28" i="8"/>
  <c r="AC28" i="8"/>
  <c r="I28" i="8"/>
  <c r="U28" i="8"/>
  <c r="AE4" i="8"/>
  <c r="AE20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1" i="8"/>
  <c r="AE22" i="8"/>
  <c r="AE23" i="8"/>
  <c r="AE24" i="8"/>
  <c r="AE25" i="8"/>
  <c r="AE26" i="8"/>
  <c r="AE27" i="8"/>
  <c r="AD28" i="8"/>
  <c r="L28" i="8"/>
  <c r="Z28" i="8"/>
  <c r="M28" i="8"/>
  <c r="O28" i="3"/>
  <c r="U28" i="3"/>
  <c r="S28" i="3"/>
  <c r="Y28" i="3"/>
  <c r="G28" i="3"/>
  <c r="M28" i="3"/>
  <c r="K28" i="3"/>
  <c r="Q28" i="3"/>
  <c r="I28" i="3"/>
  <c r="AD28" i="3"/>
  <c r="AB28" i="3"/>
  <c r="Z28" i="3"/>
  <c r="V28" i="3"/>
  <c r="T28" i="3"/>
  <c r="R28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N28" i="3"/>
  <c r="L28" i="3"/>
  <c r="J28" i="3"/>
  <c r="X28" i="3"/>
  <c r="AE28" i="3"/>
  <c r="P28" i="3"/>
  <c r="W28" i="3"/>
  <c r="AC28" i="3"/>
  <c r="AA28" i="3"/>
  <c r="H28" i="3"/>
  <c r="AF3" i="9"/>
  <c r="AF3" i="8"/>
  <c r="F29" i="8"/>
  <c r="F29" i="3"/>
  <c r="U29" i="3" s="1"/>
  <c r="AN43" i="18" l="1"/>
  <c r="AJ43" i="18"/>
  <c r="AI43" i="18"/>
  <c r="AF43" i="18"/>
  <c r="M43" i="18"/>
  <c r="AE43" i="18"/>
  <c r="K43" i="18"/>
  <c r="V43" i="18"/>
  <c r="AL43" i="18"/>
  <c r="S43" i="18"/>
  <c r="Y43" i="18"/>
  <c r="P43" i="18"/>
  <c r="AD43" i="18"/>
  <c r="I43" i="18"/>
  <c r="R43" i="18"/>
  <c r="AM43" i="18"/>
  <c r="Q43" i="18"/>
  <c r="G43" i="18"/>
  <c r="AH43" i="18"/>
  <c r="AA43" i="18"/>
  <c r="T43" i="18"/>
  <c r="Z43" i="18"/>
  <c r="AO43" i="18"/>
  <c r="AG43" i="18"/>
  <c r="H43" i="18"/>
  <c r="X43" i="18"/>
  <c r="W43" i="18"/>
  <c r="AB43" i="18"/>
  <c r="J43" i="18"/>
  <c r="AK43" i="18"/>
  <c r="AC43" i="18"/>
  <c r="N43" i="18"/>
  <c r="F44" i="18"/>
  <c r="M44" i="18" s="1"/>
  <c r="W44" i="18"/>
  <c r="U43" i="18"/>
  <c r="O43" i="18"/>
  <c r="AF29" i="9"/>
  <c r="AF29" i="11"/>
  <c r="AN4" i="15"/>
  <c r="AO3" i="15"/>
  <c r="AN5" i="15"/>
  <c r="AN15" i="15"/>
  <c r="AN6" i="15"/>
  <c r="AN27" i="15"/>
  <c r="AN28" i="15"/>
  <c r="AN7" i="15"/>
  <c r="AN16" i="15"/>
  <c r="AN17" i="15"/>
  <c r="AN29" i="15"/>
  <c r="AN8" i="15"/>
  <c r="AN18" i="15"/>
  <c r="AN9" i="15"/>
  <c r="AN30" i="15"/>
  <c r="AN10" i="15"/>
  <c r="AN31" i="15"/>
  <c r="AN19" i="15"/>
  <c r="AN32" i="15"/>
  <c r="AN11" i="15"/>
  <c r="AN20" i="15"/>
  <c r="AN12" i="15"/>
  <c r="AN21" i="15"/>
  <c r="AN13" i="15"/>
  <c r="AN22" i="15"/>
  <c r="AN14" i="15"/>
  <c r="AN23" i="15"/>
  <c r="AN24" i="15"/>
  <c r="AN25" i="15"/>
  <c r="AN26" i="15"/>
  <c r="AO4" i="14"/>
  <c r="AO5" i="14"/>
  <c r="AO21" i="14"/>
  <c r="AO6" i="14"/>
  <c r="AO22" i="14"/>
  <c r="AO7" i="14"/>
  <c r="AO23" i="14"/>
  <c r="AO8" i="14"/>
  <c r="AO24" i="14"/>
  <c r="AO9" i="14"/>
  <c r="AO10" i="14"/>
  <c r="AO25" i="14"/>
  <c r="AO26" i="14"/>
  <c r="AO11" i="14"/>
  <c r="AO12" i="14"/>
  <c r="AO27" i="14"/>
  <c r="AO28" i="14"/>
  <c r="AO13" i="14"/>
  <c r="AO14" i="14"/>
  <c r="AO29" i="14"/>
  <c r="AO30" i="14"/>
  <c r="AO15" i="14"/>
  <c r="AO16" i="14"/>
  <c r="AO31" i="14"/>
  <c r="AO17" i="14"/>
  <c r="AO32" i="14"/>
  <c r="AO18" i="14"/>
  <c r="AO19" i="14"/>
  <c r="AO20" i="14"/>
  <c r="AN4" i="13"/>
  <c r="AN5" i="13"/>
  <c r="AO3" i="13"/>
  <c r="AN6" i="13"/>
  <c r="AN7" i="13"/>
  <c r="AN8" i="13"/>
  <c r="AN9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G29" i="3"/>
  <c r="Y29" i="9"/>
  <c r="L57" i="9"/>
  <c r="Q29" i="9"/>
  <c r="Y57" i="9"/>
  <c r="O57" i="9"/>
  <c r="I57" i="9"/>
  <c r="X57" i="9"/>
  <c r="W57" i="9"/>
  <c r="AC57" i="9"/>
  <c r="U57" i="9"/>
  <c r="AD29" i="9"/>
  <c r="AB57" i="9"/>
  <c r="T57" i="9"/>
  <c r="M57" i="9"/>
  <c r="AB29" i="9"/>
  <c r="Q57" i="9"/>
  <c r="R57" i="9"/>
  <c r="AA57" i="9"/>
  <c r="G57" i="9"/>
  <c r="P29" i="9"/>
  <c r="AE57" i="9"/>
  <c r="H57" i="9"/>
  <c r="P57" i="9"/>
  <c r="Z57" i="9"/>
  <c r="AD57" i="9"/>
  <c r="V29" i="11"/>
  <c r="U29" i="11"/>
  <c r="S29" i="11"/>
  <c r="O29" i="11"/>
  <c r="AD29" i="11"/>
  <c r="N29" i="11"/>
  <c r="AC29" i="11"/>
  <c r="M29" i="11"/>
  <c r="AA29" i="11"/>
  <c r="K29" i="11"/>
  <c r="W29" i="11"/>
  <c r="G29" i="11"/>
  <c r="AB29" i="11"/>
  <c r="T29" i="11"/>
  <c r="L29" i="11"/>
  <c r="Z29" i="11"/>
  <c r="R29" i="11"/>
  <c r="H29" i="11"/>
  <c r="Y29" i="11"/>
  <c r="Q29" i="11"/>
  <c r="I29" i="11"/>
  <c r="X29" i="11"/>
  <c r="P29" i="11"/>
  <c r="F30" i="11"/>
  <c r="K30" i="11" s="1"/>
  <c r="W30" i="11"/>
  <c r="X30" i="11"/>
  <c r="AD30" i="11"/>
  <c r="AE29" i="11"/>
  <c r="U52" i="11"/>
  <c r="Q81" i="11"/>
  <c r="AG81" i="11"/>
  <c r="T81" i="11"/>
  <c r="X81" i="11"/>
  <c r="AA81" i="11"/>
  <c r="J81" i="11"/>
  <c r="AB81" i="11"/>
  <c r="V81" i="11"/>
  <c r="AE81" i="11"/>
  <c r="M81" i="11"/>
  <c r="AD81" i="11"/>
  <c r="U81" i="11"/>
  <c r="G81" i="11"/>
  <c r="Z81" i="11"/>
  <c r="W52" i="11"/>
  <c r="W53" i="11"/>
  <c r="Q53" i="11"/>
  <c r="L53" i="11"/>
  <c r="AE52" i="11"/>
  <c r="R52" i="11"/>
  <c r="X52" i="11"/>
  <c r="N52" i="11"/>
  <c r="Z52" i="11"/>
  <c r="H52" i="11"/>
  <c r="V52" i="11"/>
  <c r="I52" i="11"/>
  <c r="P52" i="11"/>
  <c r="AC52" i="11"/>
  <c r="AD52" i="11"/>
  <c r="Q52" i="11"/>
  <c r="K52" i="11"/>
  <c r="T52" i="11"/>
  <c r="L52" i="11"/>
  <c r="Y52" i="11"/>
  <c r="S52" i="11"/>
  <c r="X82" i="11"/>
  <c r="K82" i="11"/>
  <c r="H82" i="11"/>
  <c r="AF81" i="11"/>
  <c r="AH3" i="11"/>
  <c r="AG4" i="11"/>
  <c r="AG5" i="11"/>
  <c r="AG6" i="11"/>
  <c r="AG29" i="11"/>
  <c r="AG84" i="11"/>
  <c r="AG58" i="11"/>
  <c r="AG7" i="11"/>
  <c r="AG85" i="11"/>
  <c r="AG30" i="11"/>
  <c r="AG59" i="11"/>
  <c r="AG86" i="11"/>
  <c r="AG60" i="11"/>
  <c r="AG8" i="11"/>
  <c r="AG9" i="11"/>
  <c r="AG61" i="11"/>
  <c r="AG87" i="11"/>
  <c r="AG62" i="11"/>
  <c r="AG10" i="11"/>
  <c r="AG88" i="11"/>
  <c r="AG63" i="11"/>
  <c r="AG11" i="11"/>
  <c r="AG89" i="11"/>
  <c r="AG12" i="11"/>
  <c r="AG64" i="11"/>
  <c r="AG35" i="11"/>
  <c r="AG90" i="11"/>
  <c r="AG13" i="11"/>
  <c r="AG36" i="11"/>
  <c r="AG91" i="11"/>
  <c r="AG65" i="11"/>
  <c r="AG37" i="11"/>
  <c r="AG14" i="11"/>
  <c r="AG92" i="11"/>
  <c r="AG66" i="11"/>
  <c r="AG15" i="11"/>
  <c r="AG67" i="11"/>
  <c r="AG93" i="11"/>
  <c r="AG38" i="11"/>
  <c r="AG68" i="11"/>
  <c r="AG39" i="11"/>
  <c r="AG16" i="11"/>
  <c r="AG94" i="11"/>
  <c r="AG95" i="11"/>
  <c r="AG17" i="11"/>
  <c r="AG69" i="11"/>
  <c r="AG40" i="11"/>
  <c r="AG70" i="11"/>
  <c r="AG18" i="11"/>
  <c r="AG96" i="11"/>
  <c r="AG41" i="11"/>
  <c r="AG97" i="11"/>
  <c r="AG71" i="11"/>
  <c r="AG19" i="11"/>
  <c r="AG42" i="11"/>
  <c r="AG72" i="11"/>
  <c r="AG20" i="11"/>
  <c r="AG98" i="11"/>
  <c r="AG43" i="11"/>
  <c r="AG73" i="11"/>
  <c r="AG99" i="11"/>
  <c r="AG21" i="11"/>
  <c r="AG44" i="11"/>
  <c r="AG45" i="11"/>
  <c r="AG74" i="11"/>
  <c r="AG22" i="11"/>
  <c r="AG100" i="11"/>
  <c r="AG101" i="11"/>
  <c r="AG23" i="11"/>
  <c r="AG75" i="11"/>
  <c r="AG46" i="11"/>
  <c r="AG102" i="11"/>
  <c r="AG24" i="11"/>
  <c r="AG47" i="11"/>
  <c r="AG76" i="11"/>
  <c r="AG103" i="11"/>
  <c r="AG48" i="11"/>
  <c r="AG25" i="11"/>
  <c r="AG77" i="11"/>
  <c r="AG26" i="11"/>
  <c r="AG78" i="11"/>
  <c r="AG49" i="11"/>
  <c r="AG27" i="11"/>
  <c r="AG50" i="11"/>
  <c r="AG79" i="11"/>
  <c r="AG80" i="11"/>
  <c r="AG51" i="11"/>
  <c r="AG28" i="11"/>
  <c r="AB52" i="11"/>
  <c r="AF52" i="11"/>
  <c r="G52" i="11"/>
  <c r="AG52" i="11"/>
  <c r="AA52" i="11"/>
  <c r="M52" i="11"/>
  <c r="O52" i="11"/>
  <c r="H93" i="10"/>
  <c r="V93" i="10"/>
  <c r="J93" i="10"/>
  <c r="Z93" i="10"/>
  <c r="S93" i="10"/>
  <c r="L93" i="10"/>
  <c r="AB93" i="10"/>
  <c r="U56" i="10"/>
  <c r="O56" i="10"/>
  <c r="AB56" i="10"/>
  <c r="AD56" i="10"/>
  <c r="J56" i="10"/>
  <c r="P56" i="10"/>
  <c r="R56" i="10"/>
  <c r="Y56" i="10"/>
  <c r="T56" i="10"/>
  <c r="AA56" i="10"/>
  <c r="AC29" i="10"/>
  <c r="AE29" i="10"/>
  <c r="N29" i="10"/>
  <c r="O29" i="10"/>
  <c r="J29" i="10"/>
  <c r="K29" i="10"/>
  <c r="P29" i="10"/>
  <c r="AF29" i="10"/>
  <c r="L29" i="10"/>
  <c r="V29" i="10"/>
  <c r="X29" i="10"/>
  <c r="I29" i="10"/>
  <c r="T29" i="10"/>
  <c r="AD29" i="10"/>
  <c r="G29" i="10"/>
  <c r="Q29" i="10"/>
  <c r="AB29" i="10"/>
  <c r="Z29" i="10"/>
  <c r="Y29" i="10"/>
  <c r="M29" i="10"/>
  <c r="H29" i="10"/>
  <c r="AG29" i="10"/>
  <c r="AC56" i="10"/>
  <c r="K56" i="10"/>
  <c r="X56" i="10"/>
  <c r="AD93" i="10"/>
  <c r="P93" i="10"/>
  <c r="L56" i="10"/>
  <c r="S56" i="10"/>
  <c r="G56" i="10"/>
  <c r="AF56" i="10"/>
  <c r="K93" i="10"/>
  <c r="M93" i="10"/>
  <c r="X93" i="10"/>
  <c r="U93" i="10"/>
  <c r="G93" i="10"/>
  <c r="AF93" i="10"/>
  <c r="M56" i="10"/>
  <c r="W56" i="10"/>
  <c r="AA93" i="10"/>
  <c r="AC93" i="10"/>
  <c r="O93" i="10"/>
  <c r="G57" i="10"/>
  <c r="AC57" i="10"/>
  <c r="AE56" i="10"/>
  <c r="Q56" i="10"/>
  <c r="AH3" i="10"/>
  <c r="AG5" i="10"/>
  <c r="AG4" i="10"/>
  <c r="AG69" i="10"/>
  <c r="AG33" i="10"/>
  <c r="AG70" i="10"/>
  <c r="AG6" i="10"/>
  <c r="AG7" i="10"/>
  <c r="AG71" i="10"/>
  <c r="AG34" i="10"/>
  <c r="AG8" i="10"/>
  <c r="AG35" i="10"/>
  <c r="AG72" i="10"/>
  <c r="AG36" i="10"/>
  <c r="AG9" i="10"/>
  <c r="AG73" i="10"/>
  <c r="AG10" i="10"/>
  <c r="AG74" i="10"/>
  <c r="AG37" i="10"/>
  <c r="AG38" i="10"/>
  <c r="AG75" i="10"/>
  <c r="AG11" i="10"/>
  <c r="AG39" i="10"/>
  <c r="AG12" i="10"/>
  <c r="AG76" i="10"/>
  <c r="AG13" i="10"/>
  <c r="AG77" i="10"/>
  <c r="AG40" i="10"/>
  <c r="AG14" i="10"/>
  <c r="AG41" i="10"/>
  <c r="AG78" i="10"/>
  <c r="AG79" i="10"/>
  <c r="AG15" i="10"/>
  <c r="AG42" i="10"/>
  <c r="AG16" i="10"/>
  <c r="AG80" i="10"/>
  <c r="AG43" i="10"/>
  <c r="AG17" i="10"/>
  <c r="AG44" i="10"/>
  <c r="AG81" i="10"/>
  <c r="AG18" i="10"/>
  <c r="AG82" i="10"/>
  <c r="AG45" i="10"/>
  <c r="AG46" i="10"/>
  <c r="AG19" i="10"/>
  <c r="AG83" i="10"/>
  <c r="AG84" i="10"/>
  <c r="AG47" i="10"/>
  <c r="AG20" i="10"/>
  <c r="AG48" i="10"/>
  <c r="AG85" i="10"/>
  <c r="AG21" i="10"/>
  <c r="AG86" i="10"/>
  <c r="AG22" i="10"/>
  <c r="AG49" i="10"/>
  <c r="AG23" i="10"/>
  <c r="AG50" i="10"/>
  <c r="AG87" i="10"/>
  <c r="AG88" i="10"/>
  <c r="AG51" i="10"/>
  <c r="AG24" i="10"/>
  <c r="AG52" i="10"/>
  <c r="AG89" i="10"/>
  <c r="AG25" i="10"/>
  <c r="AG26" i="10"/>
  <c r="AG53" i="10"/>
  <c r="AG90" i="10"/>
  <c r="AG54" i="10"/>
  <c r="AG91" i="10"/>
  <c r="AG27" i="10"/>
  <c r="AG55" i="10"/>
  <c r="AG28" i="10"/>
  <c r="AG92" i="10"/>
  <c r="W93" i="10"/>
  <c r="T94" i="10"/>
  <c r="W94" i="10"/>
  <c r="N94" i="10"/>
  <c r="R94" i="10"/>
  <c r="AE93" i="10"/>
  <c r="Q93" i="10"/>
  <c r="J30" i="10"/>
  <c r="AA30" i="10"/>
  <c r="Z56" i="10"/>
  <c r="V56" i="10"/>
  <c r="H56" i="10"/>
  <c r="AG56" i="10"/>
  <c r="R93" i="10"/>
  <c r="T93" i="10"/>
  <c r="N93" i="10"/>
  <c r="Y93" i="10"/>
  <c r="F30" i="9"/>
  <c r="H30" i="9" s="1"/>
  <c r="AE29" i="9"/>
  <c r="W29" i="9"/>
  <c r="AA29" i="9"/>
  <c r="V57" i="9"/>
  <c r="S57" i="9"/>
  <c r="AF4" i="9"/>
  <c r="AF33" i="9"/>
  <c r="AF5" i="9"/>
  <c r="AF6" i="9"/>
  <c r="AF34" i="9"/>
  <c r="AF35" i="9"/>
  <c r="AF7" i="9"/>
  <c r="AF8" i="9"/>
  <c r="AF36" i="9"/>
  <c r="AF37" i="9"/>
  <c r="AF9" i="9"/>
  <c r="AF10" i="9"/>
  <c r="AF38" i="9"/>
  <c r="AF11" i="9"/>
  <c r="AF39" i="9"/>
  <c r="AF12" i="9"/>
  <c r="AF40" i="9"/>
  <c r="AF13" i="9"/>
  <c r="AF41" i="9"/>
  <c r="AF42" i="9"/>
  <c r="AF14" i="9"/>
  <c r="AF15" i="9"/>
  <c r="AF43" i="9"/>
  <c r="AF16" i="9"/>
  <c r="AF44" i="9"/>
  <c r="AF45" i="9"/>
  <c r="AF17" i="9"/>
  <c r="AF46" i="9"/>
  <c r="AF18" i="9"/>
  <c r="AF47" i="9"/>
  <c r="AF19" i="9"/>
  <c r="AF48" i="9"/>
  <c r="AF20" i="9"/>
  <c r="AF21" i="9"/>
  <c r="AF49" i="9"/>
  <c r="AF22" i="9"/>
  <c r="AF50" i="9"/>
  <c r="AF23" i="9"/>
  <c r="AF51" i="9"/>
  <c r="AF52" i="9"/>
  <c r="AF24" i="9"/>
  <c r="AF25" i="9"/>
  <c r="AF53" i="9"/>
  <c r="AF54" i="9"/>
  <c r="AF26" i="9"/>
  <c r="AF55" i="9"/>
  <c r="AF27" i="9"/>
  <c r="AF28" i="9"/>
  <c r="AF56" i="9"/>
  <c r="Z29" i="9"/>
  <c r="AC29" i="9"/>
  <c r="R29" i="9"/>
  <c r="O29" i="9"/>
  <c r="U29" i="9"/>
  <c r="S29" i="9"/>
  <c r="J57" i="9"/>
  <c r="N57" i="9"/>
  <c r="X29" i="9"/>
  <c r="G29" i="9"/>
  <c r="M29" i="9"/>
  <c r="K29" i="9"/>
  <c r="AF57" i="9"/>
  <c r="F58" i="9"/>
  <c r="H58" i="9" s="1"/>
  <c r="Y58" i="9"/>
  <c r="I29" i="9"/>
  <c r="V29" i="9"/>
  <c r="T29" i="9"/>
  <c r="H29" i="9"/>
  <c r="N29" i="9"/>
  <c r="L29" i="9"/>
  <c r="Y29" i="8"/>
  <c r="H29" i="8"/>
  <c r="V29" i="8"/>
  <c r="R29" i="8"/>
  <c r="AF4" i="8"/>
  <c r="AF20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1" i="8"/>
  <c r="AF22" i="8"/>
  <c r="AF23" i="8"/>
  <c r="AF24" i="8"/>
  <c r="AF25" i="8"/>
  <c r="AF26" i="8"/>
  <c r="AF27" i="8"/>
  <c r="AF28" i="8"/>
  <c r="AA29" i="8"/>
  <c r="L29" i="8"/>
  <c r="N29" i="8"/>
  <c r="J29" i="8"/>
  <c r="T29" i="8"/>
  <c r="AE29" i="8"/>
  <c r="Q29" i="8"/>
  <c r="K29" i="8"/>
  <c r="W29" i="8"/>
  <c r="AC29" i="8"/>
  <c r="I29" i="8"/>
  <c r="O29" i="8"/>
  <c r="U29" i="8"/>
  <c r="AF29" i="8"/>
  <c r="G29" i="8"/>
  <c r="M29" i="8"/>
  <c r="X29" i="8"/>
  <c r="AB29" i="8"/>
  <c r="S29" i="8"/>
  <c r="P29" i="8"/>
  <c r="AD29" i="8"/>
  <c r="Z29" i="8"/>
  <c r="J29" i="3"/>
  <c r="X29" i="3"/>
  <c r="P29" i="3"/>
  <c r="AD29" i="3"/>
  <c r="AA29" i="3"/>
  <c r="H29" i="3"/>
  <c r="V29" i="3"/>
  <c r="S29" i="3"/>
  <c r="Y29" i="3"/>
  <c r="N29" i="3"/>
  <c r="K29" i="3"/>
  <c r="Q29" i="3"/>
  <c r="AE29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B29" i="3"/>
  <c r="I29" i="3"/>
  <c r="W29" i="3"/>
  <c r="AC29" i="3"/>
  <c r="T29" i="3"/>
  <c r="Z29" i="3"/>
  <c r="O29" i="3"/>
  <c r="L29" i="3"/>
  <c r="R29" i="3"/>
  <c r="AF29" i="3"/>
  <c r="G29" i="3"/>
  <c r="M29" i="3"/>
  <c r="AG3" i="9"/>
  <c r="F30" i="8"/>
  <c r="AG3" i="8"/>
  <c r="F30" i="3"/>
  <c r="R30" i="3" s="1"/>
  <c r="AL44" i="18" l="1"/>
  <c r="R44" i="18"/>
  <c r="V44" i="18"/>
  <c r="P44" i="18"/>
  <c r="T44" i="18"/>
  <c r="S44" i="18"/>
  <c r="AJ44" i="18"/>
  <c r="J44" i="18"/>
  <c r="AI44" i="18"/>
  <c r="AA44" i="18"/>
  <c r="AK44" i="18"/>
  <c r="AH44" i="18"/>
  <c r="Y44" i="18"/>
  <c r="X44" i="18"/>
  <c r="AD44" i="18"/>
  <c r="Z44" i="18"/>
  <c r="L44" i="18"/>
  <c r="U44" i="18"/>
  <c r="I44" i="18"/>
  <c r="AO44" i="18"/>
  <c r="AG44" i="18"/>
  <c r="G44" i="18"/>
  <c r="H44" i="18"/>
  <c r="AB44" i="18"/>
  <c r="AN44" i="18"/>
  <c r="AF44" i="18"/>
  <c r="N44" i="18"/>
  <c r="K44" i="18"/>
  <c r="Q44" i="18"/>
  <c r="AM44" i="18"/>
  <c r="AE44" i="18"/>
  <c r="AC44" i="18"/>
  <c r="O44" i="18"/>
  <c r="F45" i="18"/>
  <c r="O45" i="18" s="1"/>
  <c r="L58" i="9"/>
  <c r="G58" i="9"/>
  <c r="Z58" i="9"/>
  <c r="AG58" i="9"/>
  <c r="M30" i="9"/>
  <c r="O58" i="9"/>
  <c r="V30" i="9"/>
  <c r="K58" i="9"/>
  <c r="Q30" i="9"/>
  <c r="G30" i="3"/>
  <c r="U30" i="3"/>
  <c r="AO4" i="15"/>
  <c r="AO5" i="15"/>
  <c r="AO27" i="15"/>
  <c r="AO15" i="15"/>
  <c r="AO6" i="15"/>
  <c r="AO16" i="15"/>
  <c r="AO28" i="15"/>
  <c r="AO7" i="15"/>
  <c r="AO29" i="15"/>
  <c r="AO17" i="15"/>
  <c r="AO8" i="15"/>
  <c r="AO18" i="15"/>
  <c r="AO30" i="15"/>
  <c r="AO9" i="15"/>
  <c r="AO19" i="15"/>
  <c r="AO31" i="15"/>
  <c r="AO10" i="15"/>
  <c r="AO20" i="15"/>
  <c r="AO32" i="15"/>
  <c r="AO11" i="15"/>
  <c r="AO12" i="15"/>
  <c r="AO21" i="15"/>
  <c r="AO13" i="15"/>
  <c r="AO22" i="15"/>
  <c r="AO23" i="15"/>
  <c r="AO14" i="15"/>
  <c r="AO24" i="15"/>
  <c r="AO25" i="15"/>
  <c r="AO26" i="15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U30" i="11"/>
  <c r="AC30" i="3"/>
  <c r="O30" i="3"/>
  <c r="P58" i="9"/>
  <c r="N30" i="9"/>
  <c r="T30" i="9"/>
  <c r="S30" i="9"/>
  <c r="K30" i="9"/>
  <c r="Z30" i="9"/>
  <c r="AC58" i="9"/>
  <c r="U30" i="9"/>
  <c r="Y30" i="9"/>
  <c r="I58" i="9"/>
  <c r="AA58" i="9"/>
  <c r="AB30" i="9"/>
  <c r="AF30" i="9"/>
  <c r="AB58" i="9"/>
  <c r="S58" i="9"/>
  <c r="Q58" i="9"/>
  <c r="AF58" i="9"/>
  <c r="AD58" i="9"/>
  <c r="AE58" i="9"/>
  <c r="X58" i="9"/>
  <c r="AE30" i="9"/>
  <c r="R30" i="9"/>
  <c r="S30" i="3"/>
  <c r="M30" i="3"/>
  <c r="I30" i="3"/>
  <c r="AF30" i="3"/>
  <c r="K30" i="3"/>
  <c r="W30" i="3"/>
  <c r="O30" i="11"/>
  <c r="N30" i="11"/>
  <c r="L30" i="11"/>
  <c r="AA30" i="11"/>
  <c r="R30" i="11"/>
  <c r="I30" i="11"/>
  <c r="Z30" i="11"/>
  <c r="P30" i="11"/>
  <c r="J30" i="11"/>
  <c r="AE30" i="11"/>
  <c r="V30" i="11"/>
  <c r="M30" i="11"/>
  <c r="AC30" i="11"/>
  <c r="T30" i="11"/>
  <c r="G30" i="11"/>
  <c r="AB30" i="11"/>
  <c r="S30" i="11"/>
  <c r="H30" i="11"/>
  <c r="Y30" i="11"/>
  <c r="Q30" i="11"/>
  <c r="F31" i="11"/>
  <c r="G31" i="11" s="1"/>
  <c r="AF30" i="11"/>
  <c r="K53" i="11"/>
  <c r="U82" i="11"/>
  <c r="J82" i="11"/>
  <c r="I82" i="11"/>
  <c r="AH82" i="11"/>
  <c r="W82" i="11"/>
  <c r="V82" i="11"/>
  <c r="T82" i="11"/>
  <c r="Y82" i="11"/>
  <c r="Q82" i="11"/>
  <c r="N82" i="11"/>
  <c r="AD82" i="11"/>
  <c r="O82" i="11"/>
  <c r="AE82" i="11"/>
  <c r="AF83" i="11"/>
  <c r="X83" i="11"/>
  <c r="P83" i="11"/>
  <c r="H83" i="11"/>
  <c r="AD83" i="11"/>
  <c r="V83" i="11"/>
  <c r="N83" i="11"/>
  <c r="AB83" i="11"/>
  <c r="T83" i="11"/>
  <c r="L83" i="11"/>
  <c r="AE83" i="11"/>
  <c r="R83" i="11"/>
  <c r="AC83" i="11"/>
  <c r="Q83" i="11"/>
  <c r="AA83" i="11"/>
  <c r="O83" i="11"/>
  <c r="Y83" i="11"/>
  <c r="K83" i="11"/>
  <c r="W83" i="11"/>
  <c r="J83" i="11"/>
  <c r="I83" i="11"/>
  <c r="AH83" i="11"/>
  <c r="AG83" i="11"/>
  <c r="Z83" i="11"/>
  <c r="U83" i="11"/>
  <c r="M83" i="11"/>
  <c r="G83" i="11"/>
  <c r="S83" i="11"/>
  <c r="AG82" i="11"/>
  <c r="AA82" i="11"/>
  <c r="AF82" i="11"/>
  <c r="AB82" i="11"/>
  <c r="AB53" i="11"/>
  <c r="AD53" i="11"/>
  <c r="I53" i="11"/>
  <c r="J53" i="11"/>
  <c r="M53" i="11"/>
  <c r="AF53" i="11"/>
  <c r="R53" i="11"/>
  <c r="U53" i="11"/>
  <c r="G53" i="11"/>
  <c r="AC82" i="11"/>
  <c r="R82" i="11"/>
  <c r="X53" i="11"/>
  <c r="P53" i="11"/>
  <c r="Z53" i="11"/>
  <c r="AC53" i="11"/>
  <c r="O53" i="11"/>
  <c r="AI3" i="11"/>
  <c r="AH4" i="11"/>
  <c r="AH5" i="11"/>
  <c r="AH29" i="11"/>
  <c r="AH84" i="11"/>
  <c r="AH6" i="11"/>
  <c r="AH58" i="11"/>
  <c r="AH59" i="11"/>
  <c r="AH7" i="11"/>
  <c r="AH85" i="11"/>
  <c r="AH30" i="11"/>
  <c r="AH31" i="11"/>
  <c r="AH60" i="11"/>
  <c r="AH8" i="11"/>
  <c r="AH86" i="11"/>
  <c r="AH87" i="11"/>
  <c r="AH9" i="11"/>
  <c r="AH61" i="11"/>
  <c r="AH88" i="11"/>
  <c r="AH10" i="11"/>
  <c r="AH62" i="11"/>
  <c r="AH89" i="11"/>
  <c r="AH63" i="11"/>
  <c r="AH11" i="11"/>
  <c r="AH64" i="11"/>
  <c r="AH12" i="11"/>
  <c r="AH90" i="11"/>
  <c r="AH35" i="11"/>
  <c r="AH65" i="11"/>
  <c r="AH36" i="11"/>
  <c r="AH13" i="11"/>
  <c r="AH91" i="11"/>
  <c r="AH66" i="11"/>
  <c r="AH14" i="11"/>
  <c r="AH37" i="11"/>
  <c r="AH92" i="11"/>
  <c r="AH38" i="11"/>
  <c r="AH67" i="11"/>
  <c r="AH15" i="11"/>
  <c r="AH93" i="11"/>
  <c r="AH94" i="11"/>
  <c r="AH16" i="11"/>
  <c r="AH39" i="11"/>
  <c r="AH68" i="11"/>
  <c r="AH17" i="11"/>
  <c r="AH69" i="11"/>
  <c r="AH95" i="11"/>
  <c r="AH40" i="11"/>
  <c r="AH96" i="11"/>
  <c r="AH41" i="11"/>
  <c r="AH70" i="11"/>
  <c r="AH18" i="11"/>
  <c r="AH19" i="11"/>
  <c r="AH71" i="11"/>
  <c r="AH42" i="11"/>
  <c r="AH97" i="11"/>
  <c r="AH98" i="11"/>
  <c r="AH72" i="11"/>
  <c r="AH20" i="11"/>
  <c r="AH43" i="11"/>
  <c r="AH99" i="11"/>
  <c r="AH73" i="11"/>
  <c r="AH44" i="11"/>
  <c r="AH21" i="11"/>
  <c r="AH100" i="11"/>
  <c r="AH22" i="11"/>
  <c r="AH45" i="11"/>
  <c r="AH74" i="11"/>
  <c r="AH101" i="11"/>
  <c r="AH75" i="11"/>
  <c r="AH46" i="11"/>
  <c r="AH23" i="11"/>
  <c r="AH47" i="11"/>
  <c r="AH24" i="11"/>
  <c r="AH76" i="11"/>
  <c r="AH102" i="11"/>
  <c r="AH77" i="11"/>
  <c r="AH25" i="11"/>
  <c r="AH103" i="11"/>
  <c r="AH48" i="11"/>
  <c r="AH78" i="11"/>
  <c r="AH49" i="11"/>
  <c r="AH26" i="11"/>
  <c r="AH27" i="11"/>
  <c r="AH50" i="11"/>
  <c r="AH79" i="11"/>
  <c r="AH51" i="11"/>
  <c r="AH80" i="11"/>
  <c r="AH28" i="11"/>
  <c r="AH52" i="11"/>
  <c r="AH81" i="11"/>
  <c r="M82" i="11"/>
  <c r="Z82" i="11"/>
  <c r="AG53" i="11"/>
  <c r="AH53" i="11"/>
  <c r="AA54" i="11"/>
  <c r="S54" i="11"/>
  <c r="K54" i="11"/>
  <c r="Z54" i="11"/>
  <c r="AG54" i="11"/>
  <c r="Y54" i="11"/>
  <c r="Q54" i="11"/>
  <c r="W54" i="11"/>
  <c r="G54" i="11"/>
  <c r="AD54" i="11"/>
  <c r="N54" i="11"/>
  <c r="J54" i="11"/>
  <c r="AB54" i="11"/>
  <c r="U54" i="11"/>
  <c r="P54" i="11"/>
  <c r="M54" i="11"/>
  <c r="AF54" i="11"/>
  <c r="AC54" i="11"/>
  <c r="L54" i="11"/>
  <c r="H54" i="11"/>
  <c r="AE53" i="11"/>
  <c r="S82" i="11"/>
  <c r="G82" i="11"/>
  <c r="P82" i="11"/>
  <c r="L82" i="11"/>
  <c r="Y53" i="11"/>
  <c r="S53" i="11"/>
  <c r="N53" i="11"/>
  <c r="H53" i="11"/>
  <c r="T53" i="11"/>
  <c r="AA53" i="11"/>
  <c r="V53" i="11"/>
  <c r="P94" i="10"/>
  <c r="X94" i="10"/>
  <c r="J94" i="10"/>
  <c r="AH94" i="10"/>
  <c r="L94" i="10"/>
  <c r="G94" i="10"/>
  <c r="AF94" i="10"/>
  <c r="I94" i="10"/>
  <c r="V94" i="10"/>
  <c r="J57" i="10"/>
  <c r="AH57" i="10"/>
  <c r="AG57" i="10"/>
  <c r="L57" i="10"/>
  <c r="I57" i="10"/>
  <c r="AF57" i="10"/>
  <c r="X57" i="10"/>
  <c r="R30" i="10"/>
  <c r="N30" i="10"/>
  <c r="G30" i="10"/>
  <c r="AD30" i="10"/>
  <c r="U30" i="10"/>
  <c r="H30" i="10"/>
  <c r="AG30" i="10"/>
  <c r="AF95" i="10"/>
  <c r="X95" i="10"/>
  <c r="G95" i="10"/>
  <c r="AE94" i="10"/>
  <c r="Q94" i="10"/>
  <c r="K94" i="10"/>
  <c r="M94" i="10"/>
  <c r="H57" i="10"/>
  <c r="Q57" i="10"/>
  <c r="O57" i="10"/>
  <c r="K57" i="10"/>
  <c r="M57" i="10"/>
  <c r="K30" i="10"/>
  <c r="Y30" i="10"/>
  <c r="L30" i="10"/>
  <c r="AC30" i="10"/>
  <c r="P30" i="10"/>
  <c r="Y94" i="10"/>
  <c r="S94" i="10"/>
  <c r="U94" i="10"/>
  <c r="AD57" i="10"/>
  <c r="W57" i="10"/>
  <c r="S57" i="10"/>
  <c r="U57" i="10"/>
  <c r="AF30" i="10"/>
  <c r="V30" i="10"/>
  <c r="X30" i="10"/>
  <c r="AD94" i="10"/>
  <c r="H94" i="10"/>
  <c r="AG94" i="10"/>
  <c r="AA94" i="10"/>
  <c r="AC94" i="10"/>
  <c r="N57" i="10"/>
  <c r="V57" i="10"/>
  <c r="AE57" i="10"/>
  <c r="AA57" i="10"/>
  <c r="I31" i="10"/>
  <c r="AE31" i="10"/>
  <c r="O30" i="10"/>
  <c r="S30" i="10"/>
  <c r="I30" i="10"/>
  <c r="AI3" i="10"/>
  <c r="AH4" i="10"/>
  <c r="AH69" i="10"/>
  <c r="AH5" i="10"/>
  <c r="AH6" i="10"/>
  <c r="AH33" i="10"/>
  <c r="AH70" i="10"/>
  <c r="AH71" i="10"/>
  <c r="AH34" i="10"/>
  <c r="AH7" i="10"/>
  <c r="AH72" i="10"/>
  <c r="AH35" i="10"/>
  <c r="AH8" i="10"/>
  <c r="AH36" i="10"/>
  <c r="AH9" i="10"/>
  <c r="AH73" i="10"/>
  <c r="AH37" i="10"/>
  <c r="AH10" i="10"/>
  <c r="AH74" i="10"/>
  <c r="AH75" i="10"/>
  <c r="AH11" i="10"/>
  <c r="AH38" i="10"/>
  <c r="AH76" i="10"/>
  <c r="AH39" i="10"/>
  <c r="AH12" i="10"/>
  <c r="AH13" i="10"/>
  <c r="AH40" i="10"/>
  <c r="AH77" i="10"/>
  <c r="AH14" i="10"/>
  <c r="AH78" i="10"/>
  <c r="AH41" i="10"/>
  <c r="AH15" i="10"/>
  <c r="AH42" i="10"/>
  <c r="AH79" i="10"/>
  <c r="AH80" i="10"/>
  <c r="AH43" i="10"/>
  <c r="AH16" i="10"/>
  <c r="AH81" i="10"/>
  <c r="AH17" i="10"/>
  <c r="AH44" i="10"/>
  <c r="AH18" i="10"/>
  <c r="AH82" i="10"/>
  <c r="AH45" i="10"/>
  <c r="AH19" i="10"/>
  <c r="AH83" i="10"/>
  <c r="AH46" i="10"/>
  <c r="AH20" i="10"/>
  <c r="AH84" i="10"/>
  <c r="AH47" i="10"/>
  <c r="AH85" i="10"/>
  <c r="AH21" i="10"/>
  <c r="AH48" i="10"/>
  <c r="AH22" i="10"/>
  <c r="AH49" i="10"/>
  <c r="AH86" i="10"/>
  <c r="AH87" i="10"/>
  <c r="AH50" i="10"/>
  <c r="AH23" i="10"/>
  <c r="AH51" i="10"/>
  <c r="AH24" i="10"/>
  <c r="AH88" i="10"/>
  <c r="AH52" i="10"/>
  <c r="AH89" i="10"/>
  <c r="AH25" i="10"/>
  <c r="AH90" i="10"/>
  <c r="AH53" i="10"/>
  <c r="AH26" i="10"/>
  <c r="AH91" i="10"/>
  <c r="AH54" i="10"/>
  <c r="AH27" i="10"/>
  <c r="AH28" i="10"/>
  <c r="AH92" i="10"/>
  <c r="AH55" i="10"/>
  <c r="AH56" i="10"/>
  <c r="AH29" i="10"/>
  <c r="AH93" i="10"/>
  <c r="Y58" i="10"/>
  <c r="S58" i="10"/>
  <c r="K58" i="10"/>
  <c r="R57" i="10"/>
  <c r="T57" i="10"/>
  <c r="AB30" i="10"/>
  <c r="W30" i="10"/>
  <c r="AH30" i="10"/>
  <c r="T30" i="10"/>
  <c r="AE30" i="10"/>
  <c r="Q30" i="10"/>
  <c r="O94" i="10"/>
  <c r="Z94" i="10"/>
  <c r="AB94" i="10"/>
  <c r="P57" i="10"/>
  <c r="Y57" i="10"/>
  <c r="Z57" i="10"/>
  <c r="AB57" i="10"/>
  <c r="Z30" i="10"/>
  <c r="M30" i="10"/>
  <c r="N58" i="9"/>
  <c r="U58" i="9"/>
  <c r="R58" i="9"/>
  <c r="V58" i="9"/>
  <c r="M58" i="9"/>
  <c r="J58" i="9"/>
  <c r="G30" i="9"/>
  <c r="I30" i="9"/>
  <c r="W30" i="9"/>
  <c r="AC30" i="9"/>
  <c r="L30" i="9"/>
  <c r="J30" i="9"/>
  <c r="X30" i="9"/>
  <c r="O30" i="9"/>
  <c r="P30" i="9"/>
  <c r="AG4" i="9"/>
  <c r="AG5" i="9"/>
  <c r="AG33" i="9"/>
  <c r="AG6" i="9"/>
  <c r="AG34" i="9"/>
  <c r="AG7" i="9"/>
  <c r="AG35" i="9"/>
  <c r="AG36" i="9"/>
  <c r="AG8" i="9"/>
  <c r="AG9" i="9"/>
  <c r="AG37" i="9"/>
  <c r="AG38" i="9"/>
  <c r="AG10" i="9"/>
  <c r="AG11" i="9"/>
  <c r="AG39" i="9"/>
  <c r="AG40" i="9"/>
  <c r="AG12" i="9"/>
  <c r="AG41" i="9"/>
  <c r="AG13" i="9"/>
  <c r="AG14" i="9"/>
  <c r="AG42" i="9"/>
  <c r="AG43" i="9"/>
  <c r="AG15" i="9"/>
  <c r="AG16" i="9"/>
  <c r="AG44" i="9"/>
  <c r="AG17" i="9"/>
  <c r="AG45" i="9"/>
  <c r="AG46" i="9"/>
  <c r="AG18" i="9"/>
  <c r="AG19" i="9"/>
  <c r="AG47" i="9"/>
  <c r="AG20" i="9"/>
  <c r="AG48" i="9"/>
  <c r="AG49" i="9"/>
  <c r="AG21" i="9"/>
  <c r="AG22" i="9"/>
  <c r="AG50" i="9"/>
  <c r="AG23" i="9"/>
  <c r="AG51" i="9"/>
  <c r="AG52" i="9"/>
  <c r="AG24" i="9"/>
  <c r="AG25" i="9"/>
  <c r="AG53" i="9"/>
  <c r="AG26" i="9"/>
  <c r="AG54" i="9"/>
  <c r="AG55" i="9"/>
  <c r="AG27" i="9"/>
  <c r="AG28" i="9"/>
  <c r="AG56" i="9"/>
  <c r="AG29" i="9"/>
  <c r="AG57" i="9"/>
  <c r="T58" i="9"/>
  <c r="W58" i="9"/>
  <c r="AD30" i="9"/>
  <c r="AA30" i="9"/>
  <c r="AG30" i="9"/>
  <c r="F59" i="9"/>
  <c r="M59" i="9" s="1"/>
  <c r="F31" i="9"/>
  <c r="U31" i="9" s="1"/>
  <c r="X30" i="8"/>
  <c r="V30" i="8"/>
  <c r="AB30" i="8"/>
  <c r="Z30" i="8"/>
  <c r="H30" i="8"/>
  <c r="T30" i="8"/>
  <c r="R30" i="8"/>
  <c r="AG4" i="8"/>
  <c r="AG5" i="8"/>
  <c r="AG20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1" i="8"/>
  <c r="AG22" i="8"/>
  <c r="AG23" i="8"/>
  <c r="AG24" i="8"/>
  <c r="AG25" i="8"/>
  <c r="AG26" i="8"/>
  <c r="AG27" i="8"/>
  <c r="AG28" i="8"/>
  <c r="AG29" i="8"/>
  <c r="P30" i="8"/>
  <c r="Q30" i="8"/>
  <c r="L30" i="8"/>
  <c r="J30" i="8"/>
  <c r="N30" i="8"/>
  <c r="I30" i="8"/>
  <c r="AC30" i="8"/>
  <c r="AA30" i="8"/>
  <c r="AE30" i="8"/>
  <c r="AF30" i="8"/>
  <c r="AG30" i="8"/>
  <c r="U30" i="8"/>
  <c r="S30" i="8"/>
  <c r="W30" i="8"/>
  <c r="Y30" i="8"/>
  <c r="M30" i="8"/>
  <c r="K30" i="8"/>
  <c r="O30" i="8"/>
  <c r="AD30" i="8"/>
  <c r="G30" i="8"/>
  <c r="AD30" i="3"/>
  <c r="AG30" i="3"/>
  <c r="H30" i="3"/>
  <c r="V30" i="3"/>
  <c r="T30" i="3"/>
  <c r="Y30" i="3"/>
  <c r="N30" i="3"/>
  <c r="L30" i="3"/>
  <c r="J30" i="3"/>
  <c r="Q30" i="3"/>
  <c r="AE30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A30" i="3"/>
  <c r="X30" i="3"/>
  <c r="AH30" i="3"/>
  <c r="P30" i="3"/>
  <c r="AB30" i="3"/>
  <c r="Z30" i="3"/>
  <c r="AH3" i="9"/>
  <c r="F31" i="8"/>
  <c r="AE31" i="8" s="1"/>
  <c r="AH3" i="8"/>
  <c r="F31" i="3"/>
  <c r="AK45" i="18" l="1"/>
  <c r="AD45" i="18"/>
  <c r="U45" i="18"/>
  <c r="Q45" i="18"/>
  <c r="R45" i="18"/>
  <c r="AG45" i="18"/>
  <c r="AJ45" i="18"/>
  <c r="I45" i="18"/>
  <c r="AI45" i="18"/>
  <c r="Y45" i="18"/>
  <c r="AL45" i="18"/>
  <c r="X45" i="18"/>
  <c r="S45" i="18"/>
  <c r="AC45" i="18"/>
  <c r="AO45" i="18"/>
  <c r="M45" i="18"/>
  <c r="P45" i="18"/>
  <c r="W45" i="18"/>
  <c r="AA45" i="18"/>
  <c r="T45" i="18"/>
  <c r="AH45" i="18"/>
  <c r="K45" i="18"/>
  <c r="N45" i="18"/>
  <c r="G45" i="18"/>
  <c r="J45" i="18"/>
  <c r="AN45" i="18"/>
  <c r="AF45" i="18"/>
  <c r="H45" i="18"/>
  <c r="L45" i="18"/>
  <c r="AB45" i="18"/>
  <c r="AM45" i="18"/>
  <c r="AE45" i="18"/>
  <c r="Z45" i="18"/>
  <c r="V45" i="18"/>
  <c r="AF31" i="11"/>
  <c r="W31" i="9"/>
  <c r="R31" i="9"/>
  <c r="J31" i="9"/>
  <c r="Y31" i="9"/>
  <c r="M31" i="9"/>
  <c r="W59" i="9"/>
  <c r="Z31" i="9"/>
  <c r="AF31" i="9"/>
  <c r="AD31" i="9"/>
  <c r="V59" i="9"/>
  <c r="Q31" i="9"/>
  <c r="O31" i="9"/>
  <c r="AH59" i="9"/>
  <c r="AA31" i="9"/>
  <c r="X31" i="9"/>
  <c r="V31" i="9"/>
  <c r="S59" i="9"/>
  <c r="S31" i="9"/>
  <c r="P31" i="9"/>
  <c r="N31" i="9"/>
  <c r="R59" i="9"/>
  <c r="AB31" i="9"/>
  <c r="AA59" i="9"/>
  <c r="L31" i="9"/>
  <c r="K31" i="9"/>
  <c r="H31" i="9"/>
  <c r="AC31" i="9"/>
  <c r="J59" i="9"/>
  <c r="I31" i="9"/>
  <c r="G31" i="9"/>
  <c r="T31" i="9"/>
  <c r="AG31" i="9"/>
  <c r="AE31" i="9"/>
  <c r="AE59" i="9"/>
  <c r="AD31" i="11"/>
  <c r="AA31" i="11"/>
  <c r="X31" i="11"/>
  <c r="T31" i="11"/>
  <c r="S31" i="11"/>
  <c r="M31" i="11"/>
  <c r="J31" i="11"/>
  <c r="AC31" i="11"/>
  <c r="P31" i="11"/>
  <c r="AB31" i="11"/>
  <c r="N31" i="11"/>
  <c r="V31" i="11"/>
  <c r="H31" i="11"/>
  <c r="U31" i="11"/>
  <c r="L31" i="11"/>
  <c r="Z31" i="11"/>
  <c r="R31" i="11"/>
  <c r="I31" i="11"/>
  <c r="Y31" i="11"/>
  <c r="Q31" i="11"/>
  <c r="K31" i="11"/>
  <c r="AE31" i="11"/>
  <c r="W31" i="11"/>
  <c r="O31" i="11"/>
  <c r="F32" i="11"/>
  <c r="K32" i="11" s="1"/>
  <c r="AG31" i="11"/>
  <c r="Y55" i="11"/>
  <c r="O55" i="11"/>
  <c r="T55" i="11"/>
  <c r="K55" i="11"/>
  <c r="H55" i="11"/>
  <c r="AD55" i="11"/>
  <c r="AE54" i="11"/>
  <c r="R54" i="11"/>
  <c r="AJ3" i="11"/>
  <c r="AI4" i="11"/>
  <c r="AI5" i="11"/>
  <c r="AI84" i="11"/>
  <c r="AI29" i="11"/>
  <c r="AI6" i="11"/>
  <c r="AI58" i="11"/>
  <c r="AI30" i="11"/>
  <c r="AI7" i="11"/>
  <c r="AI59" i="11"/>
  <c r="AI85" i="11"/>
  <c r="AI8" i="11"/>
  <c r="AI86" i="11"/>
  <c r="AI31" i="11"/>
  <c r="AI60" i="11"/>
  <c r="AI9" i="11"/>
  <c r="AI87" i="11"/>
  <c r="AI61" i="11"/>
  <c r="AI88" i="11"/>
  <c r="AI10" i="11"/>
  <c r="AI62" i="11"/>
  <c r="AI89" i="11"/>
  <c r="AI63" i="11"/>
  <c r="AI11" i="11"/>
  <c r="AI64" i="11"/>
  <c r="AI90" i="11"/>
  <c r="AI12" i="11"/>
  <c r="AI35" i="11"/>
  <c r="AI65" i="11"/>
  <c r="AI91" i="11"/>
  <c r="AI13" i="11"/>
  <c r="AI36" i="11"/>
  <c r="AI92" i="11"/>
  <c r="AI66" i="11"/>
  <c r="AI37" i="11"/>
  <c r="AI14" i="11"/>
  <c r="AI15" i="11"/>
  <c r="AI67" i="11"/>
  <c r="AI38" i="11"/>
  <c r="AI93" i="11"/>
  <c r="AI39" i="11"/>
  <c r="AI68" i="11"/>
  <c r="AI16" i="11"/>
  <c r="AI94" i="11"/>
  <c r="AI40" i="11"/>
  <c r="AI69" i="11"/>
  <c r="AI17" i="11"/>
  <c r="AI95" i="11"/>
  <c r="AI70" i="11"/>
  <c r="AI96" i="11"/>
  <c r="AI18" i="11"/>
  <c r="AI41" i="11"/>
  <c r="AI97" i="11"/>
  <c r="AI42" i="11"/>
  <c r="AI71" i="11"/>
  <c r="AI19" i="11"/>
  <c r="AI72" i="11"/>
  <c r="AI98" i="11"/>
  <c r="AI43" i="11"/>
  <c r="AI20" i="11"/>
  <c r="AI44" i="11"/>
  <c r="AI99" i="11"/>
  <c r="AI21" i="11"/>
  <c r="AI73" i="11"/>
  <c r="AI74" i="11"/>
  <c r="AI45" i="11"/>
  <c r="AI22" i="11"/>
  <c r="AI100" i="11"/>
  <c r="AI101" i="11"/>
  <c r="AI46" i="11"/>
  <c r="AI75" i="11"/>
  <c r="AI23" i="11"/>
  <c r="AI76" i="11"/>
  <c r="AI47" i="11"/>
  <c r="AI102" i="11"/>
  <c r="AI24" i="11"/>
  <c r="AI103" i="11"/>
  <c r="AI48" i="11"/>
  <c r="AI77" i="11"/>
  <c r="AI25" i="11"/>
  <c r="AI26" i="11"/>
  <c r="AI78" i="11"/>
  <c r="AI49" i="11"/>
  <c r="AI50" i="11"/>
  <c r="AI79" i="11"/>
  <c r="AI27" i="11"/>
  <c r="AI28" i="11"/>
  <c r="AI51" i="11"/>
  <c r="AI80" i="11"/>
  <c r="AI52" i="11"/>
  <c r="AI81" i="11"/>
  <c r="AI82" i="11"/>
  <c r="AI53" i="11"/>
  <c r="AI83" i="11"/>
  <c r="V54" i="11"/>
  <c r="I54" i="11"/>
  <c r="AH54" i="11"/>
  <c r="T54" i="11"/>
  <c r="X54" i="11"/>
  <c r="O54" i="11"/>
  <c r="AI54" i="11"/>
  <c r="J95" i="10"/>
  <c r="K95" i="10"/>
  <c r="S95" i="10"/>
  <c r="L95" i="10"/>
  <c r="M95" i="10"/>
  <c r="U95" i="10"/>
  <c r="X58" i="10"/>
  <c r="G58" i="10"/>
  <c r="AF58" i="10"/>
  <c r="U58" i="10"/>
  <c r="G31" i="10"/>
  <c r="T31" i="10"/>
  <c r="AI31" i="10"/>
  <c r="AB31" i="10"/>
  <c r="R31" i="10"/>
  <c r="M31" i="10"/>
  <c r="X31" i="10"/>
  <c r="AC31" i="10"/>
  <c r="AF31" i="10"/>
  <c r="Y31" i="10"/>
  <c r="AD31" i="10"/>
  <c r="O31" i="10"/>
  <c r="K31" i="10"/>
  <c r="H31" i="10"/>
  <c r="Q31" i="10"/>
  <c r="AH31" i="10"/>
  <c r="S31" i="10"/>
  <c r="P31" i="10"/>
  <c r="AG31" i="10"/>
  <c r="U31" i="10"/>
  <c r="J31" i="10"/>
  <c r="Z31" i="10"/>
  <c r="AA31" i="10"/>
  <c r="N31" i="10"/>
  <c r="W31" i="10"/>
  <c r="L31" i="10"/>
  <c r="V31" i="10"/>
  <c r="M58" i="10"/>
  <c r="J58" i="10"/>
  <c r="AE58" i="10"/>
  <c r="AA96" i="10"/>
  <c r="U96" i="10"/>
  <c r="AE95" i="10"/>
  <c r="Q95" i="10"/>
  <c r="T58" i="10"/>
  <c r="AC58" i="10"/>
  <c r="N58" i="10"/>
  <c r="R95" i="10"/>
  <c r="T95" i="10"/>
  <c r="N95" i="10"/>
  <c r="Y95" i="10"/>
  <c r="AB59" i="10"/>
  <c r="Q58" i="10"/>
  <c r="L58" i="10"/>
  <c r="V58" i="10"/>
  <c r="H58" i="10"/>
  <c r="AG58" i="10"/>
  <c r="AH32" i="10"/>
  <c r="Z32" i="10"/>
  <c r="R32" i="10"/>
  <c r="J32" i="10"/>
  <c r="AG32" i="10"/>
  <c r="Y32" i="10"/>
  <c r="Q32" i="10"/>
  <c r="I32" i="10"/>
  <c r="AF32" i="10"/>
  <c r="X32" i="10"/>
  <c r="P32" i="10"/>
  <c r="H32" i="10"/>
  <c r="AE32" i="10"/>
  <c r="W32" i="10"/>
  <c r="O32" i="10"/>
  <c r="G32" i="10"/>
  <c r="AC32" i="10"/>
  <c r="U32" i="10"/>
  <c r="M32" i="10"/>
  <c r="AD32" i="10"/>
  <c r="K32" i="10"/>
  <c r="AB32" i="10"/>
  <c r="AA32" i="10"/>
  <c r="AI32" i="10"/>
  <c r="V32" i="10"/>
  <c r="T32" i="10"/>
  <c r="L32" i="10"/>
  <c r="S32" i="10"/>
  <c r="N32" i="10"/>
  <c r="Z95" i="10"/>
  <c r="AB95" i="10"/>
  <c r="V95" i="10"/>
  <c r="H95" i="10"/>
  <c r="AG95" i="10"/>
  <c r="R58" i="10"/>
  <c r="AH58" i="10"/>
  <c r="AD58" i="10"/>
  <c r="P58" i="10"/>
  <c r="AH95" i="10"/>
  <c r="AD95" i="10"/>
  <c r="P95" i="10"/>
  <c r="Z58" i="10"/>
  <c r="AA58" i="10"/>
  <c r="O58" i="10"/>
  <c r="AA95" i="10"/>
  <c r="AC95" i="10"/>
  <c r="O95" i="10"/>
  <c r="AB58" i="10"/>
  <c r="AI58" i="10"/>
  <c r="W58" i="10"/>
  <c r="I58" i="10"/>
  <c r="AI5" i="10"/>
  <c r="AJ3" i="10"/>
  <c r="AI4" i="10"/>
  <c r="AI69" i="10"/>
  <c r="AI70" i="10"/>
  <c r="AI6" i="10"/>
  <c r="AI33" i="10"/>
  <c r="AI71" i="10"/>
  <c r="AI34" i="10"/>
  <c r="AI7" i="10"/>
  <c r="AI35" i="10"/>
  <c r="AI8" i="10"/>
  <c r="AI72" i="10"/>
  <c r="AI9" i="10"/>
  <c r="AI36" i="10"/>
  <c r="AI73" i="10"/>
  <c r="AI10" i="10"/>
  <c r="AI37" i="10"/>
  <c r="AI74" i="10"/>
  <c r="AI11" i="10"/>
  <c r="AI38" i="10"/>
  <c r="AI75" i="10"/>
  <c r="AI76" i="10"/>
  <c r="AI12" i="10"/>
  <c r="AI39" i="10"/>
  <c r="AI13" i="10"/>
  <c r="AI40" i="10"/>
  <c r="AI77" i="10"/>
  <c r="AI14" i="10"/>
  <c r="AI78" i="10"/>
  <c r="AI41" i="10"/>
  <c r="AI15" i="10"/>
  <c r="AI42" i="10"/>
  <c r="AI79" i="10"/>
  <c r="AI16" i="10"/>
  <c r="AI80" i="10"/>
  <c r="AI43" i="10"/>
  <c r="AI17" i="10"/>
  <c r="AI44" i="10"/>
  <c r="AI81" i="10"/>
  <c r="AI82" i="10"/>
  <c r="AI45" i="10"/>
  <c r="AI18" i="10"/>
  <c r="AI19" i="10"/>
  <c r="AI83" i="10"/>
  <c r="AI46" i="10"/>
  <c r="AI20" i="10"/>
  <c r="AI47" i="10"/>
  <c r="AI84" i="10"/>
  <c r="AI21" i="10"/>
  <c r="AI48" i="10"/>
  <c r="AI85" i="10"/>
  <c r="AI86" i="10"/>
  <c r="AI49" i="10"/>
  <c r="AI22" i="10"/>
  <c r="AI87" i="10"/>
  <c r="AI50" i="10"/>
  <c r="AI23" i="10"/>
  <c r="AI51" i="10"/>
  <c r="AI88" i="10"/>
  <c r="AI24" i="10"/>
  <c r="AI25" i="10"/>
  <c r="AI52" i="10"/>
  <c r="AI89" i="10"/>
  <c r="AI53" i="10"/>
  <c r="AI26" i="10"/>
  <c r="AI90" i="10"/>
  <c r="AI54" i="10"/>
  <c r="AI91" i="10"/>
  <c r="AI27" i="10"/>
  <c r="AI28" i="10"/>
  <c r="AI92" i="10"/>
  <c r="AI55" i="10"/>
  <c r="AI29" i="10"/>
  <c r="AI93" i="10"/>
  <c r="AI56" i="10"/>
  <c r="AI57" i="10"/>
  <c r="AI30" i="10"/>
  <c r="AI94" i="10"/>
  <c r="AI95" i="10"/>
  <c r="W95" i="10"/>
  <c r="I95" i="10"/>
  <c r="K59" i="9"/>
  <c r="AD59" i="9"/>
  <c r="O59" i="9"/>
  <c r="N59" i="9"/>
  <c r="AF59" i="9"/>
  <c r="G59" i="9"/>
  <c r="J32" i="9"/>
  <c r="R32" i="9"/>
  <c r="Z32" i="9"/>
  <c r="AH32" i="9"/>
  <c r="K32" i="9"/>
  <c r="S32" i="9"/>
  <c r="AA32" i="9"/>
  <c r="L32" i="9"/>
  <c r="T32" i="9"/>
  <c r="AB32" i="9"/>
  <c r="M32" i="9"/>
  <c r="U32" i="9"/>
  <c r="AC32" i="9"/>
  <c r="N32" i="9"/>
  <c r="V32" i="9"/>
  <c r="AD32" i="9"/>
  <c r="H32" i="9"/>
  <c r="P32" i="9"/>
  <c r="X32" i="9"/>
  <c r="AF32" i="9"/>
  <c r="W32" i="9"/>
  <c r="Y32" i="9"/>
  <c r="AE32" i="9"/>
  <c r="AG32" i="9"/>
  <c r="G32" i="9"/>
  <c r="O32" i="9"/>
  <c r="Q32" i="9"/>
  <c r="I32" i="9"/>
  <c r="AG59" i="9"/>
  <c r="AB59" i="9"/>
  <c r="X59" i="9"/>
  <c r="Q59" i="9"/>
  <c r="Y59" i="9"/>
  <c r="L59" i="9"/>
  <c r="P59" i="9"/>
  <c r="AC59" i="9"/>
  <c r="AH31" i="9"/>
  <c r="I59" i="9"/>
  <c r="H59" i="9"/>
  <c r="U59" i="9"/>
  <c r="AH4" i="9"/>
  <c r="AH33" i="9"/>
  <c r="AH5" i="9"/>
  <c r="AH6" i="9"/>
  <c r="AH34" i="9"/>
  <c r="AH35" i="9"/>
  <c r="AH7" i="9"/>
  <c r="AH36" i="9"/>
  <c r="AH8" i="9"/>
  <c r="AH9" i="9"/>
  <c r="AH37" i="9"/>
  <c r="AH10" i="9"/>
  <c r="AH38" i="9"/>
  <c r="AH11" i="9"/>
  <c r="AH39" i="9"/>
  <c r="AH40" i="9"/>
  <c r="AH12" i="9"/>
  <c r="AH41" i="9"/>
  <c r="AH13" i="9"/>
  <c r="AH14" i="9"/>
  <c r="AH42" i="9"/>
  <c r="AH15" i="9"/>
  <c r="AH43" i="9"/>
  <c r="AH44" i="9"/>
  <c r="AH16" i="9"/>
  <c r="AH45" i="9"/>
  <c r="AH17" i="9"/>
  <c r="AH18" i="9"/>
  <c r="AH46" i="9"/>
  <c r="AH47" i="9"/>
  <c r="AH19" i="9"/>
  <c r="AH20" i="9"/>
  <c r="AH48" i="9"/>
  <c r="AH21" i="9"/>
  <c r="AH49" i="9"/>
  <c r="AH50" i="9"/>
  <c r="AH22" i="9"/>
  <c r="AH51" i="9"/>
  <c r="AH23" i="9"/>
  <c r="AH24" i="9"/>
  <c r="AH52" i="9"/>
  <c r="AH53" i="9"/>
  <c r="AH25" i="9"/>
  <c r="AH54" i="9"/>
  <c r="AH26" i="9"/>
  <c r="AH27" i="9"/>
  <c r="AH55" i="9"/>
  <c r="AH56" i="9"/>
  <c r="AH28" i="9"/>
  <c r="AH57" i="9"/>
  <c r="AH29" i="9"/>
  <c r="AH58" i="9"/>
  <c r="AH30" i="9"/>
  <c r="T59" i="9"/>
  <c r="Z59" i="9"/>
  <c r="F60" i="9"/>
  <c r="AH60" i="9" s="1"/>
  <c r="AB60" i="9"/>
  <c r="M60" i="9"/>
  <c r="U60" i="9"/>
  <c r="W60" i="9"/>
  <c r="AE60" i="9"/>
  <c r="K60" i="9"/>
  <c r="V60" i="9"/>
  <c r="AD60" i="9"/>
  <c r="H60" i="9"/>
  <c r="N60" i="9"/>
  <c r="AH4" i="8"/>
  <c r="AH5" i="8"/>
  <c r="AH20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1" i="8"/>
  <c r="AH22" i="8"/>
  <c r="AH23" i="8"/>
  <c r="AH24" i="8"/>
  <c r="AH25" i="8"/>
  <c r="AH26" i="8"/>
  <c r="AH27" i="8"/>
  <c r="AH28" i="8"/>
  <c r="AH29" i="8"/>
  <c r="AH30" i="8"/>
  <c r="V31" i="8"/>
  <c r="AA31" i="8"/>
  <c r="Q31" i="8"/>
  <c r="S31" i="8"/>
  <c r="AH31" i="8"/>
  <c r="I31" i="8"/>
  <c r="W31" i="8"/>
  <c r="Z31" i="8"/>
  <c r="O31" i="8"/>
  <c r="K31" i="8"/>
  <c r="R31" i="8"/>
  <c r="AF31" i="8"/>
  <c r="G31" i="8"/>
  <c r="J31" i="8"/>
  <c r="X31" i="8"/>
  <c r="N31" i="8"/>
  <c r="AD31" i="8"/>
  <c r="P31" i="8"/>
  <c r="AB31" i="8"/>
  <c r="U31" i="8"/>
  <c r="M31" i="8"/>
  <c r="AG31" i="8"/>
  <c r="H31" i="8"/>
  <c r="T31" i="8"/>
  <c r="AC31" i="8"/>
  <c r="Y31" i="8"/>
  <c r="L31" i="8"/>
  <c r="V31" i="3"/>
  <c r="AH31" i="3"/>
  <c r="I31" i="3"/>
  <c r="W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N31" i="3"/>
  <c r="AB31" i="3"/>
  <c r="Z31" i="3"/>
  <c r="O31" i="3"/>
  <c r="T31" i="3"/>
  <c r="R31" i="3"/>
  <c r="AF31" i="3"/>
  <c r="G31" i="3"/>
  <c r="AD31" i="3"/>
  <c r="L31" i="3"/>
  <c r="J31" i="3"/>
  <c r="X31" i="3"/>
  <c r="AI31" i="3"/>
  <c r="P31" i="3"/>
  <c r="AC31" i="3"/>
  <c r="AA31" i="3"/>
  <c r="AG31" i="3"/>
  <c r="H31" i="3"/>
  <c r="U31" i="3"/>
  <c r="S31" i="3"/>
  <c r="Y31" i="3"/>
  <c r="M31" i="3"/>
  <c r="K31" i="3"/>
  <c r="Q31" i="3"/>
  <c r="AE31" i="3"/>
  <c r="AI3" i="9"/>
  <c r="AI32" i="9" s="1"/>
  <c r="AI3" i="8"/>
  <c r="F32" i="8"/>
  <c r="F32" i="3"/>
  <c r="AA60" i="9" l="1"/>
  <c r="AG60" i="9"/>
  <c r="T60" i="9"/>
  <c r="S60" i="9"/>
  <c r="Y60" i="9"/>
  <c r="L60" i="9"/>
  <c r="I60" i="9"/>
  <c r="Z60" i="9"/>
  <c r="Q60" i="9"/>
  <c r="G60" i="9"/>
  <c r="R60" i="9"/>
  <c r="P60" i="9"/>
  <c r="AC60" i="9"/>
  <c r="J60" i="9"/>
  <c r="X60" i="9"/>
  <c r="AF60" i="9"/>
  <c r="O60" i="9"/>
  <c r="AI32" i="11"/>
  <c r="AD32" i="11"/>
  <c r="AB32" i="11"/>
  <c r="V32" i="11"/>
  <c r="T32" i="11"/>
  <c r="N32" i="11"/>
  <c r="M32" i="11"/>
  <c r="AA32" i="11"/>
  <c r="S32" i="11"/>
  <c r="G32" i="11"/>
  <c r="Z32" i="11"/>
  <c r="R32" i="11"/>
  <c r="L32" i="11"/>
  <c r="AG32" i="11"/>
  <c r="Y32" i="11"/>
  <c r="Q32" i="11"/>
  <c r="I32" i="11"/>
  <c r="AF32" i="11"/>
  <c r="X32" i="11"/>
  <c r="P32" i="11"/>
  <c r="H32" i="11"/>
  <c r="AE32" i="11"/>
  <c r="W32" i="11"/>
  <c r="O32" i="11"/>
  <c r="F33" i="11"/>
  <c r="M33" i="11" s="1"/>
  <c r="AH32" i="11"/>
  <c r="AC32" i="11"/>
  <c r="U32" i="11"/>
  <c r="J32" i="11"/>
  <c r="V55" i="11"/>
  <c r="N55" i="11"/>
  <c r="I55" i="11"/>
  <c r="AA55" i="11"/>
  <c r="S55" i="11"/>
  <c r="G55" i="11"/>
  <c r="AI55" i="11"/>
  <c r="AC55" i="11"/>
  <c r="Q55" i="11"/>
  <c r="U55" i="11"/>
  <c r="AH55" i="11"/>
  <c r="AG55" i="11"/>
  <c r="AJ4" i="11"/>
  <c r="AK3" i="11"/>
  <c r="AK9" i="11" s="1"/>
  <c r="AJ5" i="11"/>
  <c r="AJ6" i="11"/>
  <c r="AJ29" i="11"/>
  <c r="AJ84" i="11"/>
  <c r="AJ58" i="11"/>
  <c r="AJ85" i="11"/>
  <c r="AJ7" i="11"/>
  <c r="AJ30" i="11"/>
  <c r="AJ59" i="11"/>
  <c r="AJ60" i="11"/>
  <c r="AJ8" i="11"/>
  <c r="AJ86" i="11"/>
  <c r="AJ31" i="11"/>
  <c r="AJ61" i="11"/>
  <c r="AJ87" i="11"/>
  <c r="AJ9" i="11"/>
  <c r="AJ32" i="11"/>
  <c r="AJ62" i="11"/>
  <c r="AJ88" i="11"/>
  <c r="AJ10" i="11"/>
  <c r="AJ33" i="11"/>
  <c r="AJ63" i="11"/>
  <c r="AJ11" i="11"/>
  <c r="AJ89" i="11"/>
  <c r="AJ35" i="11"/>
  <c r="AJ64" i="11"/>
  <c r="AJ90" i="11"/>
  <c r="AJ12" i="11"/>
  <c r="AJ91" i="11"/>
  <c r="AJ13" i="11"/>
  <c r="AJ65" i="11"/>
  <c r="AJ36" i="11"/>
  <c r="AJ66" i="11"/>
  <c r="AJ92" i="11"/>
  <c r="AJ14" i="11"/>
  <c r="AJ37" i="11"/>
  <c r="AJ38" i="11"/>
  <c r="AJ67" i="11"/>
  <c r="AJ15" i="11"/>
  <c r="AJ93" i="11"/>
  <c r="AJ94" i="11"/>
  <c r="AJ68" i="11"/>
  <c r="AJ39" i="11"/>
  <c r="AJ16" i="11"/>
  <c r="AJ95" i="11"/>
  <c r="AJ17" i="11"/>
  <c r="AJ40" i="11"/>
  <c r="AJ69" i="11"/>
  <c r="AJ96" i="11"/>
  <c r="AJ18" i="11"/>
  <c r="AJ70" i="11"/>
  <c r="AJ41" i="11"/>
  <c r="AJ42" i="11"/>
  <c r="AJ19" i="11"/>
  <c r="AJ71" i="11"/>
  <c r="AJ97" i="11"/>
  <c r="AJ98" i="11"/>
  <c r="AJ20" i="11"/>
  <c r="AJ72" i="11"/>
  <c r="AJ43" i="11"/>
  <c r="AJ21" i="11"/>
  <c r="AJ73" i="11"/>
  <c r="AJ44" i="11"/>
  <c r="AJ99" i="11"/>
  <c r="AJ100" i="11"/>
  <c r="AJ45" i="11"/>
  <c r="AJ22" i="11"/>
  <c r="AJ74" i="11"/>
  <c r="AJ23" i="11"/>
  <c r="AJ46" i="11"/>
  <c r="AJ101" i="11"/>
  <c r="AJ75" i="11"/>
  <c r="AJ47" i="11"/>
  <c r="AJ76" i="11"/>
  <c r="AJ102" i="11"/>
  <c r="AJ24" i="11"/>
  <c r="AJ48" i="11"/>
  <c r="AJ25" i="11"/>
  <c r="AJ77" i="11"/>
  <c r="AJ103" i="11"/>
  <c r="AJ78" i="11"/>
  <c r="AJ26" i="11"/>
  <c r="AJ49" i="11"/>
  <c r="AJ27" i="11"/>
  <c r="AJ50" i="11"/>
  <c r="AJ79" i="11"/>
  <c r="AJ51" i="11"/>
  <c r="AJ28" i="11"/>
  <c r="AJ80" i="11"/>
  <c r="AJ81" i="11"/>
  <c r="AJ52" i="11"/>
  <c r="AJ53" i="11"/>
  <c r="AJ82" i="11"/>
  <c r="AJ83" i="11"/>
  <c r="AJ54" i="11"/>
  <c r="P55" i="11"/>
  <c r="Z55" i="11"/>
  <c r="R55" i="11"/>
  <c r="M55" i="11"/>
  <c r="W55" i="11"/>
  <c r="X55" i="11"/>
  <c r="L55" i="11"/>
  <c r="AE55" i="11"/>
  <c r="J55" i="11"/>
  <c r="AF55" i="11"/>
  <c r="X56" i="11"/>
  <c r="AB55" i="11"/>
  <c r="AJ55" i="11"/>
  <c r="Z96" i="10"/>
  <c r="AB96" i="10"/>
  <c r="AC96" i="10"/>
  <c r="O96" i="10"/>
  <c r="H96" i="10"/>
  <c r="AG96" i="10"/>
  <c r="X59" i="10"/>
  <c r="K59" i="10"/>
  <c r="J59" i="10"/>
  <c r="Y59" i="10"/>
  <c r="AH59" i="10"/>
  <c r="I59" i="10"/>
  <c r="AI59" i="10"/>
  <c r="AF59" i="10"/>
  <c r="L59" i="10"/>
  <c r="P59" i="10"/>
  <c r="M59" i="10"/>
  <c r="AJ59" i="10"/>
  <c r="G59" i="10"/>
  <c r="O59" i="10"/>
  <c r="W96" i="10"/>
  <c r="I96" i="10"/>
  <c r="AH96" i="10"/>
  <c r="AJ96" i="10"/>
  <c r="H59" i="10"/>
  <c r="Q59" i="10"/>
  <c r="R59" i="10"/>
  <c r="T59" i="10"/>
  <c r="V96" i="10"/>
  <c r="AE96" i="10"/>
  <c r="Q96" i="10"/>
  <c r="K96" i="10"/>
  <c r="M96" i="10"/>
  <c r="AD59" i="10"/>
  <c r="Z59" i="10"/>
  <c r="AD96" i="10"/>
  <c r="Y96" i="10"/>
  <c r="S96" i="10"/>
  <c r="AJ5" i="10"/>
  <c r="AJ4" i="10"/>
  <c r="AK3" i="10"/>
  <c r="AJ69" i="10"/>
  <c r="AJ6" i="10"/>
  <c r="AJ33" i="10"/>
  <c r="AJ70" i="10"/>
  <c r="AJ7" i="10"/>
  <c r="AJ71" i="10"/>
  <c r="AJ34" i="10"/>
  <c r="AJ8" i="10"/>
  <c r="AJ35" i="10"/>
  <c r="AJ72" i="10"/>
  <c r="AJ36" i="10"/>
  <c r="AJ9" i="10"/>
  <c r="AJ73" i="10"/>
  <c r="AJ37" i="10"/>
  <c r="AJ10" i="10"/>
  <c r="AJ74" i="10"/>
  <c r="AJ75" i="10"/>
  <c r="AJ38" i="10"/>
  <c r="AJ11" i="10"/>
  <c r="AJ39" i="10"/>
  <c r="AJ12" i="10"/>
  <c r="AJ76" i="10"/>
  <c r="AJ40" i="10"/>
  <c r="AJ13" i="10"/>
  <c r="AJ77" i="10"/>
  <c r="AJ78" i="10"/>
  <c r="AJ41" i="10"/>
  <c r="AJ14" i="10"/>
  <c r="AJ42" i="10"/>
  <c r="AJ79" i="10"/>
  <c r="AJ15" i="10"/>
  <c r="AJ16" i="10"/>
  <c r="AJ43" i="10"/>
  <c r="AJ80" i="10"/>
  <c r="AJ81" i="10"/>
  <c r="AJ44" i="10"/>
  <c r="AJ17" i="10"/>
  <c r="AJ82" i="10"/>
  <c r="AJ45" i="10"/>
  <c r="AJ18" i="10"/>
  <c r="AJ46" i="10"/>
  <c r="AJ19" i="10"/>
  <c r="AJ83" i="10"/>
  <c r="AJ20" i="10"/>
  <c r="AJ84" i="10"/>
  <c r="AJ47" i="10"/>
  <c r="AJ48" i="10"/>
  <c r="AJ21" i="10"/>
  <c r="AJ85" i="10"/>
  <c r="AJ22" i="10"/>
  <c r="AJ49" i="10"/>
  <c r="AJ86" i="10"/>
  <c r="AJ50" i="10"/>
  <c r="AJ87" i="10"/>
  <c r="AJ23" i="10"/>
  <c r="AJ51" i="10"/>
  <c r="AJ24" i="10"/>
  <c r="AJ88" i="10"/>
  <c r="AJ89" i="10"/>
  <c r="AJ52" i="10"/>
  <c r="AJ25" i="10"/>
  <c r="AJ53" i="10"/>
  <c r="AJ90" i="10"/>
  <c r="AJ26" i="10"/>
  <c r="AJ54" i="10"/>
  <c r="AJ91" i="10"/>
  <c r="AJ27" i="10"/>
  <c r="AJ92" i="10"/>
  <c r="AJ55" i="10"/>
  <c r="AJ28" i="10"/>
  <c r="AJ56" i="10"/>
  <c r="AJ29" i="10"/>
  <c r="AJ93" i="10"/>
  <c r="AJ57" i="10"/>
  <c r="AJ30" i="10"/>
  <c r="AJ94" i="10"/>
  <c r="AJ31" i="10"/>
  <c r="AJ95" i="10"/>
  <c r="AJ58" i="10"/>
  <c r="I97" i="10"/>
  <c r="W97" i="10"/>
  <c r="AK97" i="10"/>
  <c r="L97" i="10"/>
  <c r="AI97" i="10"/>
  <c r="P96" i="10"/>
  <c r="AI96" i="10"/>
  <c r="AJ32" i="10"/>
  <c r="X60" i="10"/>
  <c r="N59" i="10"/>
  <c r="W59" i="10"/>
  <c r="S59" i="10"/>
  <c r="U59" i="10"/>
  <c r="N96" i="10"/>
  <c r="X96" i="10"/>
  <c r="J96" i="10"/>
  <c r="L96" i="10"/>
  <c r="V59" i="10"/>
  <c r="AG59" i="10"/>
  <c r="AE59" i="10"/>
  <c r="AA59" i="10"/>
  <c r="AC59" i="10"/>
  <c r="G96" i="10"/>
  <c r="AF96" i="10"/>
  <c r="R96" i="10"/>
  <c r="T96" i="10"/>
  <c r="F61" i="9"/>
  <c r="G61" i="9" s="1"/>
  <c r="AI4" i="9"/>
  <c r="AI5" i="9"/>
  <c r="AI33" i="9"/>
  <c r="AI6" i="9"/>
  <c r="AI34" i="9"/>
  <c r="AI35" i="9"/>
  <c r="AI7" i="9"/>
  <c r="AI36" i="9"/>
  <c r="AI8" i="9"/>
  <c r="AI9" i="9"/>
  <c r="AI37" i="9"/>
  <c r="AI10" i="9"/>
  <c r="AI38" i="9"/>
  <c r="AI39" i="9"/>
  <c r="AI11" i="9"/>
  <c r="AI12" i="9"/>
  <c r="AI40" i="9"/>
  <c r="AI41" i="9"/>
  <c r="AI13" i="9"/>
  <c r="AI42" i="9"/>
  <c r="AI14" i="9"/>
  <c r="AI15" i="9"/>
  <c r="AI43" i="9"/>
  <c r="AI16" i="9"/>
  <c r="AI44" i="9"/>
  <c r="AI17" i="9"/>
  <c r="AI45" i="9"/>
  <c r="AI18" i="9"/>
  <c r="AI46" i="9"/>
  <c r="AI47" i="9"/>
  <c r="AI19" i="9"/>
  <c r="AI48" i="9"/>
  <c r="AI20" i="9"/>
  <c r="AI49" i="9"/>
  <c r="AI21" i="9"/>
  <c r="AI22" i="9"/>
  <c r="AI50" i="9"/>
  <c r="AI23" i="9"/>
  <c r="AI51" i="9"/>
  <c r="AI24" i="9"/>
  <c r="AI52" i="9"/>
  <c r="AI25" i="9"/>
  <c r="AI53" i="9"/>
  <c r="AI26" i="9"/>
  <c r="AI54" i="9"/>
  <c r="AI27" i="9"/>
  <c r="AI55" i="9"/>
  <c r="AI28" i="9"/>
  <c r="AI56" i="9"/>
  <c r="AI57" i="9"/>
  <c r="AI29" i="9"/>
  <c r="AI30" i="9"/>
  <c r="AI58" i="9"/>
  <c r="AI59" i="9"/>
  <c r="AI31" i="9"/>
  <c r="AI60" i="9"/>
  <c r="Z32" i="8"/>
  <c r="P32" i="8"/>
  <c r="I32" i="8"/>
  <c r="X32" i="8"/>
  <c r="AH32" i="8"/>
  <c r="AD32" i="8"/>
  <c r="AB32" i="8"/>
  <c r="R32" i="8"/>
  <c r="K32" i="8"/>
  <c r="V32" i="8"/>
  <c r="T32" i="8"/>
  <c r="J32" i="8"/>
  <c r="N32" i="8"/>
  <c r="L32" i="8"/>
  <c r="H32" i="8"/>
  <c r="AE32" i="8"/>
  <c r="AF32" i="8"/>
  <c r="W32" i="8"/>
  <c r="AC32" i="8"/>
  <c r="AG32" i="8"/>
  <c r="AI4" i="8"/>
  <c r="AI20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1" i="8"/>
  <c r="AI22" i="8"/>
  <c r="AI23" i="8"/>
  <c r="AI24" i="8"/>
  <c r="AI25" i="8"/>
  <c r="AI26" i="8"/>
  <c r="AI27" i="8"/>
  <c r="AI28" i="8"/>
  <c r="AI29" i="8"/>
  <c r="AI30" i="8"/>
  <c r="AI31" i="8"/>
  <c r="S32" i="8"/>
  <c r="O32" i="8"/>
  <c r="U32" i="8"/>
  <c r="Y32" i="8"/>
  <c r="AA32" i="8"/>
  <c r="AI32" i="8"/>
  <c r="G32" i="8"/>
  <c r="M32" i="8"/>
  <c r="Q32" i="8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K32" i="3"/>
  <c r="Q32" i="3"/>
  <c r="AE32" i="3"/>
  <c r="AH32" i="3"/>
  <c r="I32" i="3"/>
  <c r="W32" i="3"/>
  <c r="AC32" i="3"/>
  <c r="Z32" i="3"/>
  <c r="O32" i="3"/>
  <c r="U32" i="3"/>
  <c r="R32" i="3"/>
  <c r="AF32" i="3"/>
  <c r="G32" i="3"/>
  <c r="M32" i="3"/>
  <c r="J32" i="3"/>
  <c r="X32" i="3"/>
  <c r="AJ32" i="3"/>
  <c r="AI32" i="3"/>
  <c r="P32" i="3"/>
  <c r="AD32" i="3"/>
  <c r="AB32" i="3"/>
  <c r="AA32" i="3"/>
  <c r="AG32" i="3"/>
  <c r="H32" i="3"/>
  <c r="V32" i="3"/>
  <c r="T32" i="3"/>
  <c r="S32" i="3"/>
  <c r="Y32" i="3"/>
  <c r="N32" i="3"/>
  <c r="L32" i="3"/>
  <c r="AJ3" i="9"/>
  <c r="F33" i="8"/>
  <c r="V33" i="8" s="1"/>
  <c r="AJ3" i="8"/>
  <c r="F33" i="3"/>
  <c r="Q33" i="3" s="1"/>
  <c r="AJ34" i="11" l="1"/>
  <c r="AJ61" i="9"/>
  <c r="Z33" i="11"/>
  <c r="AJ33" i="8"/>
  <c r="L61" i="9"/>
  <c r="Y61" i="9"/>
  <c r="Q61" i="9"/>
  <c r="P61" i="9"/>
  <c r="M61" i="9"/>
  <c r="T61" i="9"/>
  <c r="AK33" i="3"/>
  <c r="AA33" i="11"/>
  <c r="U33" i="11"/>
  <c r="T33" i="11"/>
  <c r="W33" i="11"/>
  <c r="AE33" i="11"/>
  <c r="R33" i="11"/>
  <c r="AD33" i="11"/>
  <c r="O33" i="11"/>
  <c r="AB33" i="11"/>
  <c r="I33" i="11"/>
  <c r="H33" i="11"/>
  <c r="AH33" i="11"/>
  <c r="V33" i="11"/>
  <c r="N33" i="11"/>
  <c r="AI33" i="11"/>
  <c r="J33" i="11"/>
  <c r="G33" i="11"/>
  <c r="AC33" i="11"/>
  <c r="S33" i="11"/>
  <c r="L33" i="11"/>
  <c r="AG33" i="11"/>
  <c r="Y33" i="11"/>
  <c r="Q33" i="11"/>
  <c r="K33" i="11"/>
  <c r="AF33" i="11"/>
  <c r="X33" i="11"/>
  <c r="P33" i="11"/>
  <c r="M34" i="11"/>
  <c r="I34" i="11"/>
  <c r="J34" i="11"/>
  <c r="G34" i="11"/>
  <c r="H34" i="11"/>
  <c r="O34" i="11"/>
  <c r="L34" i="11"/>
  <c r="K34" i="11"/>
  <c r="N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Z56" i="11"/>
  <c r="G56" i="11"/>
  <c r="AC56" i="11"/>
  <c r="AG56" i="11"/>
  <c r="AJ56" i="11"/>
  <c r="P56" i="11"/>
  <c r="AA56" i="11"/>
  <c r="W56" i="11"/>
  <c r="AK56" i="11"/>
  <c r="I56" i="11"/>
  <c r="K56" i="11"/>
  <c r="Y56" i="11"/>
  <c r="V56" i="11"/>
  <c r="AE56" i="11"/>
  <c r="L56" i="11"/>
  <c r="AD56" i="11"/>
  <c r="Q56" i="11"/>
  <c r="AB56" i="11"/>
  <c r="H56" i="11"/>
  <c r="J56" i="11"/>
  <c r="R56" i="11"/>
  <c r="S56" i="11"/>
  <c r="U56" i="11"/>
  <c r="AJ57" i="11"/>
  <c r="AB57" i="11"/>
  <c r="T57" i="11"/>
  <c r="L57" i="11"/>
  <c r="AH57" i="11"/>
  <c r="Z57" i="11"/>
  <c r="R57" i="11"/>
  <c r="J57" i="11"/>
  <c r="AG57" i="11"/>
  <c r="Y57" i="11"/>
  <c r="Q57" i="11"/>
  <c r="I57" i="11"/>
  <c r="AF57" i="11"/>
  <c r="X57" i="11"/>
  <c r="P57" i="11"/>
  <c r="H57" i="11"/>
  <c r="AK57" i="11"/>
  <c r="U57" i="11"/>
  <c r="AI57" i="11"/>
  <c r="S57" i="11"/>
  <c r="AE57" i="11"/>
  <c r="O57" i="11"/>
  <c r="AC57" i="11"/>
  <c r="M57" i="11"/>
  <c r="AA57" i="11"/>
  <c r="K57" i="11"/>
  <c r="V57" i="11"/>
  <c r="N57" i="11"/>
  <c r="G57" i="11"/>
  <c r="W57" i="11"/>
  <c r="AD57" i="11"/>
  <c r="AF56" i="11"/>
  <c r="AH56" i="11"/>
  <c r="AI56" i="11"/>
  <c r="T56" i="11"/>
  <c r="N56" i="11"/>
  <c r="O56" i="11"/>
  <c r="M56" i="11"/>
  <c r="AK4" i="11"/>
  <c r="AL3" i="11"/>
  <c r="AK5" i="11"/>
  <c r="AK29" i="11"/>
  <c r="AK58" i="11"/>
  <c r="AK6" i="11"/>
  <c r="AK84" i="11"/>
  <c r="AK30" i="11"/>
  <c r="AK59" i="11"/>
  <c r="AK7" i="11"/>
  <c r="AK85" i="11"/>
  <c r="AK31" i="11"/>
  <c r="AK86" i="11"/>
  <c r="AK60" i="11"/>
  <c r="AK8" i="11"/>
  <c r="AK61" i="11"/>
  <c r="AK87" i="11"/>
  <c r="AK32" i="11"/>
  <c r="AK88" i="11"/>
  <c r="AK10" i="11"/>
  <c r="AK62" i="11"/>
  <c r="AK33" i="11"/>
  <c r="AK89" i="11"/>
  <c r="AK11" i="11"/>
  <c r="AK63" i="11"/>
  <c r="AK34" i="11"/>
  <c r="AK35" i="11"/>
  <c r="AK90" i="11"/>
  <c r="AK12" i="11"/>
  <c r="AK64" i="11"/>
  <c r="AK91" i="11"/>
  <c r="AK65" i="11"/>
  <c r="AK13" i="11"/>
  <c r="AK36" i="11"/>
  <c r="AK14" i="11"/>
  <c r="AK37" i="11"/>
  <c r="AK92" i="11"/>
  <c r="AK66" i="11"/>
  <c r="AK38" i="11"/>
  <c r="AK15" i="11"/>
  <c r="AK67" i="11"/>
  <c r="AK93" i="11"/>
  <c r="AK16" i="11"/>
  <c r="AK39" i="11"/>
  <c r="AK94" i="11"/>
  <c r="AK68" i="11"/>
  <c r="AK17" i="11"/>
  <c r="AK95" i="11"/>
  <c r="AK40" i="11"/>
  <c r="AK69" i="11"/>
  <c r="AK41" i="11"/>
  <c r="AK18" i="11"/>
  <c r="AK96" i="11"/>
  <c r="AK70" i="11"/>
  <c r="AK42" i="11"/>
  <c r="AK97" i="11"/>
  <c r="AK19" i="11"/>
  <c r="AK71" i="11"/>
  <c r="AK43" i="11"/>
  <c r="AK72" i="11"/>
  <c r="AK98" i="11"/>
  <c r="AK20" i="11"/>
  <c r="AK44" i="11"/>
  <c r="AK21" i="11"/>
  <c r="AK73" i="11"/>
  <c r="AK99" i="11"/>
  <c r="AK45" i="11"/>
  <c r="AK22" i="11"/>
  <c r="AK74" i="11"/>
  <c r="AK100" i="11"/>
  <c r="AK101" i="11"/>
  <c r="AK75" i="11"/>
  <c r="AK46" i="11"/>
  <c r="AK23" i="11"/>
  <c r="AK76" i="11"/>
  <c r="AK102" i="11"/>
  <c r="AK47" i="11"/>
  <c r="AK24" i="11"/>
  <c r="AK77" i="11"/>
  <c r="AK103" i="11"/>
  <c r="AK48" i="11"/>
  <c r="AK25" i="11"/>
  <c r="AK49" i="11"/>
  <c r="AK26" i="11"/>
  <c r="AK78" i="11"/>
  <c r="AK27" i="11"/>
  <c r="AK79" i="11"/>
  <c r="AK50" i="11"/>
  <c r="AK51" i="11"/>
  <c r="AK80" i="11"/>
  <c r="AK28" i="11"/>
  <c r="AK52" i="11"/>
  <c r="AK81" i="11"/>
  <c r="AK53" i="11"/>
  <c r="AK82" i="11"/>
  <c r="AK54" i="11"/>
  <c r="AK83" i="11"/>
  <c r="AK55" i="11"/>
  <c r="AJ97" i="10"/>
  <c r="AD97" i="10"/>
  <c r="J97" i="10"/>
  <c r="P97" i="10"/>
  <c r="AH97" i="10"/>
  <c r="X97" i="10"/>
  <c r="M97" i="10"/>
  <c r="K97" i="10"/>
  <c r="I60" i="10"/>
  <c r="K60" i="10"/>
  <c r="W60" i="10"/>
  <c r="J60" i="10"/>
  <c r="S60" i="10"/>
  <c r="P60" i="10"/>
  <c r="AH60" i="10"/>
  <c r="AC60" i="10"/>
  <c r="AI60" i="10"/>
  <c r="AF60" i="10"/>
  <c r="R60" i="10"/>
  <c r="V60" i="10"/>
  <c r="AG60" i="10"/>
  <c r="AK60" i="10"/>
  <c r="AD60" i="10"/>
  <c r="G60" i="10"/>
  <c r="AJ60" i="10"/>
  <c r="U60" i="10"/>
  <c r="L60" i="10"/>
  <c r="Z60" i="10"/>
  <c r="O60" i="10"/>
  <c r="M60" i="10"/>
  <c r="AA60" i="10"/>
  <c r="H60" i="10"/>
  <c r="AE97" i="10"/>
  <c r="Q97" i="10"/>
  <c r="W61" i="10"/>
  <c r="AE60" i="10"/>
  <c r="Q60" i="10"/>
  <c r="R97" i="10"/>
  <c r="T97" i="10"/>
  <c r="N97" i="10"/>
  <c r="Y97" i="10"/>
  <c r="AB60" i="10"/>
  <c r="T60" i="10"/>
  <c r="N60" i="10"/>
  <c r="Y60" i="10"/>
  <c r="Z97" i="10"/>
  <c r="AB97" i="10"/>
  <c r="V97" i="10"/>
  <c r="H97" i="10"/>
  <c r="AG97" i="10"/>
  <c r="AK4" i="10"/>
  <c r="AK5" i="10"/>
  <c r="AL3" i="10"/>
  <c r="AK69" i="10"/>
  <c r="AK33" i="10"/>
  <c r="AK6" i="10"/>
  <c r="AK70" i="10"/>
  <c r="AK7" i="10"/>
  <c r="AK71" i="10"/>
  <c r="AK34" i="10"/>
  <c r="AK35" i="10"/>
  <c r="AK72" i="10"/>
  <c r="AK8" i="10"/>
  <c r="AK9" i="10"/>
  <c r="AK36" i="10"/>
  <c r="AK73" i="10"/>
  <c r="AK74" i="10"/>
  <c r="AK37" i="10"/>
  <c r="AK10" i="10"/>
  <c r="AK75" i="10"/>
  <c r="AK38" i="10"/>
  <c r="AK11" i="10"/>
  <c r="AK39" i="10"/>
  <c r="AK12" i="10"/>
  <c r="AK76" i="10"/>
  <c r="AK13" i="10"/>
  <c r="AK40" i="10"/>
  <c r="AK77" i="10"/>
  <c r="AK41" i="10"/>
  <c r="AK78" i="10"/>
  <c r="AK14" i="10"/>
  <c r="AK79" i="10"/>
  <c r="AK42" i="10"/>
  <c r="AK15" i="10"/>
  <c r="AK16" i="10"/>
  <c r="AK80" i="10"/>
  <c r="AK43" i="10"/>
  <c r="AK17" i="10"/>
  <c r="AK81" i="10"/>
  <c r="AK44" i="10"/>
  <c r="AK45" i="10"/>
  <c r="AK82" i="10"/>
  <c r="AK18" i="10"/>
  <c r="AK46" i="10"/>
  <c r="AK83" i="10"/>
  <c r="AK19" i="10"/>
  <c r="AK47" i="10"/>
  <c r="AK84" i="10"/>
  <c r="AK20" i="10"/>
  <c r="AK48" i="10"/>
  <c r="AK21" i="10"/>
  <c r="AK85" i="10"/>
  <c r="AK86" i="10"/>
  <c r="AK22" i="10"/>
  <c r="AK49" i="10"/>
  <c r="AK87" i="10"/>
  <c r="AK23" i="10"/>
  <c r="AK50" i="10"/>
  <c r="AK88" i="10"/>
  <c r="AK51" i="10"/>
  <c r="AK24" i="10"/>
  <c r="AK25" i="10"/>
  <c r="AK89" i="10"/>
  <c r="AK52" i="10"/>
  <c r="AK90" i="10"/>
  <c r="AK53" i="10"/>
  <c r="AK26" i="10"/>
  <c r="AK91" i="10"/>
  <c r="AK27" i="10"/>
  <c r="AK54" i="10"/>
  <c r="AK28" i="10"/>
  <c r="AK92" i="10"/>
  <c r="AK55" i="10"/>
  <c r="AK56" i="10"/>
  <c r="AK29" i="10"/>
  <c r="AK93" i="10"/>
  <c r="AK94" i="10"/>
  <c r="AK57" i="10"/>
  <c r="AK30" i="10"/>
  <c r="AK95" i="10"/>
  <c r="AK58" i="10"/>
  <c r="AK31" i="10"/>
  <c r="AK59" i="10"/>
  <c r="AK96" i="10"/>
  <c r="AK32" i="10"/>
  <c r="S97" i="10"/>
  <c r="U97" i="10"/>
  <c r="G97" i="10"/>
  <c r="AF97" i="10"/>
  <c r="AA97" i="10"/>
  <c r="AC97" i="10"/>
  <c r="O97" i="10"/>
  <c r="AF61" i="9"/>
  <c r="X61" i="9"/>
  <c r="AH61" i="9"/>
  <c r="I61" i="9"/>
  <c r="AA61" i="9"/>
  <c r="H61" i="9"/>
  <c r="Z61" i="9"/>
  <c r="S61" i="9"/>
  <c r="R61" i="9"/>
  <c r="AE61" i="9"/>
  <c r="K61" i="9"/>
  <c r="AD61" i="9"/>
  <c r="V61" i="9"/>
  <c r="J61" i="9"/>
  <c r="W61" i="9"/>
  <c r="AI61" i="9"/>
  <c r="N61" i="9"/>
  <c r="O61" i="9"/>
  <c r="AJ4" i="9"/>
  <c r="AJ33" i="9"/>
  <c r="AJ5" i="9"/>
  <c r="AJ34" i="9"/>
  <c r="AJ6" i="9"/>
  <c r="AJ35" i="9"/>
  <c r="AJ7" i="9"/>
  <c r="AJ36" i="9"/>
  <c r="AJ8" i="9"/>
  <c r="AJ9" i="9"/>
  <c r="AJ37" i="9"/>
  <c r="AJ10" i="9"/>
  <c r="AJ38" i="9"/>
  <c r="AJ11" i="9"/>
  <c r="AJ39" i="9"/>
  <c r="AJ40" i="9"/>
  <c r="AJ12" i="9"/>
  <c r="AJ13" i="9"/>
  <c r="AJ41" i="9"/>
  <c r="AJ42" i="9"/>
  <c r="AJ14" i="9"/>
  <c r="AJ43" i="9"/>
  <c r="AJ15" i="9"/>
  <c r="AJ16" i="9"/>
  <c r="AJ44" i="9"/>
  <c r="AJ45" i="9"/>
  <c r="AJ17" i="9"/>
  <c r="AJ46" i="9"/>
  <c r="AJ18" i="9"/>
  <c r="AJ19" i="9"/>
  <c r="AJ47" i="9"/>
  <c r="AJ48" i="9"/>
  <c r="AJ20" i="9"/>
  <c r="AJ49" i="9"/>
  <c r="AJ21" i="9"/>
  <c r="AJ22" i="9"/>
  <c r="AJ50" i="9"/>
  <c r="AJ23" i="9"/>
  <c r="AJ51" i="9"/>
  <c r="AJ52" i="9"/>
  <c r="AJ24" i="9"/>
  <c r="AJ53" i="9"/>
  <c r="AJ25" i="9"/>
  <c r="AJ26" i="9"/>
  <c r="AJ54" i="9"/>
  <c r="AJ27" i="9"/>
  <c r="AJ55" i="9"/>
  <c r="AJ28" i="9"/>
  <c r="AJ56" i="9"/>
  <c r="AJ57" i="9"/>
  <c r="AJ29" i="9"/>
  <c r="AJ58" i="9"/>
  <c r="AJ30" i="9"/>
  <c r="AJ59" i="9"/>
  <c r="AJ31" i="9"/>
  <c r="AJ32" i="9"/>
  <c r="AJ60" i="9"/>
  <c r="U61" i="9"/>
  <c r="AC61" i="9"/>
  <c r="AB61" i="9"/>
  <c r="AG61" i="9"/>
  <c r="F62" i="9"/>
  <c r="X33" i="8"/>
  <c r="W33" i="8"/>
  <c r="AA33" i="8"/>
  <c r="AG33" i="8"/>
  <c r="O33" i="8"/>
  <c r="S33" i="8"/>
  <c r="Y33" i="8"/>
  <c r="M33" i="8"/>
  <c r="U33" i="8"/>
  <c r="K33" i="8"/>
  <c r="Q33" i="8"/>
  <c r="AH33" i="8"/>
  <c r="I33" i="8"/>
  <c r="H33" i="8"/>
  <c r="AB33" i="8"/>
  <c r="Z33" i="8"/>
  <c r="AE33" i="8"/>
  <c r="AF33" i="8"/>
  <c r="T33" i="8"/>
  <c r="R33" i="8"/>
  <c r="AD33" i="8"/>
  <c r="P33" i="8"/>
  <c r="AC33" i="8"/>
  <c r="L33" i="8"/>
  <c r="J33" i="8"/>
  <c r="AJ4" i="8"/>
  <c r="AJ5" i="8"/>
  <c r="AJ20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G33" i="8"/>
  <c r="AI33" i="8"/>
  <c r="N33" i="8"/>
  <c r="AF33" i="3"/>
  <c r="AD33" i="3"/>
  <c r="AB33" i="3"/>
  <c r="Z33" i="3"/>
  <c r="X33" i="3"/>
  <c r="V33" i="3"/>
  <c r="T33" i="3"/>
  <c r="R33" i="3"/>
  <c r="N33" i="3"/>
  <c r="L33" i="3"/>
  <c r="J33" i="3"/>
  <c r="AE33" i="3"/>
  <c r="AI33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W33" i="3"/>
  <c r="AC33" i="3"/>
  <c r="AA33" i="3"/>
  <c r="AG33" i="3"/>
  <c r="P33" i="3"/>
  <c r="O33" i="3"/>
  <c r="U33" i="3"/>
  <c r="S33" i="3"/>
  <c r="Y33" i="3"/>
  <c r="H33" i="3"/>
  <c r="G33" i="3"/>
  <c r="M33" i="3"/>
  <c r="K33" i="3"/>
  <c r="AJ33" i="3"/>
  <c r="AH33" i="3"/>
  <c r="I33" i="3"/>
  <c r="AK3" i="9"/>
  <c r="AK3" i="8"/>
  <c r="F34" i="8"/>
  <c r="AD34" i="8" s="1"/>
  <c r="F34" i="3"/>
  <c r="G34" i="3" s="1"/>
  <c r="AK62" i="9" l="1"/>
  <c r="AI34" i="3"/>
  <c r="X34" i="3"/>
  <c r="AK34" i="8"/>
  <c r="X34" i="8"/>
  <c r="G34" i="8"/>
  <c r="T34" i="8"/>
  <c r="S34" i="8"/>
  <c r="O34" i="8"/>
  <c r="U34" i="8"/>
  <c r="AC34" i="8"/>
  <c r="K34" i="8"/>
  <c r="J34" i="8"/>
  <c r="AB34" i="8"/>
  <c r="AF34" i="8"/>
  <c r="K34" i="3"/>
  <c r="P34" i="3"/>
  <c r="AH34" i="3"/>
  <c r="W34" i="3"/>
  <c r="AK34" i="3"/>
  <c r="R34" i="3"/>
  <c r="AL34" i="3"/>
  <c r="J34" i="3"/>
  <c r="AD34" i="3"/>
  <c r="M34" i="3"/>
  <c r="AJ34" i="3"/>
  <c r="Q34" i="3"/>
  <c r="T34" i="3"/>
  <c r="I34" i="3"/>
  <c r="L34" i="3"/>
  <c r="AF34" i="3"/>
  <c r="AM3" i="11"/>
  <c r="AL4" i="11"/>
  <c r="AL5" i="11"/>
  <c r="AL29" i="11"/>
  <c r="AL84" i="11"/>
  <c r="AL6" i="11"/>
  <c r="AL58" i="11"/>
  <c r="AL85" i="11"/>
  <c r="AL7" i="11"/>
  <c r="AL59" i="11"/>
  <c r="AL30" i="11"/>
  <c r="AL60" i="11"/>
  <c r="AL8" i="11"/>
  <c r="AL31" i="11"/>
  <c r="AL86" i="11"/>
  <c r="AL9" i="11"/>
  <c r="AL32" i="11"/>
  <c r="AL87" i="11"/>
  <c r="AL61" i="11"/>
  <c r="AL62" i="11"/>
  <c r="AL88" i="11"/>
  <c r="AL10" i="11"/>
  <c r="AL33" i="11"/>
  <c r="AL34" i="11"/>
  <c r="AL89" i="11"/>
  <c r="AL63" i="11"/>
  <c r="AL11" i="11"/>
  <c r="AL35" i="11"/>
  <c r="AL12" i="11"/>
  <c r="AL90" i="11"/>
  <c r="AL64" i="11"/>
  <c r="AL13" i="11"/>
  <c r="AL91" i="11"/>
  <c r="AL65" i="11"/>
  <c r="AL36" i="11"/>
  <c r="AL92" i="11"/>
  <c r="AL66" i="11"/>
  <c r="AL14" i="11"/>
  <c r="AL37" i="11"/>
  <c r="AL67" i="11"/>
  <c r="AL15" i="11"/>
  <c r="AL38" i="11"/>
  <c r="AL93" i="11"/>
  <c r="AL68" i="11"/>
  <c r="AL16" i="11"/>
  <c r="AL39" i="11"/>
  <c r="AL94" i="11"/>
  <c r="AL69" i="11"/>
  <c r="AL40" i="11"/>
  <c r="AL95" i="11"/>
  <c r="AL17" i="11"/>
  <c r="AL70" i="11"/>
  <c r="AL41" i="11"/>
  <c r="AL96" i="11"/>
  <c r="AL18" i="11"/>
  <c r="AL71" i="11"/>
  <c r="AL42" i="11"/>
  <c r="AL97" i="11"/>
  <c r="AL19" i="11"/>
  <c r="AL43" i="11"/>
  <c r="AL98" i="11"/>
  <c r="AL20" i="11"/>
  <c r="AL72" i="11"/>
  <c r="AL99" i="11"/>
  <c r="AL73" i="11"/>
  <c r="AL21" i="11"/>
  <c r="AL44" i="11"/>
  <c r="AL100" i="11"/>
  <c r="AL45" i="11"/>
  <c r="AL22" i="11"/>
  <c r="AL74" i="11"/>
  <c r="AL23" i="11"/>
  <c r="AL75" i="11"/>
  <c r="AL101" i="11"/>
  <c r="AL46" i="11"/>
  <c r="AL24" i="11"/>
  <c r="AL102" i="11"/>
  <c r="AL76" i="11"/>
  <c r="AL47" i="11"/>
  <c r="AL77" i="11"/>
  <c r="AL48" i="11"/>
  <c r="AL25" i="11"/>
  <c r="AL103" i="11"/>
  <c r="AL78" i="11"/>
  <c r="AL26" i="11"/>
  <c r="AL49" i="11"/>
  <c r="AL79" i="11"/>
  <c r="AL27" i="11"/>
  <c r="AL50" i="11"/>
  <c r="AL80" i="11"/>
  <c r="AL51" i="11"/>
  <c r="AL28" i="11"/>
  <c r="AL52" i="11"/>
  <c r="AL81" i="11"/>
  <c r="AL82" i="11"/>
  <c r="AL53" i="11"/>
  <c r="AL54" i="11"/>
  <c r="AL83" i="11"/>
  <c r="AL55" i="11"/>
  <c r="AL56" i="11"/>
  <c r="AL57" i="11"/>
  <c r="S61" i="10"/>
  <c r="G61" i="10"/>
  <c r="AJ61" i="10"/>
  <c r="X61" i="10"/>
  <c r="Z61" i="10"/>
  <c r="P99" i="10"/>
  <c r="U99" i="10"/>
  <c r="X98" i="10"/>
  <c r="J98" i="10"/>
  <c r="L98" i="10"/>
  <c r="AB61" i="10"/>
  <c r="O61" i="10"/>
  <c r="L61" i="10"/>
  <c r="AF61" i="10"/>
  <c r="AH61" i="10"/>
  <c r="G98" i="10"/>
  <c r="AF98" i="10"/>
  <c r="R98" i="10"/>
  <c r="T98" i="10"/>
  <c r="AD61" i="10"/>
  <c r="AC61" i="10"/>
  <c r="O98" i="10"/>
  <c r="Z98" i="10"/>
  <c r="AB98" i="10"/>
  <c r="AL62" i="10"/>
  <c r="J62" i="10"/>
  <c r="AF62" i="10"/>
  <c r="W62" i="10"/>
  <c r="Q62" i="10"/>
  <c r="J61" i="10"/>
  <c r="AK61" i="10"/>
  <c r="Q61" i="10"/>
  <c r="W98" i="10"/>
  <c r="I98" i="10"/>
  <c r="AH98" i="10"/>
  <c r="AJ98" i="10"/>
  <c r="AL4" i="10"/>
  <c r="AM3" i="10"/>
  <c r="AM99" i="10" s="1"/>
  <c r="AL69" i="10"/>
  <c r="AL5" i="10"/>
  <c r="AL70" i="10"/>
  <c r="AL33" i="10"/>
  <c r="AL6" i="10"/>
  <c r="AL34" i="10"/>
  <c r="AL7" i="10"/>
  <c r="AL71" i="10"/>
  <c r="AL8" i="10"/>
  <c r="AL35" i="10"/>
  <c r="AL72" i="10"/>
  <c r="AL73" i="10"/>
  <c r="AL9" i="10"/>
  <c r="AL36" i="10"/>
  <c r="AL74" i="10"/>
  <c r="AL37" i="10"/>
  <c r="AL10" i="10"/>
  <c r="AL38" i="10"/>
  <c r="AL11" i="10"/>
  <c r="AL75" i="10"/>
  <c r="AL12" i="10"/>
  <c r="AL76" i="10"/>
  <c r="AL39" i="10"/>
  <c r="AL40" i="10"/>
  <c r="AL13" i="10"/>
  <c r="AL77" i="10"/>
  <c r="AL41" i="10"/>
  <c r="AL14" i="10"/>
  <c r="AL78" i="10"/>
  <c r="AL15" i="10"/>
  <c r="AL42" i="10"/>
  <c r="AL79" i="10"/>
  <c r="AL43" i="10"/>
  <c r="AL16" i="10"/>
  <c r="AL80" i="10"/>
  <c r="AL17" i="10"/>
  <c r="AL44" i="10"/>
  <c r="AL81" i="10"/>
  <c r="AL18" i="10"/>
  <c r="AL82" i="10"/>
  <c r="AL45" i="10"/>
  <c r="AL83" i="10"/>
  <c r="AL19" i="10"/>
  <c r="AL46" i="10"/>
  <c r="AL84" i="10"/>
  <c r="AL47" i="10"/>
  <c r="AL20" i="10"/>
  <c r="AL85" i="10"/>
  <c r="AL21" i="10"/>
  <c r="AL48" i="10"/>
  <c r="AL86" i="10"/>
  <c r="AL49" i="10"/>
  <c r="AL22" i="10"/>
  <c r="AL23" i="10"/>
  <c r="AL50" i="10"/>
  <c r="AL87" i="10"/>
  <c r="AL24" i="10"/>
  <c r="AL88" i="10"/>
  <c r="AL51" i="10"/>
  <c r="AL25" i="10"/>
  <c r="AL89" i="10"/>
  <c r="AL52" i="10"/>
  <c r="AL90" i="10"/>
  <c r="AL53" i="10"/>
  <c r="AL26" i="10"/>
  <c r="AL27" i="10"/>
  <c r="AL91" i="10"/>
  <c r="AL54" i="10"/>
  <c r="AL92" i="10"/>
  <c r="AL28" i="10"/>
  <c r="AL55" i="10"/>
  <c r="AL29" i="10"/>
  <c r="AL93" i="10"/>
  <c r="AL56" i="10"/>
  <c r="AL57" i="10"/>
  <c r="AL30" i="10"/>
  <c r="AL94" i="10"/>
  <c r="AL31" i="10"/>
  <c r="AL95" i="10"/>
  <c r="AL58" i="10"/>
  <c r="AL32" i="10"/>
  <c r="AL96" i="10"/>
  <c r="AL59" i="10"/>
  <c r="AL60" i="10"/>
  <c r="AL97" i="10"/>
  <c r="AE61" i="10"/>
  <c r="U61" i="10"/>
  <c r="M61" i="10"/>
  <c r="Y61" i="10"/>
  <c r="V98" i="10"/>
  <c r="AE98" i="10"/>
  <c r="Q98" i="10"/>
  <c r="K98" i="10"/>
  <c r="M98" i="10"/>
  <c r="H61" i="10"/>
  <c r="AI61" i="10"/>
  <c r="AA61" i="10"/>
  <c r="AG61" i="10"/>
  <c r="AD98" i="10"/>
  <c r="Y98" i="10"/>
  <c r="S98" i="10"/>
  <c r="U98" i="10"/>
  <c r="T61" i="10"/>
  <c r="K61" i="10"/>
  <c r="AL61" i="10"/>
  <c r="N98" i="10"/>
  <c r="H98" i="10"/>
  <c r="AG98" i="10"/>
  <c r="AA98" i="10"/>
  <c r="AC98" i="10"/>
  <c r="N61" i="10"/>
  <c r="I61" i="10"/>
  <c r="V61" i="10"/>
  <c r="P61" i="10"/>
  <c r="R61" i="10"/>
  <c r="AL98" i="10"/>
  <c r="P98" i="10"/>
  <c r="AI98" i="10"/>
  <c r="AK98" i="10"/>
  <c r="F63" i="9"/>
  <c r="Q63" i="9" s="1"/>
  <c r="AF62" i="9"/>
  <c r="Q62" i="9"/>
  <c r="AH62" i="9"/>
  <c r="I62" i="9"/>
  <c r="V62" i="9"/>
  <c r="AK4" i="9"/>
  <c r="AK33" i="9"/>
  <c r="AK5" i="9"/>
  <c r="AK6" i="9"/>
  <c r="AK34" i="9"/>
  <c r="AK35" i="9"/>
  <c r="AK7" i="9"/>
  <c r="AK8" i="9"/>
  <c r="AK36" i="9"/>
  <c r="AK37" i="9"/>
  <c r="AK9" i="9"/>
  <c r="AK10" i="9"/>
  <c r="AK38" i="9"/>
  <c r="AK39" i="9"/>
  <c r="AK11" i="9"/>
  <c r="AK12" i="9"/>
  <c r="AK40" i="9"/>
  <c r="AK13" i="9"/>
  <c r="AK41" i="9"/>
  <c r="AK14" i="9"/>
  <c r="AK42" i="9"/>
  <c r="AK43" i="9"/>
  <c r="AK15" i="9"/>
  <c r="AK16" i="9"/>
  <c r="AK44" i="9"/>
  <c r="AK17" i="9"/>
  <c r="AK45" i="9"/>
  <c r="AK18" i="9"/>
  <c r="AK46" i="9"/>
  <c r="AK19" i="9"/>
  <c r="AK47" i="9"/>
  <c r="AK48" i="9"/>
  <c r="AK20" i="9"/>
  <c r="AK21" i="9"/>
  <c r="AK49" i="9"/>
  <c r="AK50" i="9"/>
  <c r="AK22" i="9"/>
  <c r="AK51" i="9"/>
  <c r="AK23" i="9"/>
  <c r="AK24" i="9"/>
  <c r="AK52" i="9"/>
  <c r="AK53" i="9"/>
  <c r="AK25" i="9"/>
  <c r="AK54" i="9"/>
  <c r="AK26" i="9"/>
  <c r="AK27" i="9"/>
  <c r="AK55" i="9"/>
  <c r="AK56" i="9"/>
  <c r="AK28" i="9"/>
  <c r="AK57" i="9"/>
  <c r="AK29" i="9"/>
  <c r="AK58" i="9"/>
  <c r="AK30" i="9"/>
  <c r="AK59" i="9"/>
  <c r="AK31" i="9"/>
  <c r="AK60" i="9"/>
  <c r="AK32" i="9"/>
  <c r="AK61" i="9"/>
  <c r="AC62" i="9"/>
  <c r="U62" i="9"/>
  <c r="N62" i="9"/>
  <c r="H62" i="9"/>
  <c r="Z62" i="9"/>
  <c r="J62" i="9"/>
  <c r="AD62" i="9"/>
  <c r="X62" i="9"/>
  <c r="AI62" i="9"/>
  <c r="AE62" i="9"/>
  <c r="AJ62" i="9"/>
  <c r="P62" i="9"/>
  <c r="S62" i="9"/>
  <c r="W62" i="9"/>
  <c r="AB62" i="9"/>
  <c r="Y62" i="9"/>
  <c r="M62" i="9"/>
  <c r="AA62" i="9"/>
  <c r="O62" i="9"/>
  <c r="T62" i="9"/>
  <c r="R62" i="9"/>
  <c r="K62" i="9"/>
  <c r="AG62" i="9"/>
  <c r="G62" i="9"/>
  <c r="L62" i="9"/>
  <c r="R34" i="8"/>
  <c r="P34" i="8"/>
  <c r="L34" i="8"/>
  <c r="AG34" i="8"/>
  <c r="H34" i="8"/>
  <c r="V34" i="8"/>
  <c r="AK4" i="8"/>
  <c r="AK20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H34" i="8"/>
  <c r="Y34" i="8"/>
  <c r="N34" i="8"/>
  <c r="AJ34" i="8"/>
  <c r="Q34" i="8"/>
  <c r="AE34" i="8"/>
  <c r="AI34" i="8"/>
  <c r="Z34" i="8"/>
  <c r="M34" i="8"/>
  <c r="I34" i="8"/>
  <c r="W34" i="8"/>
  <c r="AA34" i="8"/>
  <c r="AE34" i="3"/>
  <c r="AB34" i="3"/>
  <c r="Z34" i="3"/>
  <c r="O34" i="3"/>
  <c r="AM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C34" i="3"/>
  <c r="AA34" i="3"/>
  <c r="AG34" i="3"/>
  <c r="H34" i="3"/>
  <c r="V34" i="3"/>
  <c r="U34" i="3"/>
  <c r="S34" i="3"/>
  <c r="Y34" i="3"/>
  <c r="N34" i="3"/>
  <c r="AL3" i="9"/>
  <c r="AL3" i="8"/>
  <c r="F35" i="8"/>
  <c r="P35" i="8" s="1"/>
  <c r="F35" i="3"/>
  <c r="L35" i="3" s="1"/>
  <c r="M63" i="9" l="1"/>
  <c r="Y63" i="9"/>
  <c r="AL35" i="8"/>
  <c r="AK63" i="9"/>
  <c r="I63" i="9"/>
  <c r="H63" i="9"/>
  <c r="W63" i="9"/>
  <c r="V63" i="9"/>
  <c r="N63" i="9"/>
  <c r="AJ63" i="9"/>
  <c r="O63" i="9"/>
  <c r="G63" i="9"/>
  <c r="T63" i="9"/>
  <c r="J63" i="9"/>
  <c r="AH63" i="9"/>
  <c r="AI63" i="9"/>
  <c r="AE63" i="9"/>
  <c r="R63" i="9"/>
  <c r="AA63" i="9"/>
  <c r="Z63" i="9"/>
  <c r="AF63" i="9"/>
  <c r="S63" i="9"/>
  <c r="U63" i="9"/>
  <c r="AD63" i="9"/>
  <c r="K63" i="9"/>
  <c r="AN3" i="11"/>
  <c r="AM4" i="11"/>
  <c r="AM5" i="11"/>
  <c r="AM58" i="11"/>
  <c r="AM84" i="11"/>
  <c r="AM6" i="11"/>
  <c r="AM29" i="11"/>
  <c r="AM30" i="11"/>
  <c r="AM7" i="11"/>
  <c r="AM59" i="11"/>
  <c r="AM85" i="11"/>
  <c r="AM31" i="11"/>
  <c r="AM60" i="11"/>
  <c r="AM86" i="11"/>
  <c r="AM8" i="11"/>
  <c r="AM32" i="11"/>
  <c r="AM87" i="11"/>
  <c r="AM9" i="11"/>
  <c r="AM61" i="11"/>
  <c r="AM62" i="11"/>
  <c r="AM33" i="11"/>
  <c r="AM10" i="11"/>
  <c r="AM88" i="11"/>
  <c r="AM89" i="11"/>
  <c r="AM34" i="11"/>
  <c r="AM11" i="11"/>
  <c r="AM63" i="11"/>
  <c r="AM90" i="11"/>
  <c r="AM35" i="11"/>
  <c r="AM12" i="11"/>
  <c r="AM64" i="11"/>
  <c r="AM13" i="11"/>
  <c r="AM36" i="11"/>
  <c r="AM65" i="11"/>
  <c r="AM91" i="11"/>
  <c r="AM66" i="11"/>
  <c r="AM37" i="11"/>
  <c r="AM92" i="11"/>
  <c r="AM14" i="11"/>
  <c r="AM15" i="11"/>
  <c r="AM93" i="11"/>
  <c r="AM38" i="11"/>
  <c r="AM67" i="11"/>
  <c r="AM16" i="11"/>
  <c r="AM68" i="11"/>
  <c r="AM94" i="11"/>
  <c r="AM39" i="11"/>
  <c r="AM17" i="11"/>
  <c r="AM40" i="11"/>
  <c r="AM95" i="11"/>
  <c r="AM69" i="11"/>
  <c r="AM41" i="11"/>
  <c r="AM18" i="11"/>
  <c r="AM96" i="11"/>
  <c r="AM70" i="11"/>
  <c r="AM97" i="11"/>
  <c r="AM42" i="11"/>
  <c r="AM19" i="11"/>
  <c r="AM71" i="11"/>
  <c r="AM72" i="11"/>
  <c r="AM20" i="11"/>
  <c r="AM98" i="11"/>
  <c r="AM43" i="11"/>
  <c r="AM21" i="11"/>
  <c r="AM44" i="11"/>
  <c r="AM73" i="11"/>
  <c r="AM99" i="11"/>
  <c r="AM100" i="11"/>
  <c r="AM74" i="11"/>
  <c r="AM45" i="11"/>
  <c r="AM22" i="11"/>
  <c r="AM101" i="11"/>
  <c r="AM46" i="11"/>
  <c r="AM75" i="11"/>
  <c r="AM23" i="11"/>
  <c r="AM102" i="11"/>
  <c r="AM47" i="11"/>
  <c r="AM76" i="11"/>
  <c r="AM24" i="11"/>
  <c r="AM25" i="11"/>
  <c r="AM103" i="11"/>
  <c r="AM48" i="11"/>
  <c r="AM77" i="11"/>
  <c r="AM78" i="11"/>
  <c r="AM26" i="11"/>
  <c r="AM49" i="11"/>
  <c r="AM50" i="11"/>
  <c r="AM27" i="11"/>
  <c r="AM79" i="11"/>
  <c r="AM80" i="11"/>
  <c r="AM28" i="11"/>
  <c r="AM51" i="11"/>
  <c r="AM52" i="11"/>
  <c r="AM81" i="11"/>
  <c r="AM53" i="11"/>
  <c r="AM82" i="11"/>
  <c r="AM54" i="11"/>
  <c r="AM83" i="11"/>
  <c r="AM55" i="11"/>
  <c r="AM56" i="11"/>
  <c r="AM57" i="11"/>
  <c r="X99" i="10"/>
  <c r="S99" i="10"/>
  <c r="J99" i="10"/>
  <c r="AC99" i="10"/>
  <c r="AF99" i="10"/>
  <c r="K99" i="10"/>
  <c r="AK99" i="10"/>
  <c r="I99" i="10"/>
  <c r="AA99" i="10"/>
  <c r="AL99" i="10"/>
  <c r="AI99" i="10"/>
  <c r="G99" i="10"/>
  <c r="L99" i="10"/>
  <c r="O99" i="10"/>
  <c r="M99" i="10"/>
  <c r="W99" i="10"/>
  <c r="AA62" i="10"/>
  <c r="H62" i="10"/>
  <c r="Y62" i="10"/>
  <c r="M62" i="10"/>
  <c r="I62" i="10"/>
  <c r="G62" i="10"/>
  <c r="O62" i="10"/>
  <c r="U62" i="10"/>
  <c r="S62" i="10"/>
  <c r="R62" i="10"/>
  <c r="Z62" i="10"/>
  <c r="AC62" i="10"/>
  <c r="P62" i="10"/>
  <c r="AK62" i="10"/>
  <c r="AE62" i="10"/>
  <c r="X62" i="10"/>
  <c r="L62" i="10"/>
  <c r="V62" i="10"/>
  <c r="AG62" i="10"/>
  <c r="AI62" i="10"/>
  <c r="AB62" i="10"/>
  <c r="AD62" i="10"/>
  <c r="AH62" i="10"/>
  <c r="K62" i="10"/>
  <c r="AJ62" i="10"/>
  <c r="R99" i="10"/>
  <c r="T99" i="10"/>
  <c r="N99" i="10"/>
  <c r="Y99" i="10"/>
  <c r="AM4" i="10"/>
  <c r="AN3" i="10"/>
  <c r="AM5" i="10"/>
  <c r="AM69" i="10"/>
  <c r="AM70" i="10"/>
  <c r="AM6" i="10"/>
  <c r="AM33" i="10"/>
  <c r="AM7" i="10"/>
  <c r="AM34" i="10"/>
  <c r="AM71" i="10"/>
  <c r="AM35" i="10"/>
  <c r="AM72" i="10"/>
  <c r="AM8" i="10"/>
  <c r="AM36" i="10"/>
  <c r="AM73" i="10"/>
  <c r="AM9" i="10"/>
  <c r="AM10" i="10"/>
  <c r="AM74" i="10"/>
  <c r="AM37" i="10"/>
  <c r="AM11" i="10"/>
  <c r="AM75" i="10"/>
  <c r="AM38" i="10"/>
  <c r="AM39" i="10"/>
  <c r="AM12" i="10"/>
  <c r="AM76" i="10"/>
  <c r="AM77" i="10"/>
  <c r="AM13" i="10"/>
  <c r="AM40" i="10"/>
  <c r="AM78" i="10"/>
  <c r="AM14" i="10"/>
  <c r="AM41" i="10"/>
  <c r="AM15" i="10"/>
  <c r="AM79" i="10"/>
  <c r="AM42" i="10"/>
  <c r="AM80" i="10"/>
  <c r="AM43" i="10"/>
  <c r="AM16" i="10"/>
  <c r="AM17" i="10"/>
  <c r="AM44" i="10"/>
  <c r="AM81" i="10"/>
  <c r="AM18" i="10"/>
  <c r="AM82" i="10"/>
  <c r="AM45" i="10"/>
  <c r="AM46" i="10"/>
  <c r="AM19" i="10"/>
  <c r="AM83" i="10"/>
  <c r="AM84" i="10"/>
  <c r="AM20" i="10"/>
  <c r="AM47" i="10"/>
  <c r="AM48" i="10"/>
  <c r="AM85" i="10"/>
  <c r="AM21" i="10"/>
  <c r="AM22" i="10"/>
  <c r="AM49" i="10"/>
  <c r="AM86" i="10"/>
  <c r="AM50" i="10"/>
  <c r="AM87" i="10"/>
  <c r="AM23" i="10"/>
  <c r="AM51" i="10"/>
  <c r="AM88" i="10"/>
  <c r="AM24" i="10"/>
  <c r="AM89" i="10"/>
  <c r="AM52" i="10"/>
  <c r="AM25" i="10"/>
  <c r="AM53" i="10"/>
  <c r="AM26" i="10"/>
  <c r="AM90" i="10"/>
  <c r="AM54" i="10"/>
  <c r="AM27" i="10"/>
  <c r="AM91" i="10"/>
  <c r="AM92" i="10"/>
  <c r="AM28" i="10"/>
  <c r="AM55" i="10"/>
  <c r="AM93" i="10"/>
  <c r="AM56" i="10"/>
  <c r="AM29" i="10"/>
  <c r="AM57" i="10"/>
  <c r="AM94" i="10"/>
  <c r="AM30" i="10"/>
  <c r="AM31" i="10"/>
  <c r="AM95" i="10"/>
  <c r="AM58" i="10"/>
  <c r="AM59" i="10"/>
  <c r="AM96" i="10"/>
  <c r="AM32" i="10"/>
  <c r="AM60" i="10"/>
  <c r="AM97" i="10"/>
  <c r="AM61" i="10"/>
  <c r="AM98" i="10"/>
  <c r="AA63" i="10"/>
  <c r="AH63" i="10"/>
  <c r="Z99" i="10"/>
  <c r="AB99" i="10"/>
  <c r="V99" i="10"/>
  <c r="H99" i="10"/>
  <c r="AG99" i="10"/>
  <c r="AM62" i="10"/>
  <c r="T62" i="10"/>
  <c r="N62" i="10"/>
  <c r="AH99" i="10"/>
  <c r="AJ99" i="10"/>
  <c r="AD99" i="10"/>
  <c r="AF100" i="10"/>
  <c r="X100" i="10"/>
  <c r="AD100" i="10"/>
  <c r="AK100" i="10"/>
  <c r="AE99" i="10"/>
  <c r="Q99" i="10"/>
  <c r="AB63" i="9"/>
  <c r="AG63" i="9"/>
  <c r="AC63" i="9"/>
  <c r="X63" i="9"/>
  <c r="P63" i="9"/>
  <c r="L63" i="9"/>
  <c r="AL4" i="9"/>
  <c r="AL33" i="9"/>
  <c r="AL5" i="9"/>
  <c r="AL34" i="9"/>
  <c r="AL6" i="9"/>
  <c r="AL7" i="9"/>
  <c r="AL35" i="9"/>
  <c r="AL8" i="9"/>
  <c r="AL36" i="9"/>
  <c r="AL9" i="9"/>
  <c r="AL37" i="9"/>
  <c r="AL10" i="9"/>
  <c r="AL38" i="9"/>
  <c r="AL39" i="9"/>
  <c r="AL11" i="9"/>
  <c r="AL40" i="9"/>
  <c r="AL12" i="9"/>
  <c r="AL41" i="9"/>
  <c r="AL13" i="9"/>
  <c r="AL14" i="9"/>
  <c r="AL42" i="9"/>
  <c r="AL15" i="9"/>
  <c r="AL43" i="9"/>
  <c r="AL44" i="9"/>
  <c r="AL16" i="9"/>
  <c r="AL45" i="9"/>
  <c r="AL17" i="9"/>
  <c r="AL18" i="9"/>
  <c r="AL46" i="9"/>
  <c r="AL19" i="9"/>
  <c r="AL47" i="9"/>
  <c r="AL20" i="9"/>
  <c r="AL48" i="9"/>
  <c r="AL49" i="9"/>
  <c r="AL21" i="9"/>
  <c r="AL22" i="9"/>
  <c r="AL50" i="9"/>
  <c r="AL51" i="9"/>
  <c r="AL23" i="9"/>
  <c r="AL24" i="9"/>
  <c r="AL52" i="9"/>
  <c r="AL25" i="9"/>
  <c r="AL53" i="9"/>
  <c r="AL26" i="9"/>
  <c r="AL54" i="9"/>
  <c r="AL55" i="9"/>
  <c r="AL27" i="9"/>
  <c r="AL56" i="9"/>
  <c r="AL28" i="9"/>
  <c r="AL57" i="9"/>
  <c r="AL29" i="9"/>
  <c r="AL30" i="9"/>
  <c r="AL58" i="9"/>
  <c r="AL31" i="9"/>
  <c r="AL59" i="9"/>
  <c r="AL32" i="9"/>
  <c r="AL60" i="9"/>
  <c r="AL61" i="9"/>
  <c r="AL62" i="9"/>
  <c r="AL63" i="9"/>
  <c r="F64" i="9"/>
  <c r="N64" i="9" s="1"/>
  <c r="I35" i="8"/>
  <c r="O35" i="8"/>
  <c r="M35" i="8"/>
  <c r="K35" i="8"/>
  <c r="AJ35" i="8"/>
  <c r="G35" i="8"/>
  <c r="AD35" i="8"/>
  <c r="AB35" i="8"/>
  <c r="AF35" i="8"/>
  <c r="Z35" i="8"/>
  <c r="AE35" i="8"/>
  <c r="V35" i="8"/>
  <c r="T35" i="8"/>
  <c r="X35" i="8"/>
  <c r="R35" i="8"/>
  <c r="W35" i="8"/>
  <c r="N35" i="8"/>
  <c r="L35" i="8"/>
  <c r="AL4" i="8"/>
  <c r="AL20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G35" i="8"/>
  <c r="AK35" i="8"/>
  <c r="AI35" i="8"/>
  <c r="H35" i="8"/>
  <c r="Y35" i="8"/>
  <c r="Q35" i="8"/>
  <c r="AC35" i="8"/>
  <c r="AA35" i="8"/>
  <c r="J35" i="8"/>
  <c r="AH35" i="8"/>
  <c r="U35" i="8"/>
  <c r="S35" i="8"/>
  <c r="X35" i="3"/>
  <c r="AJ35" i="3"/>
  <c r="Y35" i="3"/>
  <c r="AM35" i="3"/>
  <c r="N35" i="3"/>
  <c r="R35" i="3"/>
  <c r="Q35" i="3"/>
  <c r="AE35" i="3"/>
  <c r="AK35" i="3"/>
  <c r="AI35" i="3"/>
  <c r="J35" i="3"/>
  <c r="I35" i="3"/>
  <c r="W35" i="3"/>
  <c r="AC35" i="3"/>
  <c r="AA35" i="3"/>
  <c r="AH35" i="3"/>
  <c r="O35" i="3"/>
  <c r="U35" i="3"/>
  <c r="S35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G35" i="3"/>
  <c r="K35" i="3"/>
  <c r="Z35" i="3"/>
  <c r="AL35" i="3"/>
  <c r="AF35" i="3"/>
  <c r="M35" i="3"/>
  <c r="P35" i="3"/>
  <c r="AD35" i="3"/>
  <c r="AB35" i="3"/>
  <c r="AG35" i="3"/>
  <c r="H35" i="3"/>
  <c r="V35" i="3"/>
  <c r="T35" i="3"/>
  <c r="AM3" i="9"/>
  <c r="F36" i="8"/>
  <c r="AC36" i="8" s="1"/>
  <c r="AM3" i="8"/>
  <c r="F36" i="3"/>
  <c r="P36" i="3" s="1"/>
  <c r="M64" i="9" l="1"/>
  <c r="AI64" i="9"/>
  <c r="L64" i="9"/>
  <c r="Z64" i="9"/>
  <c r="AM64" i="9"/>
  <c r="Y64" i="9"/>
  <c r="W64" i="9"/>
  <c r="Q64" i="9"/>
  <c r="R64" i="9"/>
  <c r="I64" i="9"/>
  <c r="X64" i="9"/>
  <c r="T64" i="9"/>
  <c r="AF64" i="9"/>
  <c r="O64" i="9"/>
  <c r="AC64" i="9"/>
  <c r="V64" i="9"/>
  <c r="AM36" i="8"/>
  <c r="J64" i="9"/>
  <c r="S64" i="9"/>
  <c r="H64" i="9"/>
  <c r="AK64" i="9"/>
  <c r="K64" i="9"/>
  <c r="AL64" i="9"/>
  <c r="AH64" i="9"/>
  <c r="AJ64" i="9"/>
  <c r="AG64" i="9"/>
  <c r="AD64" i="9"/>
  <c r="AN36" i="3"/>
  <c r="AN4" i="11"/>
  <c r="AO3" i="11"/>
  <c r="AN5" i="11"/>
  <c r="AN6" i="11"/>
  <c r="AN58" i="11"/>
  <c r="AN29" i="11"/>
  <c r="AN84" i="11"/>
  <c r="AN30" i="11"/>
  <c r="AN59" i="11"/>
  <c r="AN85" i="11"/>
  <c r="AN7" i="11"/>
  <c r="AN8" i="11"/>
  <c r="AN86" i="11"/>
  <c r="AN31" i="11"/>
  <c r="AN60" i="11"/>
  <c r="AN87" i="11"/>
  <c r="AN61" i="11"/>
  <c r="AN32" i="11"/>
  <c r="AN9" i="11"/>
  <c r="AN88" i="11"/>
  <c r="AN33" i="11"/>
  <c r="AN10" i="11"/>
  <c r="AN62" i="11"/>
  <c r="AN89" i="11"/>
  <c r="AN34" i="11"/>
  <c r="AN11" i="11"/>
  <c r="AN63" i="11"/>
  <c r="AN64" i="11"/>
  <c r="AN90" i="11"/>
  <c r="AN12" i="11"/>
  <c r="AN35" i="11"/>
  <c r="AN36" i="11"/>
  <c r="AN91" i="11"/>
  <c r="AN65" i="11"/>
  <c r="AN13" i="11"/>
  <c r="AN66" i="11"/>
  <c r="AN92" i="11"/>
  <c r="AN14" i="11"/>
  <c r="AN37" i="11"/>
  <c r="AN67" i="11"/>
  <c r="AN93" i="11"/>
  <c r="AN15" i="11"/>
  <c r="AN38" i="11"/>
  <c r="AN68" i="11"/>
  <c r="AN94" i="11"/>
  <c r="AN39" i="11"/>
  <c r="AN16" i="11"/>
  <c r="AN17" i="11"/>
  <c r="AN69" i="11"/>
  <c r="AN40" i="11"/>
  <c r="AN95" i="11"/>
  <c r="AN70" i="11"/>
  <c r="AN18" i="11"/>
  <c r="AN96" i="11"/>
  <c r="AN41" i="11"/>
  <c r="AN19" i="11"/>
  <c r="AN97" i="11"/>
  <c r="AN71" i="11"/>
  <c r="AN42" i="11"/>
  <c r="AN20" i="11"/>
  <c r="AN43" i="11"/>
  <c r="AN72" i="11"/>
  <c r="AN98" i="11"/>
  <c r="AN44" i="11"/>
  <c r="AN73" i="11"/>
  <c r="AN99" i="11"/>
  <c r="AN21" i="11"/>
  <c r="AN45" i="11"/>
  <c r="AN74" i="11"/>
  <c r="AN100" i="11"/>
  <c r="AN22" i="11"/>
  <c r="AN75" i="11"/>
  <c r="AN46" i="11"/>
  <c r="AN101" i="11"/>
  <c r="AN23" i="11"/>
  <c r="AN76" i="11"/>
  <c r="AN47" i="11"/>
  <c r="AN102" i="11"/>
  <c r="AN24" i="11"/>
  <c r="AN77" i="11"/>
  <c r="AN25" i="11"/>
  <c r="AN103" i="11"/>
  <c r="AN48" i="11"/>
  <c r="AN26" i="11"/>
  <c r="AN78" i="11"/>
  <c r="AN49" i="11"/>
  <c r="AN50" i="11"/>
  <c r="AN79" i="11"/>
  <c r="AN27" i="11"/>
  <c r="AN51" i="11"/>
  <c r="AN80" i="11"/>
  <c r="AN28" i="11"/>
  <c r="AN81" i="11"/>
  <c r="AN52" i="11"/>
  <c r="AN53" i="11"/>
  <c r="AN82" i="11"/>
  <c r="AN83" i="11"/>
  <c r="AN54" i="11"/>
  <c r="AN55" i="11"/>
  <c r="AN56" i="11"/>
  <c r="AN57" i="11"/>
  <c r="J100" i="10"/>
  <c r="R100" i="10"/>
  <c r="AI100" i="10"/>
  <c r="AL100" i="10"/>
  <c r="L100" i="10"/>
  <c r="G100" i="10"/>
  <c r="T100" i="10"/>
  <c r="P100" i="10"/>
  <c r="Y63" i="10"/>
  <c r="W63" i="10"/>
  <c r="AM63" i="10"/>
  <c r="R63" i="10"/>
  <c r="AE63" i="10"/>
  <c r="S63" i="10"/>
  <c r="T63" i="10"/>
  <c r="AL63" i="10"/>
  <c r="AG63" i="10"/>
  <c r="AJ63" i="10"/>
  <c r="AD63" i="10"/>
  <c r="H63" i="10"/>
  <c r="G63" i="10"/>
  <c r="AF63" i="10"/>
  <c r="M63" i="10"/>
  <c r="Q63" i="10"/>
  <c r="AN101" i="10"/>
  <c r="AJ101" i="10"/>
  <c r="AE100" i="10"/>
  <c r="Q100" i="10"/>
  <c r="K100" i="10"/>
  <c r="M100" i="10"/>
  <c r="N100" i="10"/>
  <c r="AM100" i="10"/>
  <c r="Y100" i="10"/>
  <c r="S100" i="10"/>
  <c r="U100" i="10"/>
  <c r="L63" i="10"/>
  <c r="U63" i="10"/>
  <c r="O63" i="10"/>
  <c r="AN63" i="10"/>
  <c r="Z63" i="10"/>
  <c r="V100" i="10"/>
  <c r="H100" i="10"/>
  <c r="AG100" i="10"/>
  <c r="AA100" i="10"/>
  <c r="AC100" i="10"/>
  <c r="V63" i="10"/>
  <c r="AI63" i="10"/>
  <c r="AC63" i="10"/>
  <c r="I63" i="10"/>
  <c r="AN4" i="10"/>
  <c r="AO3" i="10"/>
  <c r="AN5" i="10"/>
  <c r="AN69" i="10"/>
  <c r="AN33" i="10"/>
  <c r="AN6" i="10"/>
  <c r="AN70" i="10"/>
  <c r="AN34" i="10"/>
  <c r="AN71" i="10"/>
  <c r="AN7" i="10"/>
  <c r="AN35" i="10"/>
  <c r="AN8" i="10"/>
  <c r="AN72" i="10"/>
  <c r="AN36" i="10"/>
  <c r="AN73" i="10"/>
  <c r="AN9" i="10"/>
  <c r="AN74" i="10"/>
  <c r="AN37" i="10"/>
  <c r="AN10" i="10"/>
  <c r="AN38" i="10"/>
  <c r="AN75" i="10"/>
  <c r="AN11" i="10"/>
  <c r="AN12" i="10"/>
  <c r="AN39" i="10"/>
  <c r="AN76" i="10"/>
  <c r="AN77" i="10"/>
  <c r="AN13" i="10"/>
  <c r="AN40" i="10"/>
  <c r="AN78" i="10"/>
  <c r="AN14" i="10"/>
  <c r="AN41" i="10"/>
  <c r="AN15" i="10"/>
  <c r="AN42" i="10"/>
  <c r="AN79" i="10"/>
  <c r="AN43" i="10"/>
  <c r="AN16" i="10"/>
  <c r="AN80" i="10"/>
  <c r="AN44" i="10"/>
  <c r="AN17" i="10"/>
  <c r="AN81" i="10"/>
  <c r="AN18" i="10"/>
  <c r="AN45" i="10"/>
  <c r="AN82" i="10"/>
  <c r="AN46" i="10"/>
  <c r="AN83" i="10"/>
  <c r="AN19" i="10"/>
  <c r="AN47" i="10"/>
  <c r="AN84" i="10"/>
  <c r="AN20" i="10"/>
  <c r="AN21" i="10"/>
  <c r="AN85" i="10"/>
  <c r="AN48" i="10"/>
  <c r="AN49" i="10"/>
  <c r="AN86" i="10"/>
  <c r="AN22" i="10"/>
  <c r="AN23" i="10"/>
  <c r="AN50" i="10"/>
  <c r="AN87" i="10"/>
  <c r="AN51" i="10"/>
  <c r="AN24" i="10"/>
  <c r="AN88" i="10"/>
  <c r="AN89" i="10"/>
  <c r="AN25" i="10"/>
  <c r="AN52" i="10"/>
  <c r="AN53" i="10"/>
  <c r="AN26" i="10"/>
  <c r="AN90" i="10"/>
  <c r="AN27" i="10"/>
  <c r="AN54" i="10"/>
  <c r="AN91" i="10"/>
  <c r="AN28" i="10"/>
  <c r="AN92" i="10"/>
  <c r="AN55" i="10"/>
  <c r="AN93" i="10"/>
  <c r="AN56" i="10"/>
  <c r="AN29" i="10"/>
  <c r="AN94" i="10"/>
  <c r="AN30" i="10"/>
  <c r="AN57" i="10"/>
  <c r="AN95" i="10"/>
  <c r="AN58" i="10"/>
  <c r="AN31" i="10"/>
  <c r="AN96" i="10"/>
  <c r="AN32" i="10"/>
  <c r="AN59" i="10"/>
  <c r="AN97" i="10"/>
  <c r="AN60" i="10"/>
  <c r="AN98" i="10"/>
  <c r="AN61" i="10"/>
  <c r="AN99" i="10"/>
  <c r="AN62" i="10"/>
  <c r="AN100" i="10"/>
  <c r="AD64" i="10"/>
  <c r="AC64" i="10"/>
  <c r="AK64" i="10"/>
  <c r="AG64" i="10"/>
  <c r="Z64" i="10"/>
  <c r="AN64" i="10"/>
  <c r="N63" i="10"/>
  <c r="P63" i="10"/>
  <c r="O100" i="10"/>
  <c r="Z100" i="10"/>
  <c r="AB100" i="10"/>
  <c r="W100" i="10"/>
  <c r="I100" i="10"/>
  <c r="AH100" i="10"/>
  <c r="AJ100" i="10"/>
  <c r="K63" i="10"/>
  <c r="AK63" i="10"/>
  <c r="AB63" i="10"/>
  <c r="X63" i="10"/>
  <c r="J63" i="10"/>
  <c r="AM4" i="9"/>
  <c r="AM5" i="9"/>
  <c r="AM33" i="9"/>
  <c r="AM6" i="9"/>
  <c r="AM34" i="9"/>
  <c r="AM35" i="9"/>
  <c r="AM7" i="9"/>
  <c r="AM36" i="9"/>
  <c r="AM8" i="9"/>
  <c r="AM37" i="9"/>
  <c r="AM9" i="9"/>
  <c r="AM38" i="9"/>
  <c r="AM10" i="9"/>
  <c r="AM11" i="9"/>
  <c r="AM39" i="9"/>
  <c r="AM12" i="9"/>
  <c r="AM40" i="9"/>
  <c r="AM41" i="9"/>
  <c r="AM13" i="9"/>
  <c r="AM14" i="9"/>
  <c r="AM42" i="9"/>
  <c r="AM43" i="9"/>
  <c r="AM15" i="9"/>
  <c r="AM44" i="9"/>
  <c r="AM16" i="9"/>
  <c r="AM17" i="9"/>
  <c r="AM45" i="9"/>
  <c r="AM18" i="9"/>
  <c r="AM46" i="9"/>
  <c r="AM47" i="9"/>
  <c r="AM19" i="9"/>
  <c r="AM48" i="9"/>
  <c r="AM20" i="9"/>
  <c r="AM49" i="9"/>
  <c r="AM21" i="9"/>
  <c r="AM50" i="9"/>
  <c r="AM22" i="9"/>
  <c r="AM51" i="9"/>
  <c r="AM23" i="9"/>
  <c r="AM52" i="9"/>
  <c r="AM24" i="9"/>
  <c r="AM53" i="9"/>
  <c r="AM25" i="9"/>
  <c r="AM26" i="9"/>
  <c r="AM54" i="9"/>
  <c r="AM55" i="9"/>
  <c r="AM27" i="9"/>
  <c r="AM28" i="9"/>
  <c r="AM56" i="9"/>
  <c r="AM29" i="9"/>
  <c r="AM57" i="9"/>
  <c r="AM58" i="9"/>
  <c r="AM30" i="9"/>
  <c r="AM59" i="9"/>
  <c r="AM31" i="9"/>
  <c r="AM32" i="9"/>
  <c r="AM60" i="9"/>
  <c r="AM61" i="9"/>
  <c r="AM62" i="9"/>
  <c r="AM63" i="9"/>
  <c r="G64" i="9"/>
  <c r="U64" i="9"/>
  <c r="AA64" i="9"/>
  <c r="F65" i="9"/>
  <c r="AB64" i="9"/>
  <c r="AE64" i="9"/>
  <c r="P64" i="9"/>
  <c r="AI36" i="8"/>
  <c r="P36" i="8"/>
  <c r="L36" i="8"/>
  <c r="AA36" i="8"/>
  <c r="AG36" i="8"/>
  <c r="H36" i="8"/>
  <c r="AL36" i="8"/>
  <c r="S36" i="8"/>
  <c r="Y36" i="8"/>
  <c r="AK36" i="8"/>
  <c r="G36" i="8"/>
  <c r="AJ36" i="8"/>
  <c r="AE36" i="8"/>
  <c r="K36" i="8"/>
  <c r="Q36" i="8"/>
  <c r="T36" i="8"/>
  <c r="M36" i="8"/>
  <c r="AM4" i="8"/>
  <c r="AM20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B36" i="8"/>
  <c r="AD36" i="8"/>
  <c r="AH36" i="8"/>
  <c r="I36" i="8"/>
  <c r="U36" i="8"/>
  <c r="Z36" i="8"/>
  <c r="O36" i="8"/>
  <c r="W36" i="8"/>
  <c r="R36" i="8"/>
  <c r="AF36" i="8"/>
  <c r="N36" i="8"/>
  <c r="V36" i="8"/>
  <c r="J36" i="8"/>
  <c r="X36" i="8"/>
  <c r="AC36" i="3"/>
  <c r="S36" i="3"/>
  <c r="V36" i="3"/>
  <c r="I36" i="3"/>
  <c r="AO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B36" i="3"/>
  <c r="AH36" i="3"/>
  <c r="AF36" i="3"/>
  <c r="N36" i="3"/>
  <c r="U36" i="3"/>
  <c r="Z36" i="3"/>
  <c r="X36" i="3"/>
  <c r="M36" i="3"/>
  <c r="H36" i="3"/>
  <c r="T36" i="3"/>
  <c r="O36" i="3"/>
  <c r="AM36" i="3"/>
  <c r="L36" i="3"/>
  <c r="AK36" i="3"/>
  <c r="AE36" i="3"/>
  <c r="K36" i="3"/>
  <c r="AJ36" i="3"/>
  <c r="AG36" i="3"/>
  <c r="W36" i="3"/>
  <c r="R36" i="3"/>
  <c r="AI36" i="3"/>
  <c r="Y36" i="3"/>
  <c r="AL36" i="3"/>
  <c r="J36" i="3"/>
  <c r="AA36" i="3"/>
  <c r="G36" i="3"/>
  <c r="AD36" i="3"/>
  <c r="Q36" i="3"/>
  <c r="AN3" i="9"/>
  <c r="AN3" i="8"/>
  <c r="F37" i="8"/>
  <c r="F37" i="3"/>
  <c r="S37" i="3" s="1"/>
  <c r="AO4" i="11" l="1"/>
  <c r="AO5" i="11"/>
  <c r="AO84" i="11"/>
  <c r="AO58" i="11"/>
  <c r="AO6" i="11"/>
  <c r="AO29" i="11"/>
  <c r="AO7" i="11"/>
  <c r="AO85" i="11"/>
  <c r="AO59" i="11"/>
  <c r="AO30" i="11"/>
  <c r="AO31" i="11"/>
  <c r="AO86" i="11"/>
  <c r="AO8" i="11"/>
  <c r="AO60" i="11"/>
  <c r="AO61" i="11"/>
  <c r="AO9" i="11"/>
  <c r="AO87" i="11"/>
  <c r="AO32" i="11"/>
  <c r="AO33" i="11"/>
  <c r="AO10" i="11"/>
  <c r="AO88" i="11"/>
  <c r="AO62" i="11"/>
  <c r="AO63" i="11"/>
  <c r="AO89" i="11"/>
  <c r="AO34" i="11"/>
  <c r="AO11" i="11"/>
  <c r="AO12" i="11"/>
  <c r="AO64" i="11"/>
  <c r="AO35" i="11"/>
  <c r="AO90" i="11"/>
  <c r="AO91" i="11"/>
  <c r="AO36" i="11"/>
  <c r="AO65" i="11"/>
  <c r="AO13" i="11"/>
  <c r="AO92" i="11"/>
  <c r="AO14" i="11"/>
  <c r="AO37" i="11"/>
  <c r="AO66" i="11"/>
  <c r="AO38" i="11"/>
  <c r="AO93" i="11"/>
  <c r="AO67" i="11"/>
  <c r="AO15" i="11"/>
  <c r="AO68" i="11"/>
  <c r="AO16" i="11"/>
  <c r="AO94" i="11"/>
  <c r="AO39" i="11"/>
  <c r="AO17" i="11"/>
  <c r="AO95" i="11"/>
  <c r="AO40" i="11"/>
  <c r="AO69" i="11"/>
  <c r="AO70" i="11"/>
  <c r="AO18" i="11"/>
  <c r="AO41" i="11"/>
  <c r="AO96" i="11"/>
  <c r="AO19" i="11"/>
  <c r="AO42" i="11"/>
  <c r="AO97" i="11"/>
  <c r="AO71" i="11"/>
  <c r="AO20" i="11"/>
  <c r="AO98" i="11"/>
  <c r="AO43" i="11"/>
  <c r="AO72" i="11"/>
  <c r="AO73" i="11"/>
  <c r="AO44" i="11"/>
  <c r="AO99" i="11"/>
  <c r="AO21" i="11"/>
  <c r="AO22" i="11"/>
  <c r="AO100" i="11"/>
  <c r="AO45" i="11"/>
  <c r="AO74" i="11"/>
  <c r="AO101" i="11"/>
  <c r="AO23" i="11"/>
  <c r="AO75" i="11"/>
  <c r="AO46" i="11"/>
  <c r="AO47" i="11"/>
  <c r="AO102" i="11"/>
  <c r="AO76" i="11"/>
  <c r="AO24" i="11"/>
  <c r="AO103" i="11"/>
  <c r="AO48" i="11"/>
  <c r="AO25" i="11"/>
  <c r="AO77" i="11"/>
  <c r="AO49" i="11"/>
  <c r="AO26" i="11"/>
  <c r="AO78" i="11"/>
  <c r="AO27" i="11"/>
  <c r="AO79" i="11"/>
  <c r="AO50" i="11"/>
  <c r="AO51" i="11"/>
  <c r="AO80" i="11"/>
  <c r="AO28" i="11"/>
  <c r="AO52" i="11"/>
  <c r="AO81" i="11"/>
  <c r="AO82" i="11"/>
  <c r="AO53" i="11"/>
  <c r="AO83" i="11"/>
  <c r="AO54" i="11"/>
  <c r="AO55" i="11"/>
  <c r="AO56" i="11"/>
  <c r="AO57" i="11"/>
  <c r="L101" i="10"/>
  <c r="AK101" i="10"/>
  <c r="AD101" i="10"/>
  <c r="AH101" i="10"/>
  <c r="W101" i="10"/>
  <c r="Z101" i="10"/>
  <c r="P101" i="10"/>
  <c r="AI101" i="10"/>
  <c r="I101" i="10"/>
  <c r="X64" i="10"/>
  <c r="AO64" i="10"/>
  <c r="R64" i="10"/>
  <c r="AJ64" i="10"/>
  <c r="K64" i="10"/>
  <c r="AI64" i="10"/>
  <c r="AF64" i="10"/>
  <c r="M64" i="10"/>
  <c r="AL64" i="10"/>
  <c r="K101" i="10"/>
  <c r="M101" i="10"/>
  <c r="AL101" i="10"/>
  <c r="X101" i="10"/>
  <c r="W64" i="10"/>
  <c r="P64" i="10"/>
  <c r="H64" i="10"/>
  <c r="U64" i="10"/>
  <c r="S101" i="10"/>
  <c r="U101" i="10"/>
  <c r="G101" i="10"/>
  <c r="AF101" i="10"/>
  <c r="Y64" i="10"/>
  <c r="AA64" i="10"/>
  <c r="S64" i="10"/>
  <c r="AA101" i="10"/>
  <c r="AC101" i="10"/>
  <c r="O101" i="10"/>
  <c r="AO5" i="10"/>
  <c r="AO4" i="10"/>
  <c r="AO69" i="10"/>
  <c r="AO70" i="10"/>
  <c r="AO33" i="10"/>
  <c r="AO6" i="10"/>
  <c r="AO7" i="10"/>
  <c r="AO71" i="10"/>
  <c r="AO34" i="10"/>
  <c r="AO72" i="10"/>
  <c r="AO35" i="10"/>
  <c r="AO8" i="10"/>
  <c r="AO9" i="10"/>
  <c r="AO36" i="10"/>
  <c r="AO73" i="10"/>
  <c r="AO37" i="10"/>
  <c r="AO10" i="10"/>
  <c r="AO74" i="10"/>
  <c r="AO75" i="10"/>
  <c r="AO38" i="10"/>
  <c r="AO11" i="10"/>
  <c r="AO76" i="10"/>
  <c r="AO39" i="10"/>
  <c r="AO12" i="10"/>
  <c r="AO13" i="10"/>
  <c r="AO77" i="10"/>
  <c r="AO40" i="10"/>
  <c r="AO78" i="10"/>
  <c r="AO41" i="10"/>
  <c r="AO14" i="10"/>
  <c r="AO79" i="10"/>
  <c r="AO15" i="10"/>
  <c r="AO42" i="10"/>
  <c r="AO43" i="10"/>
  <c r="AO16" i="10"/>
  <c r="AO80" i="10"/>
  <c r="AO81" i="10"/>
  <c r="AO17" i="10"/>
  <c r="AO44" i="10"/>
  <c r="AO45" i="10"/>
  <c r="AO82" i="10"/>
  <c r="AO18" i="10"/>
  <c r="AO19" i="10"/>
  <c r="AO83" i="10"/>
  <c r="AO46" i="10"/>
  <c r="AO20" i="10"/>
  <c r="AO84" i="10"/>
  <c r="AO47" i="10"/>
  <c r="AO85" i="10"/>
  <c r="AO21" i="10"/>
  <c r="AO48" i="10"/>
  <c r="AO86" i="10"/>
  <c r="AO49" i="10"/>
  <c r="AO22" i="10"/>
  <c r="AO50" i="10"/>
  <c r="AO23" i="10"/>
  <c r="AO87" i="10"/>
  <c r="AO88" i="10"/>
  <c r="AO24" i="10"/>
  <c r="AO51" i="10"/>
  <c r="AO52" i="10"/>
  <c r="AO89" i="10"/>
  <c r="AO25" i="10"/>
  <c r="AO26" i="10"/>
  <c r="AO90" i="10"/>
  <c r="AO53" i="10"/>
  <c r="AO91" i="10"/>
  <c r="AO54" i="10"/>
  <c r="AO27" i="10"/>
  <c r="AO28" i="10"/>
  <c r="AO92" i="10"/>
  <c r="AO55" i="10"/>
  <c r="AO29" i="10"/>
  <c r="AO93" i="10"/>
  <c r="AO56" i="10"/>
  <c r="AO57" i="10"/>
  <c r="AO94" i="10"/>
  <c r="AO30" i="10"/>
  <c r="AO31" i="10"/>
  <c r="AO95" i="10"/>
  <c r="AO58" i="10"/>
  <c r="AO96" i="10"/>
  <c r="AO59" i="10"/>
  <c r="AO32" i="10"/>
  <c r="AO60" i="10"/>
  <c r="AO97" i="10"/>
  <c r="AO98" i="10"/>
  <c r="AO61" i="10"/>
  <c r="AO99" i="10"/>
  <c r="AO62" i="10"/>
  <c r="AO63" i="10"/>
  <c r="AO100" i="10"/>
  <c r="AK102" i="10"/>
  <c r="AE101" i="10"/>
  <c r="Q101" i="10"/>
  <c r="X65" i="10"/>
  <c r="V65" i="10"/>
  <c r="G65" i="10"/>
  <c r="Q65" i="10"/>
  <c r="N65" i="10"/>
  <c r="I64" i="10"/>
  <c r="AM64" i="10"/>
  <c r="AE64" i="10"/>
  <c r="T64" i="10"/>
  <c r="N64" i="10"/>
  <c r="J101" i="10"/>
  <c r="T101" i="10"/>
  <c r="N101" i="10"/>
  <c r="AM101" i="10"/>
  <c r="Y101" i="10"/>
  <c r="AH64" i="10"/>
  <c r="Q64" i="10"/>
  <c r="L64" i="10"/>
  <c r="O64" i="10"/>
  <c r="J64" i="10"/>
  <c r="G64" i="10"/>
  <c r="AB64" i="10"/>
  <c r="V64" i="10"/>
  <c r="R101" i="10"/>
  <c r="AB101" i="10"/>
  <c r="V101" i="10"/>
  <c r="H101" i="10"/>
  <c r="AG101" i="10"/>
  <c r="AO101" i="10"/>
  <c r="F66" i="9"/>
  <c r="H66" i="9" s="1"/>
  <c r="Y65" i="9"/>
  <c r="Q65" i="9"/>
  <c r="P65" i="9"/>
  <c r="U65" i="9"/>
  <c r="T65" i="9"/>
  <c r="AB65" i="9"/>
  <c r="H65" i="9"/>
  <c r="M65" i="9"/>
  <c r="AG65" i="9"/>
  <c r="AC65" i="9"/>
  <c r="O65" i="9"/>
  <c r="AI65" i="9"/>
  <c r="AN4" i="9"/>
  <c r="AN33" i="9"/>
  <c r="AN5" i="9"/>
  <c r="AN34" i="9"/>
  <c r="AN6" i="9"/>
  <c r="AN35" i="9"/>
  <c r="AN7" i="9"/>
  <c r="AN8" i="9"/>
  <c r="AN36" i="9"/>
  <c r="AN37" i="9"/>
  <c r="AN9" i="9"/>
  <c r="AN10" i="9"/>
  <c r="AN38" i="9"/>
  <c r="AN11" i="9"/>
  <c r="AN39" i="9"/>
  <c r="AN40" i="9"/>
  <c r="AN12" i="9"/>
  <c r="AN13" i="9"/>
  <c r="AN41" i="9"/>
  <c r="AN14" i="9"/>
  <c r="AN42" i="9"/>
  <c r="AN15" i="9"/>
  <c r="AN43" i="9"/>
  <c r="AN16" i="9"/>
  <c r="AN44" i="9"/>
  <c r="AN45" i="9"/>
  <c r="AN17" i="9"/>
  <c r="AN46" i="9"/>
  <c r="AN18" i="9"/>
  <c r="AN47" i="9"/>
  <c r="AN19" i="9"/>
  <c r="AN48" i="9"/>
  <c r="AN20" i="9"/>
  <c r="AN49" i="9"/>
  <c r="AN21" i="9"/>
  <c r="AN50" i="9"/>
  <c r="AN22" i="9"/>
  <c r="AN23" i="9"/>
  <c r="AN51" i="9"/>
  <c r="AN24" i="9"/>
  <c r="AN52" i="9"/>
  <c r="AN53" i="9"/>
  <c r="AN25" i="9"/>
  <c r="AN54" i="9"/>
  <c r="AN26" i="9"/>
  <c r="AN27" i="9"/>
  <c r="AN55" i="9"/>
  <c r="AN28" i="9"/>
  <c r="AN56" i="9"/>
  <c r="AN29" i="9"/>
  <c r="AN57" i="9"/>
  <c r="AN30" i="9"/>
  <c r="AN58" i="9"/>
  <c r="AN59" i="9"/>
  <c r="AN31" i="9"/>
  <c r="AN60" i="9"/>
  <c r="AN32" i="9"/>
  <c r="AN61" i="9"/>
  <c r="AN62" i="9"/>
  <c r="AN63" i="9"/>
  <c r="AN64" i="9"/>
  <c r="I65" i="9"/>
  <c r="X65" i="9"/>
  <c r="AL65" i="9"/>
  <c r="AM65" i="9"/>
  <c r="AD65" i="9"/>
  <c r="AA65" i="9"/>
  <c r="AJ65" i="9"/>
  <c r="G65" i="9"/>
  <c r="J65" i="9"/>
  <c r="V65" i="9"/>
  <c r="S65" i="9"/>
  <c r="W65" i="9"/>
  <c r="AF65" i="9"/>
  <c r="AK65" i="9"/>
  <c r="L65" i="9"/>
  <c r="Z65" i="9"/>
  <c r="AE65" i="9"/>
  <c r="AH65" i="9"/>
  <c r="AN65" i="9"/>
  <c r="N65" i="9"/>
  <c r="K65" i="9"/>
  <c r="R65" i="9"/>
  <c r="S37" i="8"/>
  <c r="AC37" i="8"/>
  <c r="P37" i="8"/>
  <c r="J37" i="8"/>
  <c r="AL37" i="8"/>
  <c r="AM37" i="8"/>
  <c r="AG37" i="8"/>
  <c r="H37" i="8"/>
  <c r="AN4" i="8"/>
  <c r="AN20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H37" i="8"/>
  <c r="AB37" i="8"/>
  <c r="Y37" i="8"/>
  <c r="O37" i="8"/>
  <c r="AE37" i="8"/>
  <c r="AK37" i="8"/>
  <c r="K37" i="8"/>
  <c r="G37" i="8"/>
  <c r="Z37" i="8"/>
  <c r="W37" i="8"/>
  <c r="AN37" i="8"/>
  <c r="V37" i="8"/>
  <c r="T37" i="8"/>
  <c r="AI37" i="8"/>
  <c r="AF37" i="8"/>
  <c r="N37" i="8"/>
  <c r="AJ37" i="8"/>
  <c r="AD37" i="8"/>
  <c r="AA37" i="8"/>
  <c r="X37" i="8"/>
  <c r="M37" i="8"/>
  <c r="U37" i="8"/>
  <c r="L37" i="8"/>
  <c r="Q37" i="8"/>
  <c r="I37" i="8"/>
  <c r="R37" i="8"/>
  <c r="J37" i="3"/>
  <c r="P37" i="3"/>
  <c r="AD37" i="3"/>
  <c r="AB37" i="3"/>
  <c r="AO37" i="3"/>
  <c r="H37" i="3"/>
  <c r="V37" i="3"/>
  <c r="T37" i="3"/>
  <c r="I37" i="3"/>
  <c r="AM37" i="3"/>
  <c r="N37" i="3"/>
  <c r="L37" i="3"/>
  <c r="AH37" i="3"/>
  <c r="AE37" i="3"/>
  <c r="AK37" i="3"/>
  <c r="AI37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Z37" i="3"/>
  <c r="AG37" i="3"/>
  <c r="W37" i="3"/>
  <c r="AC37" i="3"/>
  <c r="AA37" i="3"/>
  <c r="Y37" i="3"/>
  <c r="AN37" i="3"/>
  <c r="O37" i="3"/>
  <c r="U37" i="3"/>
  <c r="R37" i="3"/>
  <c r="AF37" i="3"/>
  <c r="G37" i="3"/>
  <c r="M37" i="3"/>
  <c r="K37" i="3"/>
  <c r="Q37" i="3"/>
  <c r="X37" i="3"/>
  <c r="AL37" i="3"/>
  <c r="AJ37" i="3"/>
  <c r="AO3" i="9"/>
  <c r="AO66" i="9" s="1"/>
  <c r="AO3" i="8"/>
  <c r="F38" i="8"/>
  <c r="V38" i="8" s="1"/>
  <c r="F38" i="3"/>
  <c r="AF38" i="3" s="1"/>
  <c r="AC66" i="9" l="1"/>
  <c r="AO38" i="8"/>
  <c r="AI66" i="9"/>
  <c r="AN66" i="9"/>
  <c r="AG66" i="9"/>
  <c r="L66" i="9"/>
  <c r="Z66" i="9"/>
  <c r="N66" i="9"/>
  <c r="I66" i="9"/>
  <c r="O102" i="10"/>
  <c r="AC102" i="10"/>
  <c r="H102" i="10"/>
  <c r="AN102" i="10"/>
  <c r="AG102" i="10"/>
  <c r="Z102" i="10"/>
  <c r="AA102" i="10"/>
  <c r="AD102" i="10"/>
  <c r="AB102" i="10"/>
  <c r="W65" i="10"/>
  <c r="J65" i="10"/>
  <c r="AB65" i="10"/>
  <c r="M65" i="10"/>
  <c r="AD65" i="10"/>
  <c r="AK66" i="10"/>
  <c r="AH66" i="10"/>
  <c r="P66" i="10"/>
  <c r="AJ65" i="10"/>
  <c r="Y65" i="10"/>
  <c r="W102" i="10"/>
  <c r="I102" i="10"/>
  <c r="AH102" i="10"/>
  <c r="AJ102" i="10"/>
  <c r="AC65" i="10"/>
  <c r="T65" i="10"/>
  <c r="H65" i="10"/>
  <c r="AG65" i="10"/>
  <c r="N102" i="10"/>
  <c r="AE102" i="10"/>
  <c r="Q102" i="10"/>
  <c r="K102" i="10"/>
  <c r="M102" i="10"/>
  <c r="AK65" i="10"/>
  <c r="AE65" i="10"/>
  <c r="P65" i="10"/>
  <c r="AO65" i="10"/>
  <c r="V102" i="10"/>
  <c r="AM102" i="10"/>
  <c r="Y102" i="10"/>
  <c r="S102" i="10"/>
  <c r="U102" i="10"/>
  <c r="AM65" i="10"/>
  <c r="AA65" i="10"/>
  <c r="U65" i="10"/>
  <c r="AF65" i="10"/>
  <c r="R65" i="10"/>
  <c r="AL102" i="10"/>
  <c r="P102" i="10"/>
  <c r="AO102" i="10"/>
  <c r="AI102" i="10"/>
  <c r="L65" i="10"/>
  <c r="AL65" i="10"/>
  <c r="AI65" i="10"/>
  <c r="AN65" i="10"/>
  <c r="Z65" i="10"/>
  <c r="AO103" i="10"/>
  <c r="AL103" i="10"/>
  <c r="AF103" i="10"/>
  <c r="M103" i="10"/>
  <c r="T103" i="10"/>
  <c r="L103" i="10"/>
  <c r="R103" i="10"/>
  <c r="J103" i="10"/>
  <c r="X102" i="10"/>
  <c r="J102" i="10"/>
  <c r="L102" i="10"/>
  <c r="O65" i="10"/>
  <c r="S65" i="10"/>
  <c r="K65" i="10"/>
  <c r="I65" i="10"/>
  <c r="AH65" i="10"/>
  <c r="G102" i="10"/>
  <c r="AF102" i="10"/>
  <c r="R102" i="10"/>
  <c r="T102" i="10"/>
  <c r="V66" i="9"/>
  <c r="U66" i="9"/>
  <c r="R66" i="9"/>
  <c r="Q66" i="9"/>
  <c r="Y66" i="9"/>
  <c r="M66" i="9"/>
  <c r="J66" i="9"/>
  <c r="AJ66" i="9"/>
  <c r="AM66" i="9"/>
  <c r="AA66" i="9"/>
  <c r="AF66" i="9"/>
  <c r="AB66" i="9"/>
  <c r="AE66" i="9"/>
  <c r="W66" i="9"/>
  <c r="S66" i="9"/>
  <c r="X66" i="9"/>
  <c r="AO4" i="9"/>
  <c r="AO5" i="9"/>
  <c r="AO33" i="9"/>
  <c r="AO34" i="9"/>
  <c r="AO6" i="9"/>
  <c r="AO35" i="9"/>
  <c r="AO7" i="9"/>
  <c r="AO36" i="9"/>
  <c r="AO8" i="9"/>
  <c r="AO37" i="9"/>
  <c r="AO9" i="9"/>
  <c r="AO38" i="9"/>
  <c r="AO10" i="9"/>
  <c r="AO11" i="9"/>
  <c r="AO39" i="9"/>
  <c r="AO12" i="9"/>
  <c r="AO40" i="9"/>
  <c r="AO13" i="9"/>
  <c r="AO41" i="9"/>
  <c r="AO42" i="9"/>
  <c r="AO14" i="9"/>
  <c r="AO43" i="9"/>
  <c r="AO15" i="9"/>
  <c r="AO16" i="9"/>
  <c r="AO44" i="9"/>
  <c r="AO45" i="9"/>
  <c r="AO17" i="9"/>
  <c r="AO18" i="9"/>
  <c r="AO46" i="9"/>
  <c r="AO47" i="9"/>
  <c r="AO19" i="9"/>
  <c r="AO48" i="9"/>
  <c r="AO20" i="9"/>
  <c r="AO49" i="9"/>
  <c r="AO21" i="9"/>
  <c r="AO22" i="9"/>
  <c r="AO50" i="9"/>
  <c r="AO23" i="9"/>
  <c r="AO51" i="9"/>
  <c r="AO24" i="9"/>
  <c r="AO52" i="9"/>
  <c r="AO25" i="9"/>
  <c r="AO53" i="9"/>
  <c r="AO54" i="9"/>
  <c r="AO26" i="9"/>
  <c r="AO27" i="9"/>
  <c r="AO55" i="9"/>
  <c r="AO28" i="9"/>
  <c r="AO56" i="9"/>
  <c r="AO57" i="9"/>
  <c r="AO29" i="9"/>
  <c r="AO30" i="9"/>
  <c r="AO58" i="9"/>
  <c r="AO59" i="9"/>
  <c r="AO31" i="9"/>
  <c r="AO60" i="9"/>
  <c r="AO32" i="9"/>
  <c r="AO61" i="9"/>
  <c r="AO62" i="9"/>
  <c r="AO63" i="9"/>
  <c r="AO64" i="9"/>
  <c r="AO65" i="9"/>
  <c r="T66" i="9"/>
  <c r="O66" i="9"/>
  <c r="G66" i="9"/>
  <c r="K66" i="9"/>
  <c r="P66" i="9"/>
  <c r="AL66" i="9"/>
  <c r="AD66" i="9"/>
  <c r="AK66" i="9"/>
  <c r="AH66" i="9"/>
  <c r="F67" i="9"/>
  <c r="U67" i="9" s="1"/>
  <c r="AI38" i="8"/>
  <c r="AH38" i="8"/>
  <c r="AL38" i="8"/>
  <c r="L38" i="8"/>
  <c r="T38" i="8"/>
  <c r="AA38" i="8"/>
  <c r="AD38" i="8"/>
  <c r="J38" i="8"/>
  <c r="I38" i="8"/>
  <c r="O38" i="8"/>
  <c r="Y38" i="8"/>
  <c r="AG38" i="8"/>
  <c r="AN38" i="8"/>
  <c r="N38" i="8"/>
  <c r="W38" i="8"/>
  <c r="S38" i="8"/>
  <c r="AF38" i="8"/>
  <c r="AK38" i="8"/>
  <c r="AM38" i="8"/>
  <c r="Q38" i="8"/>
  <c r="G38" i="8"/>
  <c r="X38" i="8"/>
  <c r="AC38" i="8"/>
  <c r="AB38" i="8"/>
  <c r="AJ38" i="8"/>
  <c r="AE38" i="8"/>
  <c r="P38" i="8"/>
  <c r="U38" i="8"/>
  <c r="AO4" i="8"/>
  <c r="AO5" i="8"/>
  <c r="AO20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Z38" i="8"/>
  <c r="K38" i="8"/>
  <c r="R38" i="8"/>
  <c r="H38" i="8"/>
  <c r="M38" i="8"/>
  <c r="G38" i="3"/>
  <c r="AJ38" i="3"/>
  <c r="AH38" i="3"/>
  <c r="I38" i="3"/>
  <c r="AL38" i="3"/>
  <c r="AB38" i="3"/>
  <c r="Z38" i="3"/>
  <c r="AN38" i="3"/>
  <c r="AE38" i="3"/>
  <c r="T38" i="3"/>
  <c r="R38" i="3"/>
  <c r="W38" i="3"/>
  <c r="AD38" i="3"/>
  <c r="L38" i="3"/>
  <c r="J38" i="3"/>
  <c r="X38" i="3"/>
  <c r="V38" i="3"/>
  <c r="AK38" i="3"/>
  <c r="AI38" i="3"/>
  <c r="AO38" i="3"/>
  <c r="P38" i="3"/>
  <c r="O38" i="3"/>
  <c r="AC38" i="3"/>
  <c r="AA38" i="3"/>
  <c r="AG38" i="3"/>
  <c r="H38" i="3"/>
  <c r="N38" i="3"/>
  <c r="U38" i="3"/>
  <c r="S38" i="3"/>
  <c r="Y38" i="3"/>
  <c r="AM38" i="3"/>
  <c r="M38" i="3"/>
  <c r="K38" i="3"/>
  <c r="Q38" i="3"/>
  <c r="F39" i="8"/>
  <c r="AI39" i="8" s="1"/>
  <c r="F39" i="3"/>
  <c r="N39" i="3" s="1"/>
  <c r="L67" i="9" l="1"/>
  <c r="AE67" i="9"/>
  <c r="R67" i="9"/>
  <c r="AA67" i="9"/>
  <c r="W67" i="9"/>
  <c r="Q67" i="9"/>
  <c r="K67" i="9"/>
  <c r="G67" i="9"/>
  <c r="V67" i="9"/>
  <c r="M67" i="9"/>
  <c r="Y67" i="9"/>
  <c r="Z67" i="9"/>
  <c r="S67" i="9"/>
  <c r="J67" i="9"/>
  <c r="AO67" i="9"/>
  <c r="AM67" i="9"/>
  <c r="I67" i="9"/>
  <c r="AF67" i="9"/>
  <c r="AD103" i="10"/>
  <c r="P103" i="10"/>
  <c r="AB103" i="10"/>
  <c r="AM103" i="10"/>
  <c r="Z103" i="10"/>
  <c r="AJ103" i="10"/>
  <c r="H103" i="10"/>
  <c r="X103" i="10"/>
  <c r="AH103" i="10"/>
  <c r="N103" i="10"/>
  <c r="Y103" i="10"/>
  <c r="K103" i="10"/>
  <c r="V103" i="10"/>
  <c r="AG103" i="10"/>
  <c r="J66" i="10"/>
  <c r="AN66" i="10"/>
  <c r="L66" i="10"/>
  <c r="O66" i="10"/>
  <c r="T66" i="10"/>
  <c r="AF66" i="10"/>
  <c r="AB66" i="10"/>
  <c r="AA66" i="10"/>
  <c r="N66" i="10"/>
  <c r="W66" i="10"/>
  <c r="V66" i="10"/>
  <c r="AA103" i="10"/>
  <c r="AC103" i="10"/>
  <c r="O103" i="10"/>
  <c r="AN103" i="10"/>
  <c r="R66" i="10"/>
  <c r="S66" i="10"/>
  <c r="K66" i="10"/>
  <c r="U66" i="10"/>
  <c r="AI103" i="10"/>
  <c r="AK103" i="10"/>
  <c r="W103" i="10"/>
  <c r="I103" i="10"/>
  <c r="Z66" i="10"/>
  <c r="AG66" i="10"/>
  <c r="Y66" i="10"/>
  <c r="AC66" i="10"/>
  <c r="AE103" i="10"/>
  <c r="Q103" i="10"/>
  <c r="AE66" i="10"/>
  <c r="I66" i="10"/>
  <c r="AM66" i="10"/>
  <c r="Y67" i="10"/>
  <c r="G66" i="10"/>
  <c r="AO66" i="10"/>
  <c r="X66" i="10"/>
  <c r="AJ66" i="10"/>
  <c r="AD66" i="10"/>
  <c r="S103" i="10"/>
  <c r="U103" i="10"/>
  <c r="G103" i="10"/>
  <c r="Q66" i="10"/>
  <c r="H66" i="10"/>
  <c r="AI66" i="10"/>
  <c r="M66" i="10"/>
  <c r="AL66" i="10"/>
  <c r="N67" i="9"/>
  <c r="AL67" i="9"/>
  <c r="AN67" i="9"/>
  <c r="O67" i="9"/>
  <c r="AJ67" i="9"/>
  <c r="X67" i="9"/>
  <c r="AK67" i="9"/>
  <c r="AI67" i="9"/>
  <c r="T67" i="9"/>
  <c r="P67" i="9"/>
  <c r="AC67" i="9"/>
  <c r="AG67" i="9"/>
  <c r="AD67" i="9"/>
  <c r="AB67" i="9"/>
  <c r="AH67" i="9"/>
  <c r="H67" i="9"/>
  <c r="F69" i="9"/>
  <c r="J68" i="9"/>
  <c r="G68" i="9"/>
  <c r="N68" i="9"/>
  <c r="V68" i="9"/>
  <c r="AD68" i="9"/>
  <c r="AL68" i="9"/>
  <c r="O68" i="9"/>
  <c r="W68" i="9"/>
  <c r="AE68" i="9"/>
  <c r="AM68" i="9"/>
  <c r="H68" i="9"/>
  <c r="Q68" i="9"/>
  <c r="Y68" i="9"/>
  <c r="AG68" i="9"/>
  <c r="AO68" i="9"/>
  <c r="I68" i="9"/>
  <c r="R68" i="9"/>
  <c r="Z68" i="9"/>
  <c r="AH68" i="9"/>
  <c r="T68" i="9"/>
  <c r="AJ68" i="9"/>
  <c r="X68" i="9"/>
  <c r="AN68" i="9"/>
  <c r="K68" i="9"/>
  <c r="AA68" i="9"/>
  <c r="M68" i="9"/>
  <c r="AC68" i="9"/>
  <c r="S68" i="9"/>
  <c r="U68" i="9"/>
  <c r="L68" i="9"/>
  <c r="AB68" i="9"/>
  <c r="AF68" i="9"/>
  <c r="AI68" i="9"/>
  <c r="AK68" i="9"/>
  <c r="P68" i="9"/>
  <c r="AN39" i="8"/>
  <c r="X39" i="8"/>
  <c r="AE39" i="8"/>
  <c r="S39" i="8"/>
  <c r="O39" i="8"/>
  <c r="L39" i="8"/>
  <c r="Q39" i="8"/>
  <c r="K39" i="8"/>
  <c r="AM39" i="8"/>
  <c r="AJ39" i="8"/>
  <c r="AK39" i="8"/>
  <c r="AH39" i="8"/>
  <c r="P39" i="8"/>
  <c r="N39" i="8"/>
  <c r="W39" i="8"/>
  <c r="AC39" i="8"/>
  <c r="Z39" i="8"/>
  <c r="AO39" i="8"/>
  <c r="AF39" i="8"/>
  <c r="I39" i="8"/>
  <c r="U39" i="8"/>
  <c r="R39" i="8"/>
  <c r="AD39" i="8"/>
  <c r="G39" i="8"/>
  <c r="AG39" i="8"/>
  <c r="M39" i="8"/>
  <c r="J39" i="8"/>
  <c r="Y39" i="8"/>
  <c r="AB39" i="8"/>
  <c r="V39" i="8"/>
  <c r="T39" i="8"/>
  <c r="AL39" i="8"/>
  <c r="H39" i="8"/>
  <c r="AA39" i="8"/>
  <c r="AB39" i="3"/>
  <c r="Y39" i="3"/>
  <c r="AM39" i="3"/>
  <c r="AA39" i="3"/>
  <c r="Q39" i="3"/>
  <c r="AE39" i="3"/>
  <c r="AK39" i="3"/>
  <c r="T39" i="3"/>
  <c r="AH39" i="3"/>
  <c r="I39" i="3"/>
  <c r="W39" i="3"/>
  <c r="AC39" i="3"/>
  <c r="S39" i="3"/>
  <c r="Z39" i="3"/>
  <c r="AN39" i="3"/>
  <c r="O39" i="3"/>
  <c r="U39" i="3"/>
  <c r="L39" i="3"/>
  <c r="R39" i="3"/>
  <c r="AF39" i="3"/>
  <c r="G39" i="3"/>
  <c r="M39" i="3"/>
  <c r="K39" i="3"/>
  <c r="J39" i="3"/>
  <c r="X39" i="3"/>
  <c r="AL39" i="3"/>
  <c r="AJ39" i="3"/>
  <c r="AO39" i="3"/>
  <c r="P39" i="3"/>
  <c r="AD39" i="3"/>
  <c r="AI39" i="3"/>
  <c r="AG39" i="3"/>
  <c r="H39" i="3"/>
  <c r="V39" i="3"/>
  <c r="F40" i="8"/>
  <c r="AE40" i="8" s="1"/>
  <c r="F40" i="3"/>
  <c r="AA40" i="3" s="1"/>
  <c r="AN40" i="8" l="1"/>
  <c r="O40" i="8"/>
  <c r="T40" i="8"/>
  <c r="AJ40" i="8"/>
  <c r="AD40" i="8"/>
  <c r="AO40" i="8"/>
  <c r="AL40" i="8"/>
  <c r="L40" i="8"/>
  <c r="U67" i="10"/>
  <c r="AM67" i="10"/>
  <c r="AB67" i="10"/>
  <c r="H67" i="10"/>
  <c r="AE67" i="10"/>
  <c r="P67" i="10"/>
  <c r="AC67" i="10"/>
  <c r="AD67" i="10"/>
  <c r="AF67" i="10"/>
  <c r="AJ67" i="10"/>
  <c r="AG67" i="10"/>
  <c r="L67" i="10"/>
  <c r="AO67" i="10"/>
  <c r="AI67" i="10"/>
  <c r="AA67" i="10"/>
  <c r="R67" i="10"/>
  <c r="W67" i="10"/>
  <c r="Q67" i="10"/>
  <c r="T67" i="10"/>
  <c r="AK67" i="10"/>
  <c r="AL68" i="10"/>
  <c r="AD68" i="10"/>
  <c r="V68" i="10"/>
  <c r="N68" i="10"/>
  <c r="AK68" i="10"/>
  <c r="AC68" i="10"/>
  <c r="U68" i="10"/>
  <c r="M68" i="10"/>
  <c r="AJ68" i="10"/>
  <c r="AB68" i="10"/>
  <c r="T68" i="10"/>
  <c r="L68" i="10"/>
  <c r="AE68" i="10"/>
  <c r="Q68" i="10"/>
  <c r="AO68" i="10"/>
  <c r="AA68" i="10"/>
  <c r="P68" i="10"/>
  <c r="AN68" i="10"/>
  <c r="Z68" i="10"/>
  <c r="O68" i="10"/>
  <c r="AM68" i="10"/>
  <c r="Y68" i="10"/>
  <c r="K68" i="10"/>
  <c r="AG68" i="10"/>
  <c r="S68" i="10"/>
  <c r="H68" i="10"/>
  <c r="AF68" i="10"/>
  <c r="X68" i="10"/>
  <c r="W68" i="10"/>
  <c r="R68" i="10"/>
  <c r="J68" i="10"/>
  <c r="AI68" i="10"/>
  <c r="G68" i="10"/>
  <c r="AH68" i="10"/>
  <c r="I68" i="10"/>
  <c r="K67" i="10"/>
  <c r="AL67" i="10"/>
  <c r="AN67" i="10"/>
  <c r="Z67" i="10"/>
  <c r="O67" i="10"/>
  <c r="V67" i="10"/>
  <c r="N67" i="10"/>
  <c r="I67" i="10"/>
  <c r="AH67" i="10"/>
  <c r="G67" i="10"/>
  <c r="S67" i="10"/>
  <c r="M67" i="10"/>
  <c r="X67" i="10"/>
  <c r="J67" i="10"/>
  <c r="F70" i="9"/>
  <c r="H70" i="9" s="1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K40" i="8"/>
  <c r="AB40" i="8"/>
  <c r="AI40" i="8"/>
  <c r="AF40" i="8"/>
  <c r="G40" i="8"/>
  <c r="Q40" i="8"/>
  <c r="N40" i="8"/>
  <c r="U40" i="8"/>
  <c r="X40" i="8"/>
  <c r="I40" i="8"/>
  <c r="P40" i="8"/>
  <c r="AA40" i="8"/>
  <c r="AH40" i="8"/>
  <c r="H40" i="8"/>
  <c r="AC40" i="8"/>
  <c r="M40" i="8"/>
  <c r="Z40" i="8"/>
  <c r="AM40" i="8"/>
  <c r="V40" i="8"/>
  <c r="AK40" i="8"/>
  <c r="R40" i="8"/>
  <c r="AG40" i="8"/>
  <c r="S40" i="8"/>
  <c r="Y40" i="8"/>
  <c r="J40" i="8"/>
  <c r="W40" i="8"/>
  <c r="AG40" i="3"/>
  <c r="G40" i="3"/>
  <c r="M40" i="3"/>
  <c r="K40" i="3"/>
  <c r="AF40" i="3"/>
  <c r="AL40" i="3"/>
  <c r="AJ40" i="3"/>
  <c r="AH40" i="3"/>
  <c r="Q40" i="3"/>
  <c r="Y40" i="3"/>
  <c r="AD40" i="3"/>
  <c r="AB40" i="3"/>
  <c r="Z40" i="3"/>
  <c r="P40" i="3"/>
  <c r="X40" i="3"/>
  <c r="V40" i="3"/>
  <c r="T40" i="3"/>
  <c r="R40" i="3"/>
  <c r="AO40" i="3"/>
  <c r="AM40" i="3"/>
  <c r="N40" i="3"/>
  <c r="L40" i="3"/>
  <c r="J40" i="3"/>
  <c r="I40" i="3"/>
  <c r="AE40" i="3"/>
  <c r="AK40" i="3"/>
  <c r="AI40" i="3"/>
  <c r="AN40" i="3"/>
  <c r="W40" i="3"/>
  <c r="AC40" i="3"/>
  <c r="H40" i="3"/>
  <c r="O40" i="3"/>
  <c r="U40" i="3"/>
  <c r="S40" i="3"/>
  <c r="F41" i="8"/>
  <c r="F41" i="3"/>
  <c r="AE41" i="3" s="1"/>
  <c r="U70" i="9" l="1"/>
  <c r="I70" i="9"/>
  <c r="AM70" i="9"/>
  <c r="W70" i="9"/>
  <c r="AN70" i="9"/>
  <c r="R70" i="9"/>
  <c r="J70" i="9"/>
  <c r="T70" i="9"/>
  <c r="Z70" i="9"/>
  <c r="L70" i="9"/>
  <c r="AL70" i="9"/>
  <c r="AA70" i="9"/>
  <c r="V70" i="9"/>
  <c r="AO70" i="9"/>
  <c r="AE70" i="9"/>
  <c r="AK70" i="9"/>
  <c r="AI70" i="9"/>
  <c r="P70" i="9"/>
  <c r="AH70" i="9"/>
  <c r="S70" i="9"/>
  <c r="O70" i="9"/>
  <c r="AD70" i="9"/>
  <c r="Y70" i="9"/>
  <c r="M70" i="9"/>
  <c r="AJ70" i="9"/>
  <c r="Q70" i="9"/>
  <c r="AK41" i="3"/>
  <c r="L41" i="3"/>
  <c r="AF70" i="9"/>
  <c r="N70" i="9"/>
  <c r="K70" i="9"/>
  <c r="X70" i="9"/>
  <c r="AC70" i="9"/>
  <c r="G70" i="9"/>
  <c r="AB70" i="9"/>
  <c r="AG70" i="9"/>
  <c r="F71" i="9"/>
  <c r="U71" i="9" s="1"/>
  <c r="I42" i="8"/>
  <c r="Q42" i="8"/>
  <c r="Y42" i="8"/>
  <c r="AG42" i="8"/>
  <c r="AO42" i="8"/>
  <c r="J42" i="8"/>
  <c r="R42" i="8"/>
  <c r="Z42" i="8"/>
  <c r="AH42" i="8"/>
  <c r="L42" i="8"/>
  <c r="T42" i="8"/>
  <c r="AB42" i="8"/>
  <c r="AJ42" i="8"/>
  <c r="O42" i="8"/>
  <c r="AC42" i="8"/>
  <c r="AN42" i="8"/>
  <c r="S42" i="8"/>
  <c r="AE42" i="8"/>
  <c r="G42" i="8"/>
  <c r="U42" i="8"/>
  <c r="AF42" i="8"/>
  <c r="H42" i="8"/>
  <c r="V42" i="8"/>
  <c r="AI42" i="8"/>
  <c r="X42" i="8"/>
  <c r="AD42" i="8"/>
  <c r="K42" i="8"/>
  <c r="AK42" i="8"/>
  <c r="M42" i="8"/>
  <c r="AL42" i="8"/>
  <c r="P42" i="8"/>
  <c r="W42" i="8"/>
  <c r="AA42" i="8"/>
  <c r="AM42" i="8"/>
  <c r="N42" i="8"/>
  <c r="AI41" i="8"/>
  <c r="AO41" i="8"/>
  <c r="AB41" i="8"/>
  <c r="Z41" i="8"/>
  <c r="N41" i="8"/>
  <c r="AA41" i="8"/>
  <c r="O41" i="8"/>
  <c r="T41" i="8"/>
  <c r="AN41" i="8"/>
  <c r="W41" i="8"/>
  <c r="X41" i="8"/>
  <c r="AH41" i="8"/>
  <c r="P41" i="8"/>
  <c r="G41" i="8"/>
  <c r="L41" i="8"/>
  <c r="AG41" i="8"/>
  <c r="I41" i="8"/>
  <c r="AL41" i="8"/>
  <c r="AK41" i="8"/>
  <c r="J41" i="8"/>
  <c r="AF41" i="8"/>
  <c r="Y41" i="8"/>
  <c r="AC41" i="8"/>
  <c r="H41" i="8"/>
  <c r="R41" i="8"/>
  <c r="K41" i="8"/>
  <c r="U41" i="8"/>
  <c r="V41" i="8"/>
  <c r="AD41" i="8"/>
  <c r="AM41" i="8"/>
  <c r="M41" i="8"/>
  <c r="S41" i="8"/>
  <c r="Q41" i="8"/>
  <c r="AE41" i="8"/>
  <c r="AJ41" i="8"/>
  <c r="N41" i="3"/>
  <c r="M41" i="3"/>
  <c r="AB41" i="3"/>
  <c r="Z41" i="3"/>
  <c r="AN41" i="3"/>
  <c r="O41" i="3"/>
  <c r="AA41" i="3"/>
  <c r="H41" i="3"/>
  <c r="AL41" i="3"/>
  <c r="T41" i="3"/>
  <c r="R41" i="3"/>
  <c r="AF41" i="3"/>
  <c r="G41" i="3"/>
  <c r="J41" i="3"/>
  <c r="X41" i="3"/>
  <c r="AI41" i="3"/>
  <c r="AO41" i="3"/>
  <c r="P41" i="3"/>
  <c r="V41" i="3"/>
  <c r="S41" i="3"/>
  <c r="Y41" i="3"/>
  <c r="AM41" i="3"/>
  <c r="AD41" i="3"/>
  <c r="AC41" i="3"/>
  <c r="AG41" i="3"/>
  <c r="U41" i="3"/>
  <c r="K41" i="3"/>
  <c r="Q41" i="3"/>
  <c r="AJ41" i="3"/>
  <c r="AH41" i="3"/>
  <c r="I41" i="3"/>
  <c r="W41" i="3"/>
  <c r="F71" i="8"/>
  <c r="F42" i="3"/>
  <c r="AB42" i="3" s="1"/>
  <c r="AB71" i="9" l="1"/>
  <c r="J71" i="9"/>
  <c r="T71" i="9"/>
  <c r="AG71" i="9"/>
  <c r="H71" i="9"/>
  <c r="AC71" i="9"/>
  <c r="G71" i="9"/>
  <c r="Z71" i="9"/>
  <c r="M71" i="9"/>
  <c r="K71" i="9"/>
  <c r="X71" i="9"/>
  <c r="AH42" i="3"/>
  <c r="AA42" i="3"/>
  <c r="Q42" i="3"/>
  <c r="AE42" i="3"/>
  <c r="AK42" i="3"/>
  <c r="AI71" i="9"/>
  <c r="AE71" i="9"/>
  <c r="I71" i="9"/>
  <c r="V71" i="9"/>
  <c r="AH71" i="9"/>
  <c r="W71" i="9"/>
  <c r="Y71" i="9"/>
  <c r="AL71" i="9"/>
  <c r="R71" i="9"/>
  <c r="Q71" i="9"/>
  <c r="AD71" i="9"/>
  <c r="S71" i="9"/>
  <c r="O71" i="9"/>
  <c r="AN71" i="9"/>
  <c r="N71" i="9"/>
  <c r="L71" i="9"/>
  <c r="AA71" i="9"/>
  <c r="AF71" i="9"/>
  <c r="AK71" i="9"/>
  <c r="AM71" i="9"/>
  <c r="AJ71" i="9"/>
  <c r="AO71" i="9"/>
  <c r="P71" i="9"/>
  <c r="F72" i="9"/>
  <c r="R72" i="9" s="1"/>
  <c r="J72" i="9"/>
  <c r="Q72" i="9"/>
  <c r="R42" i="3"/>
  <c r="X42" i="3"/>
  <c r="AL42" i="3"/>
  <c r="AJ42" i="3"/>
  <c r="S42" i="3"/>
  <c r="P42" i="3"/>
  <c r="AD42" i="3"/>
  <c r="AO42" i="3"/>
  <c r="J42" i="3"/>
  <c r="AG42" i="3"/>
  <c r="H42" i="3"/>
  <c r="V42" i="3"/>
  <c r="T42" i="3"/>
  <c r="AF42" i="3"/>
  <c r="K42" i="3"/>
  <c r="AI42" i="3"/>
  <c r="Y42" i="3"/>
  <c r="AM42" i="3"/>
  <c r="N42" i="3"/>
  <c r="L42" i="3"/>
  <c r="I42" i="3"/>
  <c r="W42" i="3"/>
  <c r="AC42" i="3"/>
  <c r="Z42" i="3"/>
  <c r="AN42" i="3"/>
  <c r="O42" i="3"/>
  <c r="U42" i="3"/>
  <c r="G42" i="3"/>
  <c r="M42" i="3"/>
  <c r="F43" i="8"/>
  <c r="F43" i="3"/>
  <c r="Y43" i="3" s="1"/>
  <c r="H72" i="9" l="1"/>
  <c r="Y72" i="9"/>
  <c r="AL72" i="9"/>
  <c r="U72" i="9"/>
  <c r="X72" i="9"/>
  <c r="W72" i="9"/>
  <c r="T72" i="9"/>
  <c r="M72" i="9"/>
  <c r="G72" i="9"/>
  <c r="AI72" i="9"/>
  <c r="AG72" i="9"/>
  <c r="F73" i="9"/>
  <c r="W73" i="9" s="1"/>
  <c r="P72" i="9"/>
  <c r="AE72" i="9"/>
  <c r="AD72" i="9"/>
  <c r="AA72" i="9"/>
  <c r="S72" i="9"/>
  <c r="AF72" i="9"/>
  <c r="O72" i="9"/>
  <c r="V72" i="9"/>
  <c r="AO72" i="9"/>
  <c r="AB72" i="9"/>
  <c r="N72" i="9"/>
  <c r="K72" i="9"/>
  <c r="I72" i="9"/>
  <c r="L72" i="9"/>
  <c r="AK72" i="9"/>
  <c r="AH72" i="9"/>
  <c r="AJ72" i="9"/>
  <c r="AM72" i="9"/>
  <c r="AN72" i="9"/>
  <c r="AC72" i="9"/>
  <c r="Z72" i="9"/>
  <c r="V43" i="8"/>
  <c r="I43" i="8"/>
  <c r="U43" i="8"/>
  <c r="P43" i="8"/>
  <c r="R43" i="8"/>
  <c r="O43" i="8"/>
  <c r="M43" i="8"/>
  <c r="H43" i="8"/>
  <c r="Q43" i="8"/>
  <c r="T43" i="8"/>
  <c r="N43" i="8"/>
  <c r="J43" i="8"/>
  <c r="K43" i="8"/>
  <c r="S43" i="8"/>
  <c r="G43" i="8"/>
  <c r="W43" i="8"/>
  <c r="L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H43" i="3"/>
  <c r="AL43" i="3"/>
  <c r="AJ43" i="3"/>
  <c r="AH43" i="3"/>
  <c r="I43" i="3"/>
  <c r="G43" i="3"/>
  <c r="AD43" i="3"/>
  <c r="AB43" i="3"/>
  <c r="Z43" i="3"/>
  <c r="AF43" i="3"/>
  <c r="V43" i="3"/>
  <c r="T43" i="3"/>
  <c r="R43" i="3"/>
  <c r="AE43" i="3"/>
  <c r="N43" i="3"/>
  <c r="L43" i="3"/>
  <c r="J43" i="3"/>
  <c r="X43" i="3"/>
  <c r="AK43" i="3"/>
  <c r="AI43" i="3"/>
  <c r="AO43" i="3"/>
  <c r="W43" i="3"/>
  <c r="AC43" i="3"/>
  <c r="AA43" i="3"/>
  <c r="AG43" i="3"/>
  <c r="AN43" i="3"/>
  <c r="P43" i="3"/>
  <c r="U43" i="3"/>
  <c r="S43" i="3"/>
  <c r="AM43" i="3"/>
  <c r="O43" i="3"/>
  <c r="M43" i="3"/>
  <c r="K43" i="3"/>
  <c r="Q43" i="3"/>
  <c r="F44" i="8"/>
  <c r="S44" i="8" s="1"/>
  <c r="F44" i="3"/>
  <c r="G44" i="3" s="1"/>
  <c r="T73" i="9" l="1"/>
  <c r="G73" i="9"/>
  <c r="AB73" i="9"/>
  <c r="AF73" i="9"/>
  <c r="AA73" i="9"/>
  <c r="S73" i="9"/>
  <c r="Q73" i="9"/>
  <c r="L73" i="9"/>
  <c r="W44" i="3"/>
  <c r="AB44" i="3"/>
  <c r="U44" i="3"/>
  <c r="I44" i="3"/>
  <c r="K44" i="3"/>
  <c r="AH44" i="3"/>
  <c r="Q44" i="3"/>
  <c r="AC73" i="9"/>
  <c r="AO73" i="9"/>
  <c r="K73" i="9"/>
  <c r="P73" i="9"/>
  <c r="M73" i="9"/>
  <c r="Y73" i="9"/>
  <c r="AH73" i="9"/>
  <c r="H73" i="9"/>
  <c r="X73" i="9"/>
  <c r="AL73" i="9"/>
  <c r="I73" i="9"/>
  <c r="Z73" i="9"/>
  <c r="AM73" i="9"/>
  <c r="AJ73" i="9"/>
  <c r="AK73" i="9"/>
  <c r="AE73" i="9"/>
  <c r="AG73" i="9"/>
  <c r="AD73" i="9"/>
  <c r="U73" i="9"/>
  <c r="J73" i="9"/>
  <c r="F74" i="9"/>
  <c r="T74" i="9" s="1"/>
  <c r="R73" i="9"/>
  <c r="V73" i="9"/>
  <c r="N73" i="9"/>
  <c r="AI73" i="9"/>
  <c r="AN73" i="9"/>
  <c r="O73" i="9"/>
  <c r="AE44" i="8"/>
  <c r="AO44" i="8"/>
  <c r="M44" i="8"/>
  <c r="AJ44" i="8"/>
  <c r="H44" i="8"/>
  <c r="AC44" i="8"/>
  <c r="AH44" i="8"/>
  <c r="AB44" i="8"/>
  <c r="R44" i="8"/>
  <c r="P44" i="8"/>
  <c r="W44" i="8"/>
  <c r="T44" i="8"/>
  <c r="Q44" i="8"/>
  <c r="AN44" i="8"/>
  <c r="I44" i="8"/>
  <c r="L44" i="8"/>
  <c r="AK44" i="8"/>
  <c r="Z44" i="8"/>
  <c r="AL44" i="8"/>
  <c r="AI44" i="8"/>
  <c r="AG44" i="8"/>
  <c r="J44" i="8"/>
  <c r="O44" i="8"/>
  <c r="AD44" i="8"/>
  <c r="AA44" i="8"/>
  <c r="X44" i="8"/>
  <c r="AF44" i="8"/>
  <c r="AM44" i="8"/>
  <c r="V44" i="8"/>
  <c r="U44" i="8"/>
  <c r="G44" i="8"/>
  <c r="Y44" i="8"/>
  <c r="N44" i="8"/>
  <c r="K44" i="8"/>
  <c r="T44" i="3"/>
  <c r="Z44" i="3"/>
  <c r="AN44" i="3"/>
  <c r="O44" i="3"/>
  <c r="M44" i="3"/>
  <c r="L44" i="3"/>
  <c r="AK44" i="3"/>
  <c r="AI44" i="3"/>
  <c r="AO44" i="3"/>
  <c r="P44" i="3"/>
  <c r="AD44" i="3"/>
  <c r="AJ44" i="3"/>
  <c r="AG44" i="3"/>
  <c r="H44" i="3"/>
  <c r="V44" i="3"/>
  <c r="R44" i="3"/>
  <c r="J44" i="3"/>
  <c r="AA44" i="3"/>
  <c r="AC44" i="3"/>
  <c r="S44" i="3"/>
  <c r="Y44" i="3"/>
  <c r="AM44" i="3"/>
  <c r="N44" i="3"/>
  <c r="AE44" i="3"/>
  <c r="AF44" i="3"/>
  <c r="X44" i="3"/>
  <c r="AL44" i="3"/>
  <c r="F45" i="8"/>
  <c r="W45" i="8" s="1"/>
  <c r="F45" i="3"/>
  <c r="S45" i="3" s="1"/>
  <c r="AG74" i="9" l="1"/>
  <c r="AM74" i="9"/>
  <c r="Y74" i="9"/>
  <c r="G74" i="9"/>
  <c r="AD74" i="9"/>
  <c r="V74" i="9"/>
  <c r="M74" i="9"/>
  <c r="AA74" i="9"/>
  <c r="AE74" i="9"/>
  <c r="Q74" i="9"/>
  <c r="AH74" i="9"/>
  <c r="AJ74" i="9"/>
  <c r="AO74" i="9"/>
  <c r="W74" i="9"/>
  <c r="N74" i="9"/>
  <c r="R74" i="9"/>
  <c r="AB74" i="9"/>
  <c r="AI74" i="9"/>
  <c r="AF74" i="9"/>
  <c r="L74" i="9"/>
  <c r="Y45" i="3"/>
  <c r="R45" i="3"/>
  <c r="X45" i="3"/>
  <c r="P45" i="3"/>
  <c r="AL45" i="3"/>
  <c r="AJ45" i="3"/>
  <c r="S74" i="9"/>
  <c r="K74" i="9"/>
  <c r="AN74" i="9"/>
  <c r="O74" i="9"/>
  <c r="F75" i="9"/>
  <c r="Q75" i="9" s="1"/>
  <c r="AI75" i="9"/>
  <c r="N75" i="9"/>
  <c r="J74" i="9"/>
  <c r="I74" i="9"/>
  <c r="P74" i="9"/>
  <c r="AC74" i="9"/>
  <c r="X74" i="9"/>
  <c r="AK74" i="9"/>
  <c r="Z74" i="9"/>
  <c r="AL74" i="9"/>
  <c r="H74" i="9"/>
  <c r="U74" i="9"/>
  <c r="L45" i="8"/>
  <c r="AH45" i="8"/>
  <c r="AC45" i="8"/>
  <c r="K45" i="8"/>
  <c r="X45" i="8"/>
  <c r="J45" i="8"/>
  <c r="AM45" i="8"/>
  <c r="G45" i="8"/>
  <c r="O45" i="8"/>
  <c r="AO45" i="8"/>
  <c r="P45" i="8"/>
  <c r="AK45" i="8"/>
  <c r="AB45" i="8"/>
  <c r="AL45" i="8"/>
  <c r="AG45" i="8"/>
  <c r="H45" i="8"/>
  <c r="V45" i="8"/>
  <c r="Z45" i="8"/>
  <c r="Y45" i="8"/>
  <c r="N45" i="8"/>
  <c r="T45" i="8"/>
  <c r="AI45" i="8"/>
  <c r="I45" i="8"/>
  <c r="U45" i="8"/>
  <c r="M45" i="8"/>
  <c r="AJ45" i="8"/>
  <c r="AD45" i="8"/>
  <c r="AA45" i="8"/>
  <c r="AN45" i="8"/>
  <c r="AE45" i="8"/>
  <c r="Q45" i="8"/>
  <c r="R45" i="8"/>
  <c r="S45" i="8"/>
  <c r="AF45" i="8"/>
  <c r="AD45" i="3"/>
  <c r="AB45" i="3"/>
  <c r="V45" i="3"/>
  <c r="T45" i="3"/>
  <c r="AM45" i="3"/>
  <c r="N45" i="3"/>
  <c r="L45" i="3"/>
  <c r="AO45" i="3"/>
  <c r="AE45" i="3"/>
  <c r="AK45" i="3"/>
  <c r="AI45" i="3"/>
  <c r="Q45" i="3"/>
  <c r="I45" i="3"/>
  <c r="H45" i="3"/>
  <c r="J45" i="3"/>
  <c r="AH45" i="3"/>
  <c r="W45" i="3"/>
  <c r="AC45" i="3"/>
  <c r="AA45" i="3"/>
  <c r="AG45" i="3"/>
  <c r="AN45" i="3"/>
  <c r="O45" i="3"/>
  <c r="U45" i="3"/>
  <c r="Z45" i="3"/>
  <c r="AF45" i="3"/>
  <c r="G45" i="3"/>
  <c r="M45" i="3"/>
  <c r="K45" i="3"/>
  <c r="F46" i="8"/>
  <c r="U46" i="8" s="1"/>
  <c r="F46" i="3"/>
  <c r="I46" i="3" s="1"/>
  <c r="K75" i="9" l="1"/>
  <c r="H75" i="9"/>
  <c r="AC75" i="9"/>
  <c r="I75" i="9"/>
  <c r="AJ75" i="9"/>
  <c r="AH75" i="9"/>
  <c r="AK75" i="9"/>
  <c r="G75" i="9"/>
  <c r="Z75" i="9"/>
  <c r="X75" i="9"/>
  <c r="AO75" i="9"/>
  <c r="V46" i="3"/>
  <c r="AF75" i="9"/>
  <c r="S75" i="9"/>
  <c r="AB75" i="9"/>
  <c r="AG75" i="9"/>
  <c r="AA75" i="9"/>
  <c r="AD75" i="9"/>
  <c r="AE75" i="9"/>
  <c r="T75" i="9"/>
  <c r="Y75" i="9"/>
  <c r="P75" i="9"/>
  <c r="AN75" i="9"/>
  <c r="O75" i="9"/>
  <c r="L75" i="9"/>
  <c r="F76" i="9"/>
  <c r="O76" i="9" s="1"/>
  <c r="W75" i="9"/>
  <c r="AL75" i="9"/>
  <c r="U75" i="9"/>
  <c r="R75" i="9"/>
  <c r="AM75" i="9"/>
  <c r="V75" i="9"/>
  <c r="M75" i="9"/>
  <c r="J75" i="9"/>
  <c r="AO46" i="8"/>
  <c r="AI46" i="8"/>
  <c r="G46" i="8"/>
  <c r="AL46" i="8"/>
  <c r="AJ46" i="8"/>
  <c r="W46" i="8"/>
  <c r="AB46" i="8"/>
  <c r="AD46" i="8"/>
  <c r="AE46" i="8"/>
  <c r="J46" i="8"/>
  <c r="Q46" i="8"/>
  <c r="V46" i="8"/>
  <c r="Z46" i="8"/>
  <c r="AH46" i="8"/>
  <c r="AN46" i="8"/>
  <c r="N46" i="8"/>
  <c r="Y46" i="8"/>
  <c r="T46" i="8"/>
  <c r="AF46" i="8"/>
  <c r="AK46" i="8"/>
  <c r="AA46" i="8"/>
  <c r="R46" i="8"/>
  <c r="I46" i="8"/>
  <c r="X46" i="8"/>
  <c r="AC46" i="8"/>
  <c r="O46" i="8"/>
  <c r="AM46" i="8"/>
  <c r="AG46" i="8"/>
  <c r="P46" i="8"/>
  <c r="K46" i="8"/>
  <c r="L46" i="8"/>
  <c r="S46" i="8"/>
  <c r="H46" i="8"/>
  <c r="M46" i="8"/>
  <c r="AE46" i="3"/>
  <c r="AD46" i="3"/>
  <c r="AK46" i="3"/>
  <c r="W46" i="3"/>
  <c r="AC46" i="3"/>
  <c r="AA46" i="3"/>
  <c r="AG46" i="3"/>
  <c r="H46" i="3"/>
  <c r="S46" i="3"/>
  <c r="Y46" i="3"/>
  <c r="M46" i="3"/>
  <c r="K46" i="3"/>
  <c r="Q46" i="3"/>
  <c r="U46" i="3"/>
  <c r="O46" i="3"/>
  <c r="AJ46" i="3"/>
  <c r="AH46" i="3"/>
  <c r="G46" i="3"/>
  <c r="T46" i="3"/>
  <c r="R46" i="3"/>
  <c r="AF46" i="3"/>
  <c r="N46" i="3"/>
  <c r="AB46" i="3"/>
  <c r="Z46" i="3"/>
  <c r="L46" i="3"/>
  <c r="J46" i="3"/>
  <c r="X46" i="3"/>
  <c r="AM46" i="3"/>
  <c r="AN46" i="3"/>
  <c r="AL46" i="3"/>
  <c r="AI46" i="3"/>
  <c r="AO46" i="3"/>
  <c r="P46" i="3"/>
  <c r="F47" i="8"/>
  <c r="AF47" i="8" s="1"/>
  <c r="F47" i="3"/>
  <c r="AC47" i="3" s="1"/>
  <c r="AI76" i="9" l="1"/>
  <c r="AD76" i="9"/>
  <c r="AB76" i="9"/>
  <c r="L76" i="9"/>
  <c r="R76" i="9"/>
  <c r="X76" i="9"/>
  <c r="Y76" i="9"/>
  <c r="AN76" i="9"/>
  <c r="Q76" i="9"/>
  <c r="AC76" i="9"/>
  <c r="AE76" i="9"/>
  <c r="AA76" i="9"/>
  <c r="AL76" i="9"/>
  <c r="AB47" i="8"/>
  <c r="AO47" i="8"/>
  <c r="Y47" i="8"/>
  <c r="M76" i="9"/>
  <c r="AK76" i="9"/>
  <c r="AH76" i="9"/>
  <c r="I76" i="9"/>
  <c r="V76" i="9"/>
  <c r="K76" i="9"/>
  <c r="U76" i="9"/>
  <c r="Z76" i="9"/>
  <c r="AM76" i="9"/>
  <c r="N76" i="9"/>
  <c r="AJ76" i="9"/>
  <c r="AF76" i="9"/>
  <c r="AO76" i="9"/>
  <c r="F77" i="9"/>
  <c r="K77" i="9" s="1"/>
  <c r="H76" i="9"/>
  <c r="S76" i="9"/>
  <c r="J76" i="9"/>
  <c r="W76" i="9"/>
  <c r="T76" i="9"/>
  <c r="P76" i="9"/>
  <c r="AG76" i="9"/>
  <c r="G76" i="9"/>
  <c r="AE47" i="8"/>
  <c r="AG47" i="8"/>
  <c r="L47" i="8"/>
  <c r="AC47" i="8"/>
  <c r="Z47" i="8"/>
  <c r="V47" i="8"/>
  <c r="H47" i="8"/>
  <c r="AJ47" i="8"/>
  <c r="U47" i="8"/>
  <c r="R47" i="8"/>
  <c r="O47" i="8"/>
  <c r="Q47" i="8"/>
  <c r="AD47" i="8"/>
  <c r="W47" i="8"/>
  <c r="M47" i="8"/>
  <c r="J47" i="8"/>
  <c r="AM47" i="8"/>
  <c r="I47" i="8"/>
  <c r="AI47" i="8"/>
  <c r="N47" i="8"/>
  <c r="T47" i="8"/>
  <c r="S47" i="8"/>
  <c r="AN47" i="8"/>
  <c r="AL47" i="8"/>
  <c r="G47" i="8"/>
  <c r="K47" i="8"/>
  <c r="AA47" i="8"/>
  <c r="P47" i="8"/>
  <c r="X47" i="8"/>
  <c r="AK47" i="8"/>
  <c r="AH47" i="8"/>
  <c r="L47" i="3"/>
  <c r="AO47" i="3"/>
  <c r="P47" i="3"/>
  <c r="AD47" i="3"/>
  <c r="K47" i="3"/>
  <c r="AG47" i="3"/>
  <c r="H47" i="3"/>
  <c r="V47" i="3"/>
  <c r="AJ47" i="3"/>
  <c r="Y47" i="3"/>
  <c r="AM47" i="3"/>
  <c r="N47" i="3"/>
  <c r="AI47" i="3"/>
  <c r="Q47" i="3"/>
  <c r="AE47" i="3"/>
  <c r="AK47" i="3"/>
  <c r="AB47" i="3"/>
  <c r="AH47" i="3"/>
  <c r="I47" i="3"/>
  <c r="W47" i="3"/>
  <c r="AA47" i="3"/>
  <c r="Z47" i="3"/>
  <c r="AN47" i="3"/>
  <c r="O47" i="3"/>
  <c r="U47" i="3"/>
  <c r="T47" i="3"/>
  <c r="R47" i="3"/>
  <c r="AF47" i="3"/>
  <c r="G47" i="3"/>
  <c r="M47" i="3"/>
  <c r="S47" i="3"/>
  <c r="J47" i="3"/>
  <c r="X47" i="3"/>
  <c r="AL47" i="3"/>
  <c r="F48" i="8"/>
  <c r="AM48" i="8" s="1"/>
  <c r="F48" i="3"/>
  <c r="S48" i="3" s="1"/>
  <c r="X77" i="9" l="1"/>
  <c r="AJ77" i="9"/>
  <c r="AH77" i="9"/>
  <c r="AB77" i="9"/>
  <c r="AE77" i="9"/>
  <c r="AC77" i="9"/>
  <c r="M77" i="9"/>
  <c r="U77" i="9"/>
  <c r="W77" i="9"/>
  <c r="Q77" i="9"/>
  <c r="AL77" i="9"/>
  <c r="Z77" i="9"/>
  <c r="V77" i="9"/>
  <c r="H77" i="9"/>
  <c r="Y77" i="9"/>
  <c r="T77" i="9"/>
  <c r="AK77" i="9"/>
  <c r="I77" i="9"/>
  <c r="L77" i="9"/>
  <c r="J77" i="9"/>
  <c r="AF77" i="9"/>
  <c r="O77" i="9"/>
  <c r="AI77" i="9"/>
  <c r="AN77" i="9"/>
  <c r="P77" i="9"/>
  <c r="G77" i="9"/>
  <c r="AA77" i="9"/>
  <c r="AG77" i="9"/>
  <c r="AO77" i="9"/>
  <c r="AD77" i="9"/>
  <c r="S77" i="9"/>
  <c r="R77" i="9"/>
  <c r="AM77" i="9"/>
  <c r="N77" i="9"/>
  <c r="F78" i="9"/>
  <c r="P78" i="9" s="1"/>
  <c r="U48" i="8"/>
  <c r="Q48" i="8"/>
  <c r="V48" i="8"/>
  <c r="X48" i="8"/>
  <c r="S48" i="8"/>
  <c r="AO48" i="8"/>
  <c r="K48" i="8"/>
  <c r="P48" i="8"/>
  <c r="L48" i="8"/>
  <c r="AB48" i="8"/>
  <c r="AH48" i="8"/>
  <c r="H48" i="8"/>
  <c r="AG48" i="8"/>
  <c r="N48" i="8"/>
  <c r="Z48" i="8"/>
  <c r="AD48" i="8"/>
  <c r="AL48" i="8"/>
  <c r="R48" i="8"/>
  <c r="AE48" i="8"/>
  <c r="I48" i="8"/>
  <c r="Y48" i="8"/>
  <c r="AA48" i="8"/>
  <c r="J48" i="8"/>
  <c r="W48" i="8"/>
  <c r="AK48" i="8"/>
  <c r="T48" i="8"/>
  <c r="M48" i="8"/>
  <c r="AN48" i="8"/>
  <c r="O48" i="8"/>
  <c r="AI48" i="8"/>
  <c r="AC48" i="8"/>
  <c r="AJ48" i="8"/>
  <c r="AF48" i="8"/>
  <c r="G48" i="8"/>
  <c r="O48" i="3"/>
  <c r="AL48" i="3"/>
  <c r="AJ48" i="3"/>
  <c r="AH48" i="3"/>
  <c r="W48" i="3"/>
  <c r="AF48" i="3"/>
  <c r="AD48" i="3"/>
  <c r="AB48" i="3"/>
  <c r="Z48" i="3"/>
  <c r="Q48" i="3"/>
  <c r="I48" i="3"/>
  <c r="V48" i="3"/>
  <c r="T48" i="3"/>
  <c r="R48" i="3"/>
  <c r="AO48" i="3"/>
  <c r="AE48" i="3"/>
  <c r="N48" i="3"/>
  <c r="L48" i="3"/>
  <c r="J48" i="3"/>
  <c r="AN48" i="3"/>
  <c r="H48" i="3"/>
  <c r="AK48" i="3"/>
  <c r="AI48" i="3"/>
  <c r="AM48" i="3"/>
  <c r="Y48" i="3"/>
  <c r="AC48" i="3"/>
  <c r="AA48" i="3"/>
  <c r="P48" i="3"/>
  <c r="X48" i="3"/>
  <c r="U48" i="3"/>
  <c r="AG48" i="3"/>
  <c r="G48" i="3"/>
  <c r="M48" i="3"/>
  <c r="K48" i="3"/>
  <c r="F49" i="8"/>
  <c r="AJ49" i="8" s="1"/>
  <c r="F49" i="3"/>
  <c r="G78" i="9" l="1"/>
  <c r="AB78" i="9"/>
  <c r="AK78" i="9"/>
  <c r="AI78" i="9"/>
  <c r="AA78" i="9"/>
  <c r="AG78" i="9"/>
  <c r="O78" i="9"/>
  <c r="AC78" i="9"/>
  <c r="Y78" i="9"/>
  <c r="J78" i="9"/>
  <c r="AH78" i="9"/>
  <c r="M78" i="9"/>
  <c r="Q78" i="9"/>
  <c r="Z78" i="9"/>
  <c r="I78" i="9"/>
  <c r="N78" i="9"/>
  <c r="T78" i="9"/>
  <c r="AN78" i="9"/>
  <c r="AD78" i="9"/>
  <c r="L78" i="9"/>
  <c r="H78" i="9"/>
  <c r="AO49" i="8"/>
  <c r="AI49" i="8"/>
  <c r="R49" i="8"/>
  <c r="Q49" i="8"/>
  <c r="W49" i="8"/>
  <c r="G49" i="8"/>
  <c r="Y49" i="8"/>
  <c r="AB49" i="8"/>
  <c r="I49" i="8"/>
  <c r="L49" i="8"/>
  <c r="W78" i="9"/>
  <c r="AL78" i="9"/>
  <c r="S78" i="9"/>
  <c r="AF78" i="9"/>
  <c r="R78" i="9"/>
  <c r="U78" i="9"/>
  <c r="V78" i="9"/>
  <c r="K78" i="9"/>
  <c r="X78" i="9"/>
  <c r="AM78" i="9"/>
  <c r="AE78" i="9"/>
  <c r="AJ78" i="9"/>
  <c r="AO78" i="9"/>
  <c r="F79" i="9"/>
  <c r="M79" i="9" s="1"/>
  <c r="AL49" i="8"/>
  <c r="J49" i="8"/>
  <c r="AN49" i="8"/>
  <c r="AK49" i="8"/>
  <c r="AH49" i="8"/>
  <c r="AG49" i="8"/>
  <c r="Z49" i="8"/>
  <c r="AC49" i="8"/>
  <c r="AA49" i="8"/>
  <c r="S49" i="8"/>
  <c r="N49" i="8"/>
  <c r="U49" i="8"/>
  <c r="X49" i="8"/>
  <c r="H49" i="8"/>
  <c r="AM49" i="8"/>
  <c r="M49" i="8"/>
  <c r="V49" i="8"/>
  <c r="AF49" i="8"/>
  <c r="AE49" i="8"/>
  <c r="K49" i="8"/>
  <c r="P49" i="8"/>
  <c r="AD49" i="8"/>
  <c r="O49" i="8"/>
  <c r="T49" i="8"/>
  <c r="AB49" i="3"/>
  <c r="Z49" i="3"/>
  <c r="N49" i="3"/>
  <c r="K49" i="3"/>
  <c r="AN49" i="3"/>
  <c r="O49" i="3"/>
  <c r="AL49" i="3"/>
  <c r="AD49" i="3"/>
  <c r="R49" i="3"/>
  <c r="AF49" i="3"/>
  <c r="G49" i="3"/>
  <c r="V49" i="3"/>
  <c r="J49" i="3"/>
  <c r="X49" i="3"/>
  <c r="M49" i="3"/>
  <c r="AK49" i="3"/>
  <c r="AC49" i="3"/>
  <c r="AO49" i="3"/>
  <c r="P49" i="3"/>
  <c r="AI49" i="3"/>
  <c r="Y49" i="3"/>
  <c r="AM49" i="3"/>
  <c r="U49" i="3"/>
  <c r="AG49" i="3"/>
  <c r="T49" i="3"/>
  <c r="AA49" i="3"/>
  <c r="Q49" i="3"/>
  <c r="AE49" i="3"/>
  <c r="L49" i="3"/>
  <c r="H49" i="3"/>
  <c r="AJ49" i="3"/>
  <c r="AH49" i="3"/>
  <c r="S49" i="3"/>
  <c r="I49" i="3"/>
  <c r="W49" i="3"/>
  <c r="F50" i="8"/>
  <c r="Y50" i="8" s="1"/>
  <c r="F50" i="3"/>
  <c r="T50" i="3" s="1"/>
  <c r="R79" i="9" l="1"/>
  <c r="K79" i="9"/>
  <c r="G79" i="9"/>
  <c r="AF79" i="9"/>
  <c r="AC79" i="9"/>
  <c r="T79" i="9"/>
  <c r="AI79" i="9"/>
  <c r="X79" i="9"/>
  <c r="U79" i="9"/>
  <c r="AO79" i="9"/>
  <c r="AL79" i="9"/>
  <c r="AB79" i="9"/>
  <c r="L79" i="9"/>
  <c r="Y79" i="9"/>
  <c r="AD79" i="9"/>
  <c r="O79" i="9"/>
  <c r="AJ79" i="9"/>
  <c r="J79" i="9"/>
  <c r="Q79" i="9"/>
  <c r="V79" i="9"/>
  <c r="P79" i="9"/>
  <c r="AE79" i="9"/>
  <c r="I79" i="9"/>
  <c r="N79" i="9"/>
  <c r="S79" i="9"/>
  <c r="AM79" i="9"/>
  <c r="AA79" i="9"/>
  <c r="W79" i="9"/>
  <c r="AN79" i="9"/>
  <c r="AK79" i="9"/>
  <c r="AH79" i="9"/>
  <c r="Z79" i="9"/>
  <c r="AG79" i="9"/>
  <c r="H79" i="9"/>
  <c r="F80" i="9"/>
  <c r="J80" i="9" s="1"/>
  <c r="N50" i="8"/>
  <c r="AI50" i="8"/>
  <c r="AJ50" i="8"/>
  <c r="AO50" i="8"/>
  <c r="AL50" i="8"/>
  <c r="V50" i="8"/>
  <c r="AB50" i="8"/>
  <c r="AG50" i="8"/>
  <c r="AN50" i="8"/>
  <c r="M50" i="8"/>
  <c r="H50" i="8"/>
  <c r="T50" i="8"/>
  <c r="AC50" i="8"/>
  <c r="AE50" i="8"/>
  <c r="AF50" i="8"/>
  <c r="L50" i="8"/>
  <c r="Q50" i="8"/>
  <c r="X50" i="8"/>
  <c r="AM50" i="8"/>
  <c r="S50" i="8"/>
  <c r="AA50" i="8"/>
  <c r="U50" i="8"/>
  <c r="AH50" i="8"/>
  <c r="I50" i="8"/>
  <c r="O50" i="8"/>
  <c r="AK50" i="8"/>
  <c r="G50" i="8"/>
  <c r="Z50" i="8"/>
  <c r="AD50" i="8"/>
  <c r="R50" i="8"/>
  <c r="W50" i="8"/>
  <c r="K50" i="8"/>
  <c r="P50" i="8"/>
  <c r="J50" i="8"/>
  <c r="G50" i="3"/>
  <c r="Q50" i="3"/>
  <c r="AF50" i="3"/>
  <c r="AK50" i="3"/>
  <c r="AO50" i="3"/>
  <c r="AE50" i="3"/>
  <c r="X50" i="3"/>
  <c r="AC50" i="3"/>
  <c r="AM50" i="3"/>
  <c r="O50" i="3"/>
  <c r="P50" i="3"/>
  <c r="U50" i="3"/>
  <c r="AI50" i="3"/>
  <c r="AA50" i="3"/>
  <c r="H50" i="3"/>
  <c r="M50" i="3"/>
  <c r="S50" i="3"/>
  <c r="K50" i="3"/>
  <c r="AL50" i="3"/>
  <c r="AJ50" i="3"/>
  <c r="Y50" i="3"/>
  <c r="AH50" i="3"/>
  <c r="Z50" i="3"/>
  <c r="AD50" i="3"/>
  <c r="AB50" i="3"/>
  <c r="I50" i="3"/>
  <c r="R50" i="3"/>
  <c r="J50" i="3"/>
  <c r="V50" i="3"/>
  <c r="W50" i="3"/>
  <c r="AG50" i="3"/>
  <c r="AN50" i="3"/>
  <c r="N50" i="3"/>
  <c r="L50" i="3"/>
  <c r="F51" i="8"/>
  <c r="AL51" i="8" s="1"/>
  <c r="F51" i="3"/>
  <c r="Y51" i="3" s="1"/>
  <c r="AI80" i="9" l="1"/>
  <c r="AN80" i="9"/>
  <c r="H80" i="9"/>
  <c r="AD80" i="9"/>
  <c r="AJ80" i="9"/>
  <c r="X80" i="9"/>
  <c r="V80" i="9"/>
  <c r="AM80" i="9"/>
  <c r="Q80" i="9"/>
  <c r="N80" i="9"/>
  <c r="W80" i="9"/>
  <c r="I80" i="9"/>
  <c r="AK80" i="9"/>
  <c r="AL80" i="9"/>
  <c r="AB80" i="9"/>
  <c r="G80" i="9"/>
  <c r="AA80" i="9"/>
  <c r="S80" i="9"/>
  <c r="K80" i="9"/>
  <c r="L80" i="9"/>
  <c r="O80" i="9"/>
  <c r="T80" i="9"/>
  <c r="AC80" i="9"/>
  <c r="Z80" i="9"/>
  <c r="AG80" i="9"/>
  <c r="AO80" i="9"/>
  <c r="AF80" i="9"/>
  <c r="U80" i="9"/>
  <c r="R80" i="9"/>
  <c r="AE80" i="9"/>
  <c r="Y80" i="9"/>
  <c r="P80" i="9"/>
  <c r="M80" i="9"/>
  <c r="F81" i="9"/>
  <c r="H81" i="9" s="1"/>
  <c r="AB81" i="9"/>
  <c r="AH80" i="9"/>
  <c r="AB51" i="8"/>
  <c r="L51" i="8"/>
  <c r="Y51" i="8"/>
  <c r="AI51" i="8"/>
  <c r="U51" i="8"/>
  <c r="AJ51" i="8"/>
  <c r="Q51" i="8"/>
  <c r="AD51" i="8"/>
  <c r="AF51" i="8"/>
  <c r="R51" i="8"/>
  <c r="X51" i="8"/>
  <c r="I51" i="8"/>
  <c r="V51" i="8"/>
  <c r="AO51" i="8"/>
  <c r="AN51" i="8"/>
  <c r="K51" i="8"/>
  <c r="AM51" i="8"/>
  <c r="N51" i="8"/>
  <c r="S51" i="8"/>
  <c r="AA51" i="8"/>
  <c r="AH51" i="8"/>
  <c r="AE51" i="8"/>
  <c r="P51" i="8"/>
  <c r="M51" i="8"/>
  <c r="T51" i="8"/>
  <c r="W51" i="8"/>
  <c r="J51" i="8"/>
  <c r="AK51" i="8"/>
  <c r="H51" i="8"/>
  <c r="O51" i="8"/>
  <c r="AC51" i="8"/>
  <c r="Z51" i="8"/>
  <c r="AG51" i="8"/>
  <c r="G51" i="8"/>
  <c r="AN51" i="3"/>
  <c r="R51" i="3"/>
  <c r="AE51" i="3"/>
  <c r="O51" i="3"/>
  <c r="AL51" i="3"/>
  <c r="AD51" i="3"/>
  <c r="W51" i="3"/>
  <c r="S51" i="3"/>
  <c r="AJ51" i="3"/>
  <c r="G51" i="3"/>
  <c r="K51" i="3"/>
  <c r="Q51" i="3"/>
  <c r="N51" i="3"/>
  <c r="V51" i="3"/>
  <c r="AB51" i="3"/>
  <c r="AK51" i="3"/>
  <c r="AH51" i="3"/>
  <c r="I51" i="3"/>
  <c r="T51" i="3"/>
  <c r="L51" i="3"/>
  <c r="AC51" i="3"/>
  <c r="Z51" i="3"/>
  <c r="X51" i="3"/>
  <c r="M51" i="3"/>
  <c r="J51" i="3"/>
  <c r="H51" i="3"/>
  <c r="AI51" i="3"/>
  <c r="AO51" i="3"/>
  <c r="AF51" i="3"/>
  <c r="U51" i="3"/>
  <c r="P51" i="3"/>
  <c r="AM51" i="3"/>
  <c r="AA51" i="3"/>
  <c r="AG51" i="3"/>
  <c r="F52" i="8"/>
  <c r="AO52" i="8" s="1"/>
  <c r="F52" i="3"/>
  <c r="V52" i="3" s="1"/>
  <c r="U81" i="9" l="1"/>
  <c r="Y81" i="9"/>
  <c r="AJ81" i="9"/>
  <c r="S81" i="9"/>
  <c r="AI81" i="9"/>
  <c r="AA81" i="9"/>
  <c r="AD81" i="9"/>
  <c r="AH81" i="9"/>
  <c r="AL81" i="9"/>
  <c r="AF81" i="9"/>
  <c r="V81" i="9"/>
  <c r="X81" i="9"/>
  <c r="P81" i="9"/>
  <c r="I81" i="9"/>
  <c r="AG81" i="9"/>
  <c r="AM81" i="9"/>
  <c r="AK81" i="9"/>
  <c r="Q81" i="9"/>
  <c r="Z81" i="9"/>
  <c r="AE81" i="9"/>
  <c r="N81" i="9"/>
  <c r="AC81" i="9"/>
  <c r="R81" i="9"/>
  <c r="W81" i="9"/>
  <c r="AO81" i="9"/>
  <c r="L81" i="9"/>
  <c r="M81" i="9"/>
  <c r="J81" i="9"/>
  <c r="G81" i="9"/>
  <c r="T81" i="9"/>
  <c r="K81" i="9"/>
  <c r="F82" i="9"/>
  <c r="AN81" i="9"/>
  <c r="O81" i="9"/>
  <c r="X52" i="8"/>
  <c r="J52" i="8"/>
  <c r="AJ52" i="8"/>
  <c r="V52" i="8"/>
  <c r="AM52" i="8"/>
  <c r="AB52" i="8"/>
  <c r="AG52" i="8"/>
  <c r="AN52" i="8"/>
  <c r="R52" i="8"/>
  <c r="W52" i="8"/>
  <c r="T52" i="8"/>
  <c r="Y52" i="8"/>
  <c r="AH52" i="8"/>
  <c r="AE52" i="8"/>
  <c r="G52" i="8"/>
  <c r="L52" i="8"/>
  <c r="Q52" i="8"/>
  <c r="AF52" i="8"/>
  <c r="O52" i="8"/>
  <c r="AK52" i="8"/>
  <c r="AI52" i="8"/>
  <c r="I52" i="8"/>
  <c r="P52" i="8"/>
  <c r="AD52" i="8"/>
  <c r="AC52" i="8"/>
  <c r="AA52" i="8"/>
  <c r="H52" i="8"/>
  <c r="N52" i="8"/>
  <c r="U52" i="8"/>
  <c r="S52" i="8"/>
  <c r="AL52" i="8"/>
  <c r="Z52" i="8"/>
  <c r="M52" i="8"/>
  <c r="K52" i="8"/>
  <c r="AG52" i="3"/>
  <c r="Y52" i="3"/>
  <c r="R52" i="3"/>
  <c r="AE52" i="3"/>
  <c r="AC52" i="3"/>
  <c r="I52" i="3"/>
  <c r="J52" i="3"/>
  <c r="W52" i="3"/>
  <c r="M52" i="3"/>
  <c r="AK52" i="3"/>
  <c r="AN52" i="3"/>
  <c r="O52" i="3"/>
  <c r="AB52" i="3"/>
  <c r="U52" i="3"/>
  <c r="AF52" i="3"/>
  <c r="G52" i="3"/>
  <c r="L52" i="3"/>
  <c r="AJ52" i="3"/>
  <c r="X52" i="3"/>
  <c r="AL52" i="3"/>
  <c r="S52" i="3"/>
  <c r="AA52" i="3"/>
  <c r="T52" i="3"/>
  <c r="P52" i="3"/>
  <c r="AD52" i="3"/>
  <c r="Q52" i="3"/>
  <c r="K52" i="3"/>
  <c r="AH52" i="3"/>
  <c r="H52" i="3"/>
  <c r="AI52" i="3"/>
  <c r="AO52" i="3"/>
  <c r="Z52" i="3"/>
  <c r="AM52" i="3"/>
  <c r="N52" i="3"/>
  <c r="F53" i="8"/>
  <c r="AL53" i="8" s="1"/>
  <c r="F53" i="3"/>
  <c r="S53" i="3" s="1"/>
  <c r="Z53" i="3" l="1"/>
  <c r="AF53" i="3"/>
  <c r="F83" i="9"/>
  <c r="AH82" i="9"/>
  <c r="Q82" i="9"/>
  <c r="P82" i="9"/>
  <c r="AC82" i="9"/>
  <c r="V82" i="9"/>
  <c r="AG82" i="9"/>
  <c r="X82" i="9"/>
  <c r="AK82" i="9"/>
  <c r="R82" i="9"/>
  <c r="AD82" i="9"/>
  <c r="H82" i="9"/>
  <c r="U82" i="9"/>
  <c r="K82" i="9"/>
  <c r="N82" i="9"/>
  <c r="AM82" i="9"/>
  <c r="M82" i="9"/>
  <c r="Z82" i="9"/>
  <c r="AL82" i="9"/>
  <c r="I82" i="9"/>
  <c r="J82" i="9"/>
  <c r="W82" i="9"/>
  <c r="AB82" i="9"/>
  <c r="AO82" i="9"/>
  <c r="AJ82" i="9"/>
  <c r="AA82" i="9"/>
  <c r="AI82" i="9"/>
  <c r="AN82" i="9"/>
  <c r="O82" i="9"/>
  <c r="T82" i="9"/>
  <c r="AE82" i="9"/>
  <c r="Y82" i="9"/>
  <c r="S82" i="9"/>
  <c r="AF82" i="9"/>
  <c r="G82" i="9"/>
  <c r="L82" i="9"/>
  <c r="O53" i="8"/>
  <c r="AJ53" i="8"/>
  <c r="Y53" i="8"/>
  <c r="S53" i="8"/>
  <c r="G53" i="8"/>
  <c r="AG53" i="8"/>
  <c r="H53" i="8"/>
  <c r="M53" i="8"/>
  <c r="AB53" i="8"/>
  <c r="T53" i="8"/>
  <c r="Q53" i="8"/>
  <c r="AD53" i="8"/>
  <c r="AK53" i="8"/>
  <c r="L53" i="8"/>
  <c r="AH53" i="8"/>
  <c r="I53" i="8"/>
  <c r="V53" i="8"/>
  <c r="AE53" i="8"/>
  <c r="AA53" i="8"/>
  <c r="Z53" i="8"/>
  <c r="AN53" i="8"/>
  <c r="N53" i="8"/>
  <c r="AC53" i="8"/>
  <c r="K53" i="8"/>
  <c r="R53" i="8"/>
  <c r="AF53" i="8"/>
  <c r="AI53" i="8"/>
  <c r="AM53" i="8"/>
  <c r="J53" i="8"/>
  <c r="X53" i="8"/>
  <c r="U53" i="8"/>
  <c r="W53" i="8"/>
  <c r="AO53" i="8"/>
  <c r="P53" i="8"/>
  <c r="AO53" i="3"/>
  <c r="AE53" i="3"/>
  <c r="AI53" i="3"/>
  <c r="Y53" i="3"/>
  <c r="W53" i="3"/>
  <c r="AJ53" i="3"/>
  <c r="L53" i="3"/>
  <c r="J53" i="3"/>
  <c r="H53" i="3"/>
  <c r="AB53" i="3"/>
  <c r="AA53" i="3"/>
  <c r="AH53" i="3"/>
  <c r="AN53" i="3"/>
  <c r="AL53" i="3"/>
  <c r="Q53" i="3"/>
  <c r="K53" i="3"/>
  <c r="AD53" i="3"/>
  <c r="O53" i="3"/>
  <c r="P53" i="3"/>
  <c r="V53" i="3"/>
  <c r="N53" i="3"/>
  <c r="I53" i="3"/>
  <c r="AK53" i="3"/>
  <c r="U53" i="3"/>
  <c r="X53" i="3"/>
  <c r="G53" i="3"/>
  <c r="AM53" i="3"/>
  <c r="AC53" i="3"/>
  <c r="M53" i="3"/>
  <c r="AG53" i="3"/>
  <c r="R53" i="3"/>
  <c r="T53" i="3"/>
  <c r="F54" i="8"/>
  <c r="M54" i="8" s="1"/>
  <c r="F54" i="3"/>
  <c r="Y54" i="3" s="1"/>
  <c r="F84" i="9" l="1"/>
  <c r="N84" i="9" s="1"/>
  <c r="AE83" i="9"/>
  <c r="N83" i="9"/>
  <c r="U83" i="9"/>
  <c r="R83" i="9"/>
  <c r="O83" i="9"/>
  <c r="AA83" i="9"/>
  <c r="M83" i="9"/>
  <c r="J83" i="9"/>
  <c r="AN83" i="9"/>
  <c r="K83" i="9"/>
  <c r="AJ83" i="9"/>
  <c r="AO83" i="9"/>
  <c r="AI83" i="9"/>
  <c r="AL83" i="9"/>
  <c r="W83" i="9"/>
  <c r="T83" i="9"/>
  <c r="Y83" i="9"/>
  <c r="AM83" i="9"/>
  <c r="AB83" i="9"/>
  <c r="X83" i="9"/>
  <c r="AF83" i="9"/>
  <c r="G83" i="9"/>
  <c r="L83" i="9"/>
  <c r="Q83" i="9"/>
  <c r="H83" i="9"/>
  <c r="AG83" i="9"/>
  <c r="V83" i="9"/>
  <c r="P83" i="9"/>
  <c r="AK83" i="9"/>
  <c r="AH83" i="9"/>
  <c r="I83" i="9"/>
  <c r="S83" i="9"/>
  <c r="AD83" i="9"/>
  <c r="AC83" i="9"/>
  <c r="Z83" i="9"/>
  <c r="P54" i="8"/>
  <c r="AJ54" i="8"/>
  <c r="G54" i="8"/>
  <c r="L54" i="8"/>
  <c r="T54" i="8"/>
  <c r="AL54" i="8"/>
  <c r="AI54" i="8"/>
  <c r="AH54" i="8"/>
  <c r="AO54" i="8"/>
  <c r="AG54" i="8"/>
  <c r="AD54" i="8"/>
  <c r="AA54" i="8"/>
  <c r="AB54" i="8"/>
  <c r="Y54" i="8"/>
  <c r="Q54" i="8"/>
  <c r="V54" i="8"/>
  <c r="S54" i="8"/>
  <c r="Z54" i="8"/>
  <c r="I54" i="8"/>
  <c r="AM54" i="8"/>
  <c r="N54" i="8"/>
  <c r="K54" i="8"/>
  <c r="J54" i="8"/>
  <c r="AN54" i="8"/>
  <c r="AE54" i="8"/>
  <c r="AK54" i="8"/>
  <c r="AF54" i="8"/>
  <c r="X54" i="8"/>
  <c r="W54" i="8"/>
  <c r="AC54" i="8"/>
  <c r="R54" i="8"/>
  <c r="H54" i="8"/>
  <c r="O54" i="8"/>
  <c r="U54" i="8"/>
  <c r="O54" i="3"/>
  <c r="N54" i="3"/>
  <c r="L54" i="3"/>
  <c r="J54" i="3"/>
  <c r="AN54" i="3"/>
  <c r="AK54" i="3"/>
  <c r="AI54" i="3"/>
  <c r="AO54" i="3"/>
  <c r="H54" i="3"/>
  <c r="AC54" i="3"/>
  <c r="AA54" i="3"/>
  <c r="AG54" i="3"/>
  <c r="X54" i="3"/>
  <c r="AM54" i="3"/>
  <c r="U54" i="3"/>
  <c r="S54" i="3"/>
  <c r="AF54" i="3"/>
  <c r="G54" i="3"/>
  <c r="M54" i="3"/>
  <c r="K54" i="3"/>
  <c r="Q54" i="3"/>
  <c r="AE54" i="3"/>
  <c r="AL54" i="3"/>
  <c r="AJ54" i="3"/>
  <c r="AH54" i="3"/>
  <c r="I54" i="3"/>
  <c r="W54" i="3"/>
  <c r="AD54" i="3"/>
  <c r="AB54" i="3"/>
  <c r="Z54" i="3"/>
  <c r="P54" i="3"/>
  <c r="V54" i="3"/>
  <c r="T54" i="3"/>
  <c r="R54" i="3"/>
  <c r="F55" i="8"/>
  <c r="R55" i="8" s="1"/>
  <c r="F55" i="3"/>
  <c r="V55" i="3" s="1"/>
  <c r="AN84" i="9" l="1"/>
  <c r="X84" i="9"/>
  <c r="J84" i="9"/>
  <c r="P84" i="9"/>
  <c r="AO84" i="9"/>
  <c r="K84" i="9"/>
  <c r="AB84" i="9"/>
  <c r="AE84" i="9"/>
  <c r="R84" i="9"/>
  <c r="L84" i="9"/>
  <c r="W84" i="9"/>
  <c r="O84" i="9"/>
  <c r="AK84" i="9"/>
  <c r="H84" i="9"/>
  <c r="AG84" i="9"/>
  <c r="G84" i="9"/>
  <c r="AI84" i="9"/>
  <c r="AJ84" i="9"/>
  <c r="Y84" i="9"/>
  <c r="AL84" i="9"/>
  <c r="AF84" i="9"/>
  <c r="AC84" i="9"/>
  <c r="T84" i="9"/>
  <c r="Q84" i="9"/>
  <c r="AD84" i="9"/>
  <c r="U84" i="9"/>
  <c r="M84" i="9"/>
  <c r="AH84" i="9"/>
  <c r="I84" i="9"/>
  <c r="V84" i="9"/>
  <c r="S84" i="9"/>
  <c r="AA84" i="9"/>
  <c r="Z84" i="9"/>
  <c r="AM84" i="9"/>
  <c r="F85" i="9"/>
  <c r="AA85" i="9" s="1"/>
  <c r="J85" i="9"/>
  <c r="O55" i="8"/>
  <c r="AG55" i="8"/>
  <c r="AI55" i="8"/>
  <c r="AN55" i="8"/>
  <c r="M55" i="8"/>
  <c r="Q55" i="8"/>
  <c r="AA55" i="8"/>
  <c r="AF55" i="8"/>
  <c r="G55" i="8"/>
  <c r="AO55" i="8"/>
  <c r="AD55" i="8"/>
  <c r="S55" i="8"/>
  <c r="X55" i="8"/>
  <c r="AM55" i="8"/>
  <c r="I55" i="8"/>
  <c r="N55" i="8"/>
  <c r="K55" i="8"/>
  <c r="P55" i="8"/>
  <c r="AE55" i="8"/>
  <c r="AL55" i="8"/>
  <c r="AJ55" i="8"/>
  <c r="AH55" i="8"/>
  <c r="H55" i="8"/>
  <c r="Y55" i="8"/>
  <c r="V55" i="8"/>
  <c r="AB55" i="8"/>
  <c r="Z55" i="8"/>
  <c r="W55" i="8"/>
  <c r="AK55" i="8"/>
  <c r="T55" i="8"/>
  <c r="AC55" i="8"/>
  <c r="U55" i="8"/>
  <c r="L55" i="8"/>
  <c r="J55" i="8"/>
  <c r="T55" i="3"/>
  <c r="K55" i="3"/>
  <c r="Q55" i="3"/>
  <c r="AE55" i="3"/>
  <c r="M55" i="3"/>
  <c r="AH55" i="3"/>
  <c r="I55" i="3"/>
  <c r="W55" i="3"/>
  <c r="L55" i="3"/>
  <c r="Z55" i="3"/>
  <c r="AN55" i="3"/>
  <c r="O55" i="3"/>
  <c r="AK55" i="3"/>
  <c r="R55" i="3"/>
  <c r="AF55" i="3"/>
  <c r="G55" i="3"/>
  <c r="AJ55" i="3"/>
  <c r="J55" i="3"/>
  <c r="X55" i="3"/>
  <c r="AL55" i="3"/>
  <c r="AC55" i="3"/>
  <c r="AI55" i="3"/>
  <c r="AO55" i="3"/>
  <c r="P55" i="3"/>
  <c r="AD55" i="3"/>
  <c r="U55" i="3"/>
  <c r="AA55" i="3"/>
  <c r="AG55" i="3"/>
  <c r="H55" i="3"/>
  <c r="AB55" i="3"/>
  <c r="S55" i="3"/>
  <c r="Y55" i="3"/>
  <c r="AM55" i="3"/>
  <c r="N55" i="3"/>
  <c r="F56" i="8"/>
  <c r="U56" i="8" s="1"/>
  <c r="F56" i="3"/>
  <c r="AA56" i="3" s="1"/>
  <c r="AC85" i="9" l="1"/>
  <c r="Z85" i="9"/>
  <c r="R85" i="9"/>
  <c r="U85" i="9"/>
  <c r="M85" i="9"/>
  <c r="Q85" i="9"/>
  <c r="Y85" i="9"/>
  <c r="AE85" i="9"/>
  <c r="AH85" i="9"/>
  <c r="W85" i="9"/>
  <c r="AF85" i="9"/>
  <c r="AL85" i="9"/>
  <c r="P85" i="9"/>
  <c r="X85" i="9"/>
  <c r="AN85" i="9"/>
  <c r="O85" i="9"/>
  <c r="AO85" i="9"/>
  <c r="H85" i="9"/>
  <c r="AD85" i="9"/>
  <c r="I85" i="9"/>
  <c r="AK85" i="9"/>
  <c r="AJ85" i="9"/>
  <c r="AG85" i="9"/>
  <c r="AB85" i="9"/>
  <c r="L85" i="9"/>
  <c r="AI85" i="9"/>
  <c r="T85" i="9"/>
  <c r="G85" i="9"/>
  <c r="Q56" i="3"/>
  <c r="F86" i="9"/>
  <c r="H86" i="9" s="1"/>
  <c r="V85" i="9"/>
  <c r="S85" i="9"/>
  <c r="AM85" i="9"/>
  <c r="N85" i="9"/>
  <c r="K85" i="9"/>
  <c r="AJ56" i="8"/>
  <c r="AB56" i="8"/>
  <c r="S56" i="8"/>
  <c r="AG56" i="8"/>
  <c r="H56" i="8"/>
  <c r="V56" i="8"/>
  <c r="AH56" i="8"/>
  <c r="Y56" i="8"/>
  <c r="AM56" i="8"/>
  <c r="M56" i="8"/>
  <c r="T56" i="8"/>
  <c r="R56" i="8"/>
  <c r="Q56" i="8"/>
  <c r="AE56" i="8"/>
  <c r="I56" i="8"/>
  <c r="W56" i="8"/>
  <c r="AD56" i="8"/>
  <c r="N56" i="8"/>
  <c r="O56" i="8"/>
  <c r="AA56" i="8"/>
  <c r="AF56" i="8"/>
  <c r="G56" i="8"/>
  <c r="AL56" i="8"/>
  <c r="K56" i="8"/>
  <c r="X56" i="8"/>
  <c r="AK56" i="8"/>
  <c r="Z56" i="8"/>
  <c r="L56" i="8"/>
  <c r="AN56" i="8"/>
  <c r="J56" i="8"/>
  <c r="AI56" i="8"/>
  <c r="AO56" i="8"/>
  <c r="P56" i="8"/>
  <c r="AC56" i="8"/>
  <c r="P56" i="3"/>
  <c r="AB56" i="3"/>
  <c r="H56" i="3"/>
  <c r="AE56" i="3"/>
  <c r="Z56" i="3"/>
  <c r="AG56" i="3"/>
  <c r="W56" i="3"/>
  <c r="AC56" i="3"/>
  <c r="AN56" i="3"/>
  <c r="O56" i="3"/>
  <c r="U56" i="3"/>
  <c r="S56" i="3"/>
  <c r="I56" i="3"/>
  <c r="AH56" i="3"/>
  <c r="R56" i="3"/>
  <c r="Y56" i="3"/>
  <c r="AF56" i="3"/>
  <c r="G56" i="3"/>
  <c r="M56" i="3"/>
  <c r="K56" i="3"/>
  <c r="AL56" i="3"/>
  <c r="AJ56" i="3"/>
  <c r="X56" i="3"/>
  <c r="J56" i="3"/>
  <c r="AD56" i="3"/>
  <c r="AO56" i="3"/>
  <c r="V56" i="3"/>
  <c r="T56" i="3"/>
  <c r="AM56" i="3"/>
  <c r="N56" i="3"/>
  <c r="L56" i="3"/>
  <c r="AK56" i="3"/>
  <c r="AI56" i="3"/>
  <c r="F57" i="8"/>
  <c r="F57" i="3"/>
  <c r="X57" i="3" s="1"/>
  <c r="AD86" i="9" l="1"/>
  <c r="N86" i="9"/>
  <c r="V86" i="9"/>
  <c r="AJ86" i="9"/>
  <c r="J86" i="9"/>
  <c r="AA86" i="9"/>
  <c r="AH86" i="9"/>
  <c r="AE86" i="9"/>
  <c r="AO86" i="9"/>
  <c r="AC86" i="9"/>
  <c r="Y86" i="9"/>
  <c r="AM86" i="9"/>
  <c r="Q86" i="9"/>
  <c r="Z86" i="9"/>
  <c r="W86" i="9"/>
  <c r="T86" i="9"/>
  <c r="I86" i="9"/>
  <c r="O86" i="9"/>
  <c r="AK86" i="9"/>
  <c r="L86" i="9"/>
  <c r="X86" i="9"/>
  <c r="U86" i="9"/>
  <c r="AI86" i="9"/>
  <c r="P86" i="9"/>
  <c r="AL86" i="9"/>
  <c r="R86" i="9"/>
  <c r="K86" i="9"/>
  <c r="AN86" i="9"/>
  <c r="S86" i="9"/>
  <c r="AF86" i="9"/>
  <c r="M86" i="9"/>
  <c r="G86" i="9"/>
  <c r="AB86" i="9"/>
  <c r="AG86" i="9"/>
  <c r="F87" i="9"/>
  <c r="U87" i="9" s="1"/>
  <c r="AG57" i="8"/>
  <c r="G57" i="8"/>
  <c r="AN57" i="8"/>
  <c r="AC57" i="8"/>
  <c r="Z57" i="8"/>
  <c r="Y57" i="8"/>
  <c r="AI57" i="8"/>
  <c r="X57" i="8"/>
  <c r="U57" i="8"/>
  <c r="R57" i="8"/>
  <c r="S57" i="8"/>
  <c r="AF57" i="8"/>
  <c r="H57" i="8"/>
  <c r="M57" i="8"/>
  <c r="J57" i="8"/>
  <c r="Q57" i="8"/>
  <c r="P57" i="8"/>
  <c r="AL57" i="8"/>
  <c r="AJ57" i="8"/>
  <c r="W57" i="8"/>
  <c r="AE57" i="8"/>
  <c r="AD57" i="8"/>
  <c r="AB57" i="8"/>
  <c r="AO57" i="8"/>
  <c r="O57" i="8"/>
  <c r="V57" i="8"/>
  <c r="T57" i="8"/>
  <c r="I57" i="8"/>
  <c r="AA57" i="8"/>
  <c r="N57" i="8"/>
  <c r="L57" i="8"/>
  <c r="AM57" i="8"/>
  <c r="K57" i="8"/>
  <c r="AK57" i="8"/>
  <c r="AH57" i="8"/>
  <c r="N57" i="3"/>
  <c r="U57" i="3"/>
  <c r="S57" i="3"/>
  <c r="Y57" i="3"/>
  <c r="AM57" i="3"/>
  <c r="M57" i="3"/>
  <c r="K57" i="3"/>
  <c r="Q57" i="3"/>
  <c r="G57" i="3"/>
  <c r="AJ57" i="3"/>
  <c r="AH57" i="3"/>
  <c r="I57" i="3"/>
  <c r="AL57" i="3"/>
  <c r="AB57" i="3"/>
  <c r="Z57" i="3"/>
  <c r="AN57" i="3"/>
  <c r="AE57" i="3"/>
  <c r="T57" i="3"/>
  <c r="R57" i="3"/>
  <c r="AF57" i="3"/>
  <c r="W57" i="3"/>
  <c r="AD57" i="3"/>
  <c r="L57" i="3"/>
  <c r="J57" i="3"/>
  <c r="O57" i="3"/>
  <c r="AK57" i="3"/>
  <c r="AI57" i="3"/>
  <c r="AO57" i="3"/>
  <c r="P57" i="3"/>
  <c r="V57" i="3"/>
  <c r="AC57" i="3"/>
  <c r="AA57" i="3"/>
  <c r="AG57" i="3"/>
  <c r="H57" i="3"/>
  <c r="F58" i="8"/>
  <c r="W58" i="8" s="1"/>
  <c r="F58" i="3"/>
  <c r="U58" i="3" s="1"/>
  <c r="W87" i="9" l="1"/>
  <c r="AB87" i="9"/>
  <c r="Z87" i="9"/>
  <c r="AJ87" i="9"/>
  <c r="AA87" i="9"/>
  <c r="K87" i="9"/>
  <c r="AO87" i="9"/>
  <c r="L87" i="9"/>
  <c r="J87" i="9"/>
  <c r="T87" i="9"/>
  <c r="AG87" i="9"/>
  <c r="AM87" i="9"/>
  <c r="AH87" i="9"/>
  <c r="AN87" i="9"/>
  <c r="G87" i="9"/>
  <c r="R87" i="9"/>
  <c r="AF87" i="9"/>
  <c r="S87" i="9"/>
  <c r="AE87" i="9"/>
  <c r="P87" i="9"/>
  <c r="AI87" i="9"/>
  <c r="O87" i="9"/>
  <c r="AL87" i="9"/>
  <c r="Y87" i="9"/>
  <c r="AD87" i="9"/>
  <c r="Q87" i="9"/>
  <c r="V87" i="9"/>
  <c r="I87" i="9"/>
  <c r="AC87" i="9"/>
  <c r="X87" i="9"/>
  <c r="N87" i="9"/>
  <c r="AK87" i="9"/>
  <c r="F88" i="9"/>
  <c r="R88" i="9" s="1"/>
  <c r="Y88" i="9"/>
  <c r="AF88" i="9"/>
  <c r="H87" i="9"/>
  <c r="M87" i="9"/>
  <c r="N58" i="8"/>
  <c r="L58" i="8"/>
  <c r="S58" i="8"/>
  <c r="Y58" i="8"/>
  <c r="T58" i="8"/>
  <c r="AN58" i="8"/>
  <c r="K58" i="8"/>
  <c r="Q58" i="8"/>
  <c r="AL58" i="8"/>
  <c r="X58" i="8"/>
  <c r="AH58" i="8"/>
  <c r="I58" i="8"/>
  <c r="AJ58" i="8"/>
  <c r="H58" i="8"/>
  <c r="Z58" i="8"/>
  <c r="AM58" i="8"/>
  <c r="AF58" i="8"/>
  <c r="AK58" i="8"/>
  <c r="R58" i="8"/>
  <c r="AE58" i="8"/>
  <c r="AD58" i="8"/>
  <c r="AC58" i="8"/>
  <c r="U58" i="8"/>
  <c r="J58" i="8"/>
  <c r="V58" i="8"/>
  <c r="M58" i="8"/>
  <c r="AI58" i="8"/>
  <c r="AO58" i="8"/>
  <c r="O58" i="8"/>
  <c r="P58" i="8"/>
  <c r="AB58" i="8"/>
  <c r="AA58" i="8"/>
  <c r="AG58" i="8"/>
  <c r="G58" i="8"/>
  <c r="K58" i="3"/>
  <c r="J58" i="3"/>
  <c r="X58" i="3"/>
  <c r="AL58" i="3"/>
  <c r="AJ58" i="3"/>
  <c r="AO58" i="3"/>
  <c r="P58" i="3"/>
  <c r="AD58" i="3"/>
  <c r="AI58" i="3"/>
  <c r="AG58" i="3"/>
  <c r="H58" i="3"/>
  <c r="V58" i="3"/>
  <c r="AB58" i="3"/>
  <c r="Y58" i="3"/>
  <c r="AM58" i="3"/>
  <c r="N58" i="3"/>
  <c r="AA58" i="3"/>
  <c r="Q58" i="3"/>
  <c r="AE58" i="3"/>
  <c r="AK58" i="3"/>
  <c r="L58" i="3"/>
  <c r="AH58" i="3"/>
  <c r="I58" i="3"/>
  <c r="W58" i="3"/>
  <c r="AC58" i="3"/>
  <c r="T58" i="3"/>
  <c r="Z58" i="3"/>
  <c r="AN58" i="3"/>
  <c r="O58" i="3"/>
  <c r="S58" i="3"/>
  <c r="R58" i="3"/>
  <c r="AF58" i="3"/>
  <c r="G58" i="3"/>
  <c r="M58" i="3"/>
  <c r="F59" i="8"/>
  <c r="N59" i="8" s="1"/>
  <c r="F59" i="3"/>
  <c r="K59" i="3" s="1"/>
  <c r="AM88" i="9" l="1"/>
  <c r="AJ88" i="9"/>
  <c r="AB88" i="9"/>
  <c r="L88" i="9"/>
  <c r="H88" i="9"/>
  <c r="P88" i="9"/>
  <c r="T88" i="9"/>
  <c r="AN88" i="9"/>
  <c r="N88" i="9"/>
  <c r="W88" i="9"/>
  <c r="AC88" i="9"/>
  <c r="AG88" i="9"/>
  <c r="AI88" i="9"/>
  <c r="I88" i="9"/>
  <c r="O88" i="9"/>
  <c r="AA88" i="9"/>
  <c r="M88" i="9"/>
  <c r="AL88" i="9"/>
  <c r="S88" i="9"/>
  <c r="G88" i="9"/>
  <c r="Q88" i="9"/>
  <c r="AD88" i="9"/>
  <c r="Z88" i="9"/>
  <c r="AO88" i="9"/>
  <c r="AE88" i="9"/>
  <c r="V88" i="9"/>
  <c r="J88" i="9"/>
  <c r="K88" i="9"/>
  <c r="AK88" i="9"/>
  <c r="AH88" i="9"/>
  <c r="X88" i="9"/>
  <c r="U88" i="9"/>
  <c r="F89" i="9"/>
  <c r="G89" i="9" s="1"/>
  <c r="S59" i="8"/>
  <c r="AH59" i="8"/>
  <c r="AL59" i="8"/>
  <c r="AM59" i="8"/>
  <c r="M59" i="8"/>
  <c r="V59" i="8"/>
  <c r="AB59" i="8"/>
  <c r="AE59" i="8"/>
  <c r="Y59" i="8"/>
  <c r="Z59" i="8"/>
  <c r="T59" i="8"/>
  <c r="H59" i="8"/>
  <c r="K59" i="8"/>
  <c r="J59" i="8"/>
  <c r="R59" i="8"/>
  <c r="W59" i="8"/>
  <c r="AK59" i="8"/>
  <c r="AG59" i="8"/>
  <c r="AN59" i="8"/>
  <c r="O59" i="8"/>
  <c r="AA59" i="8"/>
  <c r="AO59" i="8"/>
  <c r="Q59" i="8"/>
  <c r="U59" i="8"/>
  <c r="AF59" i="8"/>
  <c r="G59" i="8"/>
  <c r="AI59" i="8"/>
  <c r="P59" i="8"/>
  <c r="L59" i="8"/>
  <c r="AJ59" i="8"/>
  <c r="AC59" i="8"/>
  <c r="I59" i="8"/>
  <c r="X59" i="8"/>
  <c r="AD59" i="8"/>
  <c r="W59" i="3"/>
  <c r="AA59" i="3"/>
  <c r="AG59" i="3"/>
  <c r="AF59" i="3"/>
  <c r="AO59" i="3"/>
  <c r="Y59" i="3"/>
  <c r="AD59" i="3"/>
  <c r="AB59" i="3"/>
  <c r="Z59" i="3"/>
  <c r="X59" i="3"/>
  <c r="T59" i="3"/>
  <c r="R59" i="3"/>
  <c r="Q59" i="3"/>
  <c r="V59" i="3"/>
  <c r="I59" i="3"/>
  <c r="AM59" i="3"/>
  <c r="N59" i="3"/>
  <c r="L59" i="3"/>
  <c r="J59" i="3"/>
  <c r="P59" i="3"/>
  <c r="AK59" i="3"/>
  <c r="AI59" i="3"/>
  <c r="AE59" i="3"/>
  <c r="AN59" i="3"/>
  <c r="AC59" i="3"/>
  <c r="H59" i="3"/>
  <c r="O59" i="3"/>
  <c r="U59" i="3"/>
  <c r="S59" i="3"/>
  <c r="G59" i="3"/>
  <c r="M59" i="3"/>
  <c r="AL59" i="3"/>
  <c r="AJ59" i="3"/>
  <c r="AH59" i="3"/>
  <c r="F60" i="8"/>
  <c r="Y60" i="8" s="1"/>
  <c r="F60" i="3"/>
  <c r="J60" i="3" s="1"/>
  <c r="AG89" i="9" l="1"/>
  <c r="T89" i="9"/>
  <c r="AD89" i="9"/>
  <c r="Q89" i="9"/>
  <c r="AO89" i="9"/>
  <c r="Y89" i="9"/>
  <c r="U89" i="9"/>
  <c r="S89" i="9"/>
  <c r="AC89" i="9"/>
  <c r="J89" i="9"/>
  <c r="R89" i="9"/>
  <c r="V89" i="9"/>
  <c r="Z89" i="9"/>
  <c r="L89" i="9"/>
  <c r="X89" i="9"/>
  <c r="X60" i="3"/>
  <c r="M89" i="9"/>
  <c r="I89" i="9"/>
  <c r="P89" i="9"/>
  <c r="AK89" i="9"/>
  <c r="H89" i="9"/>
  <c r="K89" i="9"/>
  <c r="AM89" i="9"/>
  <c r="AH89" i="9"/>
  <c r="AE89" i="9"/>
  <c r="AK60" i="3"/>
  <c r="AD60" i="3"/>
  <c r="L60" i="3"/>
  <c r="AL89" i="9"/>
  <c r="N89" i="9"/>
  <c r="AI89" i="9"/>
  <c r="AN89" i="9"/>
  <c r="O89" i="9"/>
  <c r="AJ89" i="9"/>
  <c r="AB89" i="9"/>
  <c r="AA89" i="9"/>
  <c r="AF89" i="9"/>
  <c r="F90" i="9"/>
  <c r="L90" i="9" s="1"/>
  <c r="W89" i="9"/>
  <c r="AO60" i="8"/>
  <c r="Z60" i="8"/>
  <c r="N60" i="8"/>
  <c r="AB60" i="8"/>
  <c r="AG60" i="8"/>
  <c r="W60" i="8"/>
  <c r="AE60" i="8"/>
  <c r="R60" i="8"/>
  <c r="V60" i="8"/>
  <c r="K60" i="8"/>
  <c r="H60" i="8"/>
  <c r="O60" i="8"/>
  <c r="AN60" i="8"/>
  <c r="AK60" i="8"/>
  <c r="AI60" i="8"/>
  <c r="U60" i="8"/>
  <c r="AJ60" i="8"/>
  <c r="X60" i="8"/>
  <c r="AA60" i="8"/>
  <c r="M60" i="8"/>
  <c r="J60" i="8"/>
  <c r="AM60" i="8"/>
  <c r="S60" i="8"/>
  <c r="Q60" i="8"/>
  <c r="T60" i="8"/>
  <c r="AD60" i="8"/>
  <c r="AC60" i="8"/>
  <c r="AH60" i="8"/>
  <c r="AL60" i="8"/>
  <c r="P60" i="8"/>
  <c r="I60" i="8"/>
  <c r="G60" i="8"/>
  <c r="L60" i="8"/>
  <c r="AF60" i="8"/>
  <c r="N60" i="3"/>
  <c r="M60" i="3"/>
  <c r="T60" i="3"/>
  <c r="R60" i="3"/>
  <c r="AF60" i="3"/>
  <c r="G60" i="3"/>
  <c r="AI60" i="3"/>
  <c r="AO60" i="3"/>
  <c r="P60" i="3"/>
  <c r="AA60" i="3"/>
  <c r="AG60" i="3"/>
  <c r="H60" i="3"/>
  <c r="V60" i="3"/>
  <c r="Y60" i="3"/>
  <c r="U60" i="3"/>
  <c r="K60" i="3"/>
  <c r="Q60" i="3"/>
  <c r="AE60" i="3"/>
  <c r="AC60" i="3"/>
  <c r="S60" i="3"/>
  <c r="AM60" i="3"/>
  <c r="AJ60" i="3"/>
  <c r="AH60" i="3"/>
  <c r="I60" i="3"/>
  <c r="W60" i="3"/>
  <c r="AL60" i="3"/>
  <c r="AB60" i="3"/>
  <c r="Z60" i="3"/>
  <c r="AN60" i="3"/>
  <c r="O60" i="3"/>
  <c r="F61" i="8"/>
  <c r="AL61" i="8" s="1"/>
  <c r="F61" i="3"/>
  <c r="U61" i="3" s="1"/>
  <c r="N90" i="9" l="1"/>
  <c r="AO90" i="9"/>
  <c r="AI90" i="9"/>
  <c r="AH90" i="9"/>
  <c r="AB90" i="9"/>
  <c r="V90" i="9"/>
  <c r="AG90" i="9"/>
  <c r="Q90" i="9"/>
  <c r="AM90" i="9"/>
  <c r="S90" i="9"/>
  <c r="AA90" i="9"/>
  <c r="AE90" i="9"/>
  <c r="M90" i="9"/>
  <c r="R90" i="9"/>
  <c r="AN90" i="9"/>
  <c r="K90" i="9"/>
  <c r="W90" i="9"/>
  <c r="O90" i="9"/>
  <c r="AD90" i="9"/>
  <c r="Y90" i="9"/>
  <c r="X90" i="9"/>
  <c r="AK90" i="9"/>
  <c r="J90" i="9"/>
  <c r="I90" i="9"/>
  <c r="P90" i="9"/>
  <c r="AC90" i="9"/>
  <c r="AF90" i="9"/>
  <c r="G90" i="9"/>
  <c r="Z90" i="9"/>
  <c r="AL90" i="9"/>
  <c r="H90" i="9"/>
  <c r="U90" i="9"/>
  <c r="AJ90" i="9"/>
  <c r="T90" i="9"/>
  <c r="F91" i="9"/>
  <c r="I91" i="9" s="1"/>
  <c r="AJ61" i="8"/>
  <c r="AE61" i="8"/>
  <c r="R61" i="8"/>
  <c r="AF61" i="8"/>
  <c r="AI61" i="8"/>
  <c r="O61" i="8"/>
  <c r="J61" i="8"/>
  <c r="X61" i="8"/>
  <c r="AA61" i="8"/>
  <c r="AC61" i="8"/>
  <c r="AO61" i="8"/>
  <c r="P61" i="8"/>
  <c r="W61" i="8"/>
  <c r="M61" i="8"/>
  <c r="AG61" i="8"/>
  <c r="H61" i="8"/>
  <c r="T61" i="8"/>
  <c r="AB61" i="8"/>
  <c r="Y61" i="8"/>
  <c r="AM61" i="8"/>
  <c r="S61" i="8"/>
  <c r="L61" i="8"/>
  <c r="Q61" i="8"/>
  <c r="AD61" i="8"/>
  <c r="K61" i="8"/>
  <c r="AK61" i="8"/>
  <c r="AH61" i="8"/>
  <c r="I61" i="8"/>
  <c r="V61" i="8"/>
  <c r="G61" i="8"/>
  <c r="U61" i="8"/>
  <c r="Z61" i="8"/>
  <c r="AN61" i="8"/>
  <c r="N61" i="8"/>
  <c r="AH61" i="3"/>
  <c r="Q61" i="3"/>
  <c r="AE61" i="3"/>
  <c r="AK61" i="3"/>
  <c r="AA61" i="3"/>
  <c r="I61" i="3"/>
  <c r="W61" i="3"/>
  <c r="AC61" i="3"/>
  <c r="Z61" i="3"/>
  <c r="AN61" i="3"/>
  <c r="O61" i="3"/>
  <c r="S61" i="3"/>
  <c r="AF61" i="3"/>
  <c r="G61" i="3"/>
  <c r="M61" i="3"/>
  <c r="R61" i="3"/>
  <c r="X61" i="3"/>
  <c r="AL61" i="3"/>
  <c r="AJ61" i="3"/>
  <c r="AI61" i="3"/>
  <c r="AO61" i="3"/>
  <c r="P61" i="3"/>
  <c r="AD61" i="3"/>
  <c r="AB61" i="3"/>
  <c r="K61" i="3"/>
  <c r="AG61" i="3"/>
  <c r="H61" i="3"/>
  <c r="V61" i="3"/>
  <c r="T61" i="3"/>
  <c r="J61" i="3"/>
  <c r="Y61" i="3"/>
  <c r="AM61" i="3"/>
  <c r="N61" i="3"/>
  <c r="L61" i="3"/>
  <c r="F62" i="8"/>
  <c r="AI62" i="8" s="1"/>
  <c r="F62" i="3"/>
  <c r="R62" i="3" s="1"/>
  <c r="AA91" i="9" l="1"/>
  <c r="W91" i="9"/>
  <c r="K91" i="9"/>
  <c r="G91" i="9"/>
  <c r="AL91" i="9"/>
  <c r="U91" i="9"/>
  <c r="M91" i="9"/>
  <c r="V91" i="9"/>
  <c r="AM91" i="9"/>
  <c r="AC91" i="9"/>
  <c r="P91" i="9"/>
  <c r="Z91" i="9"/>
  <c r="N91" i="9"/>
  <c r="R91" i="9"/>
  <c r="H91" i="9"/>
  <c r="J91" i="9"/>
  <c r="AI91" i="9"/>
  <c r="AJ91" i="9"/>
  <c r="AO91" i="9"/>
  <c r="S91" i="9"/>
  <c r="AB91" i="9"/>
  <c r="AG91" i="9"/>
  <c r="AE91" i="9"/>
  <c r="T91" i="9"/>
  <c r="Y91" i="9"/>
  <c r="AD91" i="9"/>
  <c r="AN91" i="9"/>
  <c r="O91" i="9"/>
  <c r="L91" i="9"/>
  <c r="Q91" i="9"/>
  <c r="AF91" i="9"/>
  <c r="X91" i="9"/>
  <c r="AK91" i="9"/>
  <c r="AH91" i="9"/>
  <c r="F92" i="9"/>
  <c r="N92" i="9" s="1"/>
  <c r="T62" i="8"/>
  <c r="J62" i="8"/>
  <c r="G62" i="8"/>
  <c r="M62" i="8"/>
  <c r="Q62" i="8"/>
  <c r="AO62" i="8"/>
  <c r="AL62" i="8"/>
  <c r="H62" i="8"/>
  <c r="P62" i="8"/>
  <c r="Y62" i="8"/>
  <c r="AD62" i="8"/>
  <c r="AA62" i="8"/>
  <c r="AN62" i="8"/>
  <c r="AH62" i="8"/>
  <c r="I62" i="8"/>
  <c r="V62" i="8"/>
  <c r="S62" i="8"/>
  <c r="AJ62" i="8"/>
  <c r="R62" i="8"/>
  <c r="AM62" i="8"/>
  <c r="N62" i="8"/>
  <c r="K62" i="8"/>
  <c r="AG62" i="8"/>
  <c r="AB62" i="8"/>
  <c r="AE62" i="8"/>
  <c r="AK62" i="8"/>
  <c r="AF62" i="8"/>
  <c r="L62" i="8"/>
  <c r="W62" i="8"/>
  <c r="AC62" i="8"/>
  <c r="X62" i="8"/>
  <c r="Z62" i="8"/>
  <c r="O62" i="8"/>
  <c r="U62" i="8"/>
  <c r="X62" i="3"/>
  <c r="AK62" i="3"/>
  <c r="AI62" i="3"/>
  <c r="AO62" i="3"/>
  <c r="W62" i="3"/>
  <c r="AC62" i="3"/>
  <c r="AA62" i="3"/>
  <c r="AG62" i="3"/>
  <c r="H62" i="3"/>
  <c r="P62" i="3"/>
  <c r="U62" i="3"/>
  <c r="S62" i="3"/>
  <c r="Y62" i="3"/>
  <c r="AN62" i="3"/>
  <c r="O62" i="3"/>
  <c r="M62" i="3"/>
  <c r="K62" i="3"/>
  <c r="Q62" i="3"/>
  <c r="AF62" i="3"/>
  <c r="AL62" i="3"/>
  <c r="AJ62" i="3"/>
  <c r="AH62" i="3"/>
  <c r="I62" i="3"/>
  <c r="AM62" i="3"/>
  <c r="AD62" i="3"/>
  <c r="AB62" i="3"/>
  <c r="Z62" i="3"/>
  <c r="G62" i="3"/>
  <c r="V62" i="3"/>
  <c r="T62" i="3"/>
  <c r="AE62" i="3"/>
  <c r="N62" i="3"/>
  <c r="L62" i="3"/>
  <c r="J62" i="3"/>
  <c r="F63" i="8"/>
  <c r="F63" i="3"/>
  <c r="V63" i="3" s="1"/>
  <c r="M92" i="9" l="1"/>
  <c r="AI92" i="9"/>
  <c r="AF92" i="9"/>
  <c r="R92" i="9"/>
  <c r="AO92" i="9"/>
  <c r="AB92" i="9"/>
  <c r="Q92" i="9"/>
  <c r="AA92" i="9"/>
  <c r="AD92" i="9"/>
  <c r="AJ92" i="9"/>
  <c r="O92" i="9"/>
  <c r="X92" i="9"/>
  <c r="S92" i="9"/>
  <c r="J92" i="9"/>
  <c r="G92" i="9"/>
  <c r="T92" i="9"/>
  <c r="P92" i="9"/>
  <c r="AG92" i="9"/>
  <c r="V92" i="9"/>
  <c r="H92" i="9"/>
  <c r="K92" i="9"/>
  <c r="L92" i="9"/>
  <c r="I92" i="9"/>
  <c r="AN92" i="9"/>
  <c r="AE92" i="9"/>
  <c r="AK92" i="9"/>
  <c r="AH92" i="9"/>
  <c r="AC92" i="9"/>
  <c r="U92" i="9"/>
  <c r="Z92" i="9"/>
  <c r="W92" i="9"/>
  <c r="Y92" i="9"/>
  <c r="AL92" i="9"/>
  <c r="AM92" i="9"/>
  <c r="F93" i="9"/>
  <c r="K93" i="9" s="1"/>
  <c r="AD63" i="8"/>
  <c r="AO63" i="8"/>
  <c r="AJ63" i="8"/>
  <c r="AH63" i="8"/>
  <c r="H63" i="8"/>
  <c r="AC63" i="8"/>
  <c r="Y63" i="8"/>
  <c r="AB63" i="8"/>
  <c r="Z63" i="8"/>
  <c r="U63" i="8"/>
  <c r="I63" i="8"/>
  <c r="T63" i="8"/>
  <c r="R63" i="8"/>
  <c r="Q63" i="8"/>
  <c r="AM63" i="8"/>
  <c r="L63" i="8"/>
  <c r="J63" i="8"/>
  <c r="N63" i="8"/>
  <c r="W63" i="8"/>
  <c r="AI63" i="8"/>
  <c r="AN63" i="8"/>
  <c r="M63" i="8"/>
  <c r="G63" i="8"/>
  <c r="AA63" i="8"/>
  <c r="AF63" i="8"/>
  <c r="AK63" i="8"/>
  <c r="AE63" i="8"/>
  <c r="AL63" i="8"/>
  <c r="S63" i="8"/>
  <c r="X63" i="8"/>
  <c r="AG63" i="8"/>
  <c r="O63" i="8"/>
  <c r="V63" i="8"/>
  <c r="K63" i="8"/>
  <c r="P63" i="8"/>
  <c r="AK63" i="3"/>
  <c r="AC63" i="3"/>
  <c r="AA63" i="3"/>
  <c r="AG63" i="3"/>
  <c r="H63" i="3"/>
  <c r="AJ63" i="3"/>
  <c r="S63" i="3"/>
  <c r="Y63" i="3"/>
  <c r="AM63" i="3"/>
  <c r="N63" i="3"/>
  <c r="K63" i="3"/>
  <c r="AE63" i="3"/>
  <c r="U63" i="3"/>
  <c r="AH63" i="3"/>
  <c r="I63" i="3"/>
  <c r="W63" i="3"/>
  <c r="M63" i="3"/>
  <c r="R63" i="3"/>
  <c r="AF63" i="3"/>
  <c r="G63" i="3"/>
  <c r="AB63" i="3"/>
  <c r="Q63" i="3"/>
  <c r="T63" i="3"/>
  <c r="AN63" i="3"/>
  <c r="L63" i="3"/>
  <c r="X63" i="3"/>
  <c r="AL63" i="3"/>
  <c r="Z63" i="3"/>
  <c r="O63" i="3"/>
  <c r="J63" i="3"/>
  <c r="AI63" i="3"/>
  <c r="AO63" i="3"/>
  <c r="P63" i="3"/>
  <c r="AD63" i="3"/>
  <c r="F64" i="8"/>
  <c r="U64" i="8" s="1"/>
  <c r="F64" i="3"/>
  <c r="G93" i="9" l="1"/>
  <c r="AF93" i="9"/>
  <c r="P93" i="9"/>
  <c r="AL93" i="9"/>
  <c r="AJ93" i="9"/>
  <c r="AN93" i="9"/>
  <c r="AC93" i="9"/>
  <c r="Z93" i="9"/>
  <c r="M93" i="9"/>
  <c r="AB93" i="9"/>
  <c r="U93" i="9"/>
  <c r="AO93" i="9"/>
  <c r="T93" i="9"/>
  <c r="O93" i="9"/>
  <c r="Q93" i="9"/>
  <c r="AE93" i="9"/>
  <c r="L93" i="9"/>
  <c r="AK93" i="9"/>
  <c r="J93" i="9"/>
  <c r="W93" i="9"/>
  <c r="AI93" i="9"/>
  <c r="H93" i="9"/>
  <c r="Y93" i="9"/>
  <c r="AD93" i="9"/>
  <c r="AA93" i="9"/>
  <c r="X93" i="9"/>
  <c r="AH93" i="9"/>
  <c r="I93" i="9"/>
  <c r="V93" i="9"/>
  <c r="S93" i="9"/>
  <c r="AG93" i="9"/>
  <c r="R93" i="9"/>
  <c r="AM93" i="9"/>
  <c r="N93" i="9"/>
  <c r="F94" i="9"/>
  <c r="H94" i="9" s="1"/>
  <c r="Z64" i="8"/>
  <c r="V64" i="8"/>
  <c r="Q64" i="8"/>
  <c r="AE64" i="8"/>
  <c r="R64" i="8"/>
  <c r="AJ64" i="8"/>
  <c r="I64" i="8"/>
  <c r="W64" i="8"/>
  <c r="N64" i="8"/>
  <c r="T64" i="8"/>
  <c r="AN64" i="8"/>
  <c r="O64" i="8"/>
  <c r="K64" i="8"/>
  <c r="AI64" i="8"/>
  <c r="AF64" i="8"/>
  <c r="G64" i="8"/>
  <c r="J64" i="8"/>
  <c r="S64" i="8"/>
  <c r="X64" i="8"/>
  <c r="AK64" i="8"/>
  <c r="AH64" i="8"/>
  <c r="AB64" i="8"/>
  <c r="AO64" i="8"/>
  <c r="P64" i="8"/>
  <c r="AC64" i="8"/>
  <c r="AD64" i="8"/>
  <c r="L64" i="8"/>
  <c r="AG64" i="8"/>
  <c r="H64" i="8"/>
  <c r="AA64" i="8"/>
  <c r="AL64" i="8"/>
  <c r="Y64" i="8"/>
  <c r="AM64" i="8"/>
  <c r="M64" i="8"/>
  <c r="AH64" i="3"/>
  <c r="I64" i="3"/>
  <c r="W64" i="3"/>
  <c r="AC64" i="3"/>
  <c r="AA64" i="3"/>
  <c r="Z64" i="3"/>
  <c r="AN64" i="3"/>
  <c r="O64" i="3"/>
  <c r="U64" i="3"/>
  <c r="S64" i="3"/>
  <c r="AG64" i="3"/>
  <c r="AF64" i="3"/>
  <c r="G64" i="3"/>
  <c r="M64" i="3"/>
  <c r="K64" i="3"/>
  <c r="Y64" i="3"/>
  <c r="X64" i="3"/>
  <c r="AL64" i="3"/>
  <c r="AJ64" i="3"/>
  <c r="R64" i="3"/>
  <c r="P64" i="3"/>
  <c r="AD64" i="3"/>
  <c r="AB64" i="3"/>
  <c r="Q64" i="3"/>
  <c r="H64" i="3"/>
  <c r="V64" i="3"/>
  <c r="T64" i="3"/>
  <c r="J64" i="3"/>
  <c r="AM64" i="3"/>
  <c r="N64" i="3"/>
  <c r="L64" i="3"/>
  <c r="AO64" i="3"/>
  <c r="AE64" i="3"/>
  <c r="AK64" i="3"/>
  <c r="AI64" i="3"/>
  <c r="F65" i="8"/>
  <c r="F65" i="3"/>
  <c r="P65" i="3" s="1"/>
  <c r="AK94" i="9" l="1"/>
  <c r="R94" i="9"/>
  <c r="Z94" i="9"/>
  <c r="L94" i="9"/>
  <c r="S94" i="9"/>
  <c r="AD94" i="9"/>
  <c r="J94" i="9"/>
  <c r="K94" i="9"/>
  <c r="N94" i="9"/>
  <c r="AL94" i="9"/>
  <c r="Y94" i="9"/>
  <c r="AM94" i="9"/>
  <c r="V94" i="9"/>
  <c r="Q94" i="9"/>
  <c r="G94" i="9"/>
  <c r="T94" i="9"/>
  <c r="AF94" i="9"/>
  <c r="AH94" i="9"/>
  <c r="AC94" i="9"/>
  <c r="AI94" i="9"/>
  <c r="U94" i="9"/>
  <c r="M94" i="9"/>
  <c r="AA94" i="9"/>
  <c r="I94" i="9"/>
  <c r="X94" i="9"/>
  <c r="AN94" i="9"/>
  <c r="W94" i="9"/>
  <c r="AE94" i="9"/>
  <c r="AJ94" i="9"/>
  <c r="AO94" i="9"/>
  <c r="P94" i="9"/>
  <c r="O94" i="9"/>
  <c r="AB94" i="9"/>
  <c r="AG94" i="9"/>
  <c r="F95" i="9"/>
  <c r="M95" i="9" s="1"/>
  <c r="AG65" i="8"/>
  <c r="AM65" i="8"/>
  <c r="Q65" i="8"/>
  <c r="AC65" i="8"/>
  <c r="Z65" i="8"/>
  <c r="AE65" i="8"/>
  <c r="G65" i="8"/>
  <c r="AF65" i="8"/>
  <c r="U65" i="8"/>
  <c r="R65" i="8"/>
  <c r="H65" i="8"/>
  <c r="AA65" i="8"/>
  <c r="X65" i="8"/>
  <c r="AO65" i="8"/>
  <c r="P65" i="8"/>
  <c r="M65" i="8"/>
  <c r="J65" i="8"/>
  <c r="W65" i="8"/>
  <c r="Y65" i="8"/>
  <c r="AL65" i="8"/>
  <c r="AJ65" i="8"/>
  <c r="O65" i="8"/>
  <c r="I65" i="8"/>
  <c r="AD65" i="8"/>
  <c r="AB65" i="8"/>
  <c r="K65" i="8"/>
  <c r="AI65" i="8"/>
  <c r="V65" i="8"/>
  <c r="T65" i="8"/>
  <c r="AN65" i="8"/>
  <c r="S65" i="8"/>
  <c r="N65" i="8"/>
  <c r="L65" i="8"/>
  <c r="AK65" i="8"/>
  <c r="AH65" i="8"/>
  <c r="V65" i="3"/>
  <c r="U65" i="3"/>
  <c r="S65" i="3"/>
  <c r="Y65" i="3"/>
  <c r="O65" i="3"/>
  <c r="M65" i="3"/>
  <c r="K65" i="3"/>
  <c r="Q65" i="3"/>
  <c r="N65" i="3"/>
  <c r="AJ65" i="3"/>
  <c r="AH65" i="3"/>
  <c r="I65" i="3"/>
  <c r="AM65" i="3"/>
  <c r="AB65" i="3"/>
  <c r="Z65" i="3"/>
  <c r="AN65" i="3"/>
  <c r="G65" i="3"/>
  <c r="T65" i="3"/>
  <c r="R65" i="3"/>
  <c r="AF65" i="3"/>
  <c r="W65" i="3"/>
  <c r="AL65" i="3"/>
  <c r="L65" i="3"/>
  <c r="J65" i="3"/>
  <c r="X65" i="3"/>
  <c r="AE65" i="3"/>
  <c r="AK65" i="3"/>
  <c r="AI65" i="3"/>
  <c r="AO65" i="3"/>
  <c r="AD65" i="3"/>
  <c r="AC65" i="3"/>
  <c r="AA65" i="3"/>
  <c r="AG65" i="3"/>
  <c r="H65" i="3"/>
  <c r="F66" i="8"/>
  <c r="W66" i="8" s="1"/>
  <c r="F66" i="3"/>
  <c r="AA95" i="9" l="1"/>
  <c r="AJ95" i="9"/>
  <c r="W95" i="9"/>
  <c r="G95" i="9"/>
  <c r="AI95" i="9"/>
  <c r="AO95" i="9"/>
  <c r="K95" i="9"/>
  <c r="AN95" i="9"/>
  <c r="X95" i="9"/>
  <c r="P95" i="9"/>
  <c r="AB95" i="9"/>
  <c r="AD95" i="9"/>
  <c r="AE95" i="9"/>
  <c r="L95" i="9"/>
  <c r="Y95" i="9"/>
  <c r="V95" i="9"/>
  <c r="R95" i="9"/>
  <c r="J95" i="9"/>
  <c r="Q95" i="9"/>
  <c r="N95" i="9"/>
  <c r="O95" i="9"/>
  <c r="AM95" i="9"/>
  <c r="I95" i="9"/>
  <c r="AC95" i="9"/>
  <c r="AH95" i="9"/>
  <c r="S95" i="9"/>
  <c r="AL95" i="9"/>
  <c r="AF95" i="9"/>
  <c r="U95" i="9"/>
  <c r="AK95" i="9"/>
  <c r="T95" i="9"/>
  <c r="Z95" i="9"/>
  <c r="AG95" i="9"/>
  <c r="H95" i="9"/>
  <c r="F96" i="9"/>
  <c r="J96" i="9" s="1"/>
  <c r="T66" i="8"/>
  <c r="AF66" i="8"/>
  <c r="S66" i="8"/>
  <c r="Y66" i="8"/>
  <c r="L66" i="8"/>
  <c r="P66" i="8"/>
  <c r="K66" i="8"/>
  <c r="Q66" i="8"/>
  <c r="AN66" i="8"/>
  <c r="AD66" i="8"/>
  <c r="AH66" i="8"/>
  <c r="I66" i="8"/>
  <c r="H66" i="8"/>
  <c r="N66" i="8"/>
  <c r="Z66" i="8"/>
  <c r="AM66" i="8"/>
  <c r="AK66" i="8"/>
  <c r="AC66" i="8"/>
  <c r="R66" i="8"/>
  <c r="AE66" i="8"/>
  <c r="AB66" i="8"/>
  <c r="AJ66" i="8"/>
  <c r="M66" i="8"/>
  <c r="J66" i="8"/>
  <c r="X66" i="8"/>
  <c r="AL66" i="8"/>
  <c r="AI66" i="8"/>
  <c r="AO66" i="8"/>
  <c r="O66" i="8"/>
  <c r="U66" i="8"/>
  <c r="V66" i="8"/>
  <c r="AA66" i="8"/>
  <c r="AG66" i="8"/>
  <c r="G66" i="8"/>
  <c r="AB66" i="3"/>
  <c r="AH66" i="3"/>
  <c r="I66" i="3"/>
  <c r="W66" i="3"/>
  <c r="AC66" i="3"/>
  <c r="AO66" i="3"/>
  <c r="AD66" i="3"/>
  <c r="Y66" i="3"/>
  <c r="AI66" i="3"/>
  <c r="T66" i="3"/>
  <c r="AN66" i="3"/>
  <c r="O66" i="3"/>
  <c r="U66" i="3"/>
  <c r="Z66" i="3"/>
  <c r="AA66" i="3"/>
  <c r="R66" i="3"/>
  <c r="AF66" i="3"/>
  <c r="G66" i="3"/>
  <c r="M66" i="3"/>
  <c r="S66" i="3"/>
  <c r="X66" i="3"/>
  <c r="AL66" i="3"/>
  <c r="K66" i="3"/>
  <c r="AG66" i="3"/>
  <c r="H66" i="3"/>
  <c r="V66" i="3"/>
  <c r="J66" i="3"/>
  <c r="L66" i="3"/>
  <c r="P66" i="3"/>
  <c r="AJ66" i="3"/>
  <c r="AM66" i="3"/>
  <c r="N66" i="3"/>
  <c r="Q66" i="3"/>
  <c r="AE66" i="3"/>
  <c r="AK66" i="3"/>
  <c r="F67" i="8"/>
  <c r="AB67" i="8" s="1"/>
  <c r="F67" i="3"/>
  <c r="R67" i="3" s="1"/>
  <c r="AN96" i="9" l="1"/>
  <c r="X96" i="9"/>
  <c r="AK96" i="9"/>
  <c r="G96" i="9"/>
  <c r="P96" i="9"/>
  <c r="AD96" i="9"/>
  <c r="O96" i="9"/>
  <c r="H96" i="9"/>
  <c r="N96" i="9"/>
  <c r="Y96" i="9"/>
  <c r="AA96" i="9"/>
  <c r="I96" i="9"/>
  <c r="S96" i="9"/>
  <c r="AB96" i="9"/>
  <c r="AJ96" i="9"/>
  <c r="K96" i="9"/>
  <c r="V96" i="9"/>
  <c r="L96" i="9"/>
  <c r="AF96" i="9"/>
  <c r="Z96" i="9"/>
  <c r="W96" i="9"/>
  <c r="M96" i="9"/>
  <c r="AM96" i="9"/>
  <c r="AL96" i="9"/>
  <c r="AH96" i="9"/>
  <c r="Q96" i="9"/>
  <c r="AG96" i="9"/>
  <c r="AI96" i="9"/>
  <c r="AC96" i="9"/>
  <c r="R96" i="9"/>
  <c r="AO96" i="9"/>
  <c r="AE96" i="9"/>
  <c r="T96" i="9"/>
  <c r="U96" i="9"/>
  <c r="F97" i="9"/>
  <c r="K97" i="9" s="1"/>
  <c r="AE97" i="9"/>
  <c r="AH97" i="9"/>
  <c r="I97" i="9"/>
  <c r="O97" i="9"/>
  <c r="Q67" i="8"/>
  <c r="AC67" i="8"/>
  <c r="X67" i="8"/>
  <c r="AL67" i="8"/>
  <c r="AO67" i="8"/>
  <c r="M67" i="8"/>
  <c r="P67" i="8"/>
  <c r="AD67" i="8"/>
  <c r="I67" i="8"/>
  <c r="AA67" i="8"/>
  <c r="H67" i="8"/>
  <c r="V67" i="8"/>
  <c r="AK67" i="8"/>
  <c r="K67" i="8"/>
  <c r="AM67" i="8"/>
  <c r="N67" i="8"/>
  <c r="AH67" i="8"/>
  <c r="Z67" i="8"/>
  <c r="AE67" i="8"/>
  <c r="AJ67" i="8"/>
  <c r="Y67" i="8"/>
  <c r="AG67" i="8"/>
  <c r="J67" i="8"/>
  <c r="W67" i="8"/>
  <c r="U67" i="8"/>
  <c r="AI67" i="8"/>
  <c r="AN67" i="8"/>
  <c r="O67" i="8"/>
  <c r="T67" i="8"/>
  <c r="R67" i="8"/>
  <c r="S67" i="8"/>
  <c r="AF67" i="8"/>
  <c r="G67" i="8"/>
  <c r="L67" i="8"/>
  <c r="P67" i="3"/>
  <c r="AE67" i="3"/>
  <c r="AK67" i="3"/>
  <c r="AI67" i="3"/>
  <c r="AO67" i="3"/>
  <c r="W67" i="3"/>
  <c r="AC67" i="3"/>
  <c r="AA67" i="3"/>
  <c r="I67" i="3"/>
  <c r="O67" i="3"/>
  <c r="U67" i="3"/>
  <c r="S67" i="3"/>
  <c r="AN67" i="3"/>
  <c r="G67" i="3"/>
  <c r="M67" i="3"/>
  <c r="K67" i="3"/>
  <c r="H67" i="3"/>
  <c r="AL67" i="3"/>
  <c r="AJ67" i="3"/>
  <c r="AH67" i="3"/>
  <c r="Y67" i="3"/>
  <c r="AG67" i="3"/>
  <c r="AD67" i="3"/>
  <c r="AB67" i="3"/>
  <c r="Z67" i="3"/>
  <c r="Q67" i="3"/>
  <c r="AF67" i="3"/>
  <c r="V67" i="3"/>
  <c r="T67" i="3"/>
  <c r="X67" i="3"/>
  <c r="AM67" i="3"/>
  <c r="N67" i="3"/>
  <c r="L67" i="3"/>
  <c r="J67" i="3"/>
  <c r="F68" i="8"/>
  <c r="Q68" i="8" s="1"/>
  <c r="F68" i="3"/>
  <c r="O68" i="3" s="1"/>
  <c r="AD97" i="9" l="1"/>
  <c r="R97" i="9"/>
  <c r="Z97" i="9"/>
  <c r="AJ97" i="9"/>
  <c r="AM97" i="9"/>
  <c r="T97" i="9"/>
  <c r="AK97" i="9"/>
  <c r="AC97" i="9"/>
  <c r="AL97" i="9"/>
  <c r="M97" i="9"/>
  <c r="L97" i="9"/>
  <c r="X97" i="9"/>
  <c r="U97" i="9"/>
  <c r="S97" i="9"/>
  <c r="AN97" i="9"/>
  <c r="AF97" i="9"/>
  <c r="J97" i="9"/>
  <c r="AB97" i="9"/>
  <c r="AO97" i="9"/>
  <c r="W97" i="9"/>
  <c r="V97" i="9"/>
  <c r="G97" i="9"/>
  <c r="N97" i="9"/>
  <c r="Y97" i="9"/>
  <c r="AG97" i="9"/>
  <c r="Q97" i="9"/>
  <c r="AI97" i="9"/>
  <c r="H97" i="9"/>
  <c r="P97" i="9"/>
  <c r="AA97" i="9"/>
  <c r="F98" i="9"/>
  <c r="H98" i="9" s="1"/>
  <c r="AN98" i="9"/>
  <c r="N98" i="9"/>
  <c r="N68" i="8"/>
  <c r="J68" i="8"/>
  <c r="AC68" i="8"/>
  <c r="AA68" i="8"/>
  <c r="AL68" i="8"/>
  <c r="AN68" i="8"/>
  <c r="U68" i="8"/>
  <c r="S68" i="8"/>
  <c r="AH68" i="8"/>
  <c r="X68" i="8"/>
  <c r="M68" i="8"/>
  <c r="K68" i="8"/>
  <c r="AE68" i="8"/>
  <c r="H68" i="8"/>
  <c r="AJ68" i="8"/>
  <c r="AO68" i="8"/>
  <c r="AD68" i="8"/>
  <c r="AM68" i="8"/>
  <c r="AB68" i="8"/>
  <c r="AG68" i="8"/>
  <c r="V68" i="8"/>
  <c r="AF68" i="8"/>
  <c r="W68" i="8"/>
  <c r="T68" i="8"/>
  <c r="Y68" i="8"/>
  <c r="R68" i="8"/>
  <c r="P68" i="8"/>
  <c r="G68" i="8"/>
  <c r="L68" i="8"/>
  <c r="O68" i="8"/>
  <c r="Z68" i="8"/>
  <c r="AK68" i="8"/>
  <c r="AI68" i="8"/>
  <c r="I68" i="8"/>
  <c r="V68" i="3"/>
  <c r="AJ68" i="3"/>
  <c r="AH68" i="3"/>
  <c r="I68" i="3"/>
  <c r="W68" i="3"/>
  <c r="AI68" i="3"/>
  <c r="P68" i="3"/>
  <c r="AD68" i="3"/>
  <c r="AC68" i="3"/>
  <c r="Z68" i="3"/>
  <c r="AN68" i="3"/>
  <c r="N68" i="3"/>
  <c r="AB68" i="3"/>
  <c r="U68" i="3"/>
  <c r="T68" i="3"/>
  <c r="R68" i="3"/>
  <c r="AF68" i="3"/>
  <c r="G68" i="3"/>
  <c r="L68" i="3"/>
  <c r="J68" i="3"/>
  <c r="X68" i="3"/>
  <c r="AA68" i="3"/>
  <c r="AG68" i="3"/>
  <c r="H68" i="3"/>
  <c r="S68" i="3"/>
  <c r="Y68" i="3"/>
  <c r="AM68" i="3"/>
  <c r="M68" i="3"/>
  <c r="AL68" i="3"/>
  <c r="AO68" i="3"/>
  <c r="AK68" i="3"/>
  <c r="K68" i="3"/>
  <c r="Q68" i="3"/>
  <c r="AE68" i="3"/>
  <c r="F69" i="8"/>
  <c r="N69" i="8" s="1"/>
  <c r="F69" i="3"/>
  <c r="M69" i="3" s="1"/>
  <c r="G98" i="9" l="1"/>
  <c r="AI98" i="9"/>
  <c r="S98" i="9"/>
  <c r="AM98" i="9"/>
  <c r="W98" i="9"/>
  <c r="AA98" i="9"/>
  <c r="AC98" i="9"/>
  <c r="M98" i="9"/>
  <c r="O98" i="9"/>
  <c r="AE98" i="9"/>
  <c r="AK98" i="9"/>
  <c r="L98" i="9"/>
  <c r="Z98" i="9"/>
  <c r="U98" i="9"/>
  <c r="T98" i="9"/>
  <c r="AJ98" i="9"/>
  <c r="AB98" i="9"/>
  <c r="Q98" i="9"/>
  <c r="V98" i="9"/>
  <c r="I98" i="9"/>
  <c r="AG98" i="9"/>
  <c r="AH98" i="9"/>
  <c r="Y98" i="9"/>
  <c r="AL98" i="9"/>
  <c r="K98" i="9"/>
  <c r="AF98" i="9"/>
  <c r="R98" i="9"/>
  <c r="AD98" i="9"/>
  <c r="X98" i="9"/>
  <c r="J98" i="9"/>
  <c r="F99" i="9"/>
  <c r="M99" i="9" s="1"/>
  <c r="AO98" i="9"/>
  <c r="P98" i="9"/>
  <c r="O69" i="8"/>
  <c r="AB69" i="8"/>
  <c r="G69" i="8"/>
  <c r="R69" i="8"/>
  <c r="H69" i="8"/>
  <c r="AM69" i="8"/>
  <c r="X69" i="8"/>
  <c r="AE69" i="8"/>
  <c r="J69" i="8"/>
  <c r="AC69" i="8"/>
  <c r="Z69" i="8"/>
  <c r="AL69" i="8"/>
  <c r="W69" i="8"/>
  <c r="U69" i="8"/>
  <c r="AO69" i="8"/>
  <c r="AJ69" i="8"/>
  <c r="AK69" i="8"/>
  <c r="AN69" i="8"/>
  <c r="AG69" i="8"/>
  <c r="L69" i="8"/>
  <c r="AA69" i="8"/>
  <c r="AD69" i="8"/>
  <c r="Y69" i="8"/>
  <c r="AI69" i="8"/>
  <c r="M69" i="8"/>
  <c r="T69" i="8"/>
  <c r="Q69" i="8"/>
  <c r="S69" i="8"/>
  <c r="V69" i="8"/>
  <c r="P69" i="8"/>
  <c r="K69" i="8"/>
  <c r="AF69" i="8"/>
  <c r="AH69" i="8"/>
  <c r="I69" i="8"/>
  <c r="AA69" i="3"/>
  <c r="AF69" i="3"/>
  <c r="G69" i="3"/>
  <c r="Z69" i="3"/>
  <c r="X69" i="3"/>
  <c r="AL69" i="3"/>
  <c r="AJ69" i="3"/>
  <c r="K69" i="3"/>
  <c r="AO69" i="3"/>
  <c r="P69" i="3"/>
  <c r="AD69" i="3"/>
  <c r="AB69" i="3"/>
  <c r="S69" i="3"/>
  <c r="AG69" i="3"/>
  <c r="H69" i="3"/>
  <c r="V69" i="3"/>
  <c r="T69" i="3"/>
  <c r="R69" i="3"/>
  <c r="Y69" i="3"/>
  <c r="AM69" i="3"/>
  <c r="N69" i="3"/>
  <c r="L69" i="3"/>
  <c r="J69" i="3"/>
  <c r="Q69" i="3"/>
  <c r="AE69" i="3"/>
  <c r="AK69" i="3"/>
  <c r="AI69" i="3"/>
  <c r="I69" i="3"/>
  <c r="W69" i="3"/>
  <c r="AC69" i="3"/>
  <c r="AH69" i="3"/>
  <c r="AN69" i="3"/>
  <c r="O69" i="3"/>
  <c r="U69" i="3"/>
  <c r="F70" i="8"/>
  <c r="W70" i="8" s="1"/>
  <c r="F70" i="3"/>
  <c r="AO70" i="3" s="1"/>
  <c r="K99" i="9" l="1"/>
  <c r="AL99" i="9"/>
  <c r="AD99" i="9"/>
  <c r="S99" i="9"/>
  <c r="P99" i="9"/>
  <c r="AG99" i="9"/>
  <c r="AN99" i="9"/>
  <c r="AC99" i="9"/>
  <c r="W99" i="9"/>
  <c r="AH99" i="9"/>
  <c r="AE99" i="9"/>
  <c r="AI99" i="9"/>
  <c r="Z99" i="9"/>
  <c r="L99" i="9"/>
  <c r="I99" i="9"/>
  <c r="AA99" i="9"/>
  <c r="X99" i="9"/>
  <c r="T99" i="9"/>
  <c r="Q99" i="9"/>
  <c r="AM99" i="9"/>
  <c r="J99" i="9"/>
  <c r="G99" i="9"/>
  <c r="AJ99" i="9"/>
  <c r="V99" i="9"/>
  <c r="AO99" i="9"/>
  <c r="AB99" i="9"/>
  <c r="N99" i="9"/>
  <c r="Y99" i="9"/>
  <c r="O99" i="9"/>
  <c r="R99" i="9"/>
  <c r="U99" i="9"/>
  <c r="AF99" i="9"/>
  <c r="AK99" i="9"/>
  <c r="H99" i="9"/>
  <c r="F100" i="9"/>
  <c r="H100" i="9" s="1"/>
  <c r="AJ70" i="8"/>
  <c r="AH70" i="8"/>
  <c r="AB70" i="8"/>
  <c r="K71" i="8"/>
  <c r="S71" i="8"/>
  <c r="AA71" i="8"/>
  <c r="AI71" i="8"/>
  <c r="L71" i="8"/>
  <c r="T71" i="8"/>
  <c r="AB71" i="8"/>
  <c r="AJ71" i="8"/>
  <c r="N71" i="8"/>
  <c r="X71" i="8"/>
  <c r="AH71" i="8"/>
  <c r="O71" i="8"/>
  <c r="Y71" i="8"/>
  <c r="AK71" i="8"/>
  <c r="P71" i="8"/>
  <c r="Z71" i="8"/>
  <c r="AL71" i="8"/>
  <c r="I71" i="8"/>
  <c r="U71" i="8"/>
  <c r="AE71" i="8"/>
  <c r="AO71" i="8"/>
  <c r="Q71" i="8"/>
  <c r="AM71" i="8"/>
  <c r="R71" i="8"/>
  <c r="AN71" i="8"/>
  <c r="V71" i="8"/>
  <c r="W71" i="8"/>
  <c r="G71" i="8"/>
  <c r="AC71" i="8"/>
  <c r="H71" i="8"/>
  <c r="AD71" i="8"/>
  <c r="J71" i="8"/>
  <c r="M71" i="8"/>
  <c r="AF71" i="8"/>
  <c r="AG71" i="8"/>
  <c r="P70" i="8"/>
  <c r="X70" i="8"/>
  <c r="R70" i="8"/>
  <c r="O70" i="8"/>
  <c r="AI70" i="8"/>
  <c r="L70" i="8"/>
  <c r="H70" i="8"/>
  <c r="G70" i="8"/>
  <c r="M70" i="8"/>
  <c r="AO70" i="8"/>
  <c r="AK70" i="8"/>
  <c r="AL70" i="8"/>
  <c r="Z70" i="8"/>
  <c r="AG70" i="8"/>
  <c r="AC70" i="8"/>
  <c r="AA70" i="8"/>
  <c r="AD70" i="8"/>
  <c r="Y70" i="8"/>
  <c r="K70" i="8"/>
  <c r="S70" i="8"/>
  <c r="Q70" i="8"/>
  <c r="V70" i="8"/>
  <c r="U70" i="8"/>
  <c r="AF70" i="8"/>
  <c r="I70" i="8"/>
  <c r="AM70" i="8"/>
  <c r="N70" i="8"/>
  <c r="T70" i="8"/>
  <c r="J70" i="8"/>
  <c r="AN70" i="8"/>
  <c r="AE70" i="8"/>
  <c r="AF70" i="3"/>
  <c r="AK70" i="3"/>
  <c r="AI70" i="3"/>
  <c r="AE70" i="3"/>
  <c r="AC70" i="3"/>
  <c r="AA70" i="3"/>
  <c r="AG70" i="3"/>
  <c r="AN70" i="3"/>
  <c r="X70" i="3"/>
  <c r="U70" i="3"/>
  <c r="S70" i="3"/>
  <c r="Y70" i="3"/>
  <c r="P70" i="3"/>
  <c r="W70" i="3"/>
  <c r="M70" i="3"/>
  <c r="K70" i="3"/>
  <c r="Q70" i="3"/>
  <c r="H70" i="3"/>
  <c r="AL70" i="3"/>
  <c r="AJ70" i="3"/>
  <c r="AH70" i="3"/>
  <c r="I70" i="3"/>
  <c r="O70" i="3"/>
  <c r="AD70" i="3"/>
  <c r="AB70" i="3"/>
  <c r="Z70" i="3"/>
  <c r="AM70" i="3"/>
  <c r="V70" i="3"/>
  <c r="T70" i="3"/>
  <c r="R70" i="3"/>
  <c r="G70" i="3"/>
  <c r="N70" i="3"/>
  <c r="L70" i="3"/>
  <c r="J70" i="3"/>
  <c r="F71" i="3"/>
  <c r="AL71" i="3" s="1"/>
  <c r="O100" i="9" l="1"/>
  <c r="AE100" i="9"/>
  <c r="AK100" i="9"/>
  <c r="G100" i="9"/>
  <c r="AL100" i="9"/>
  <c r="V100" i="9"/>
  <c r="AC100" i="9"/>
  <c r="AM100" i="9"/>
  <c r="M100" i="9"/>
  <c r="AD100" i="9"/>
  <c r="N100" i="9"/>
  <c r="U100" i="9"/>
  <c r="AH100" i="9"/>
  <c r="T100" i="9"/>
  <c r="Q100" i="9"/>
  <c r="Z100" i="9"/>
  <c r="Y100" i="9"/>
  <c r="AN100" i="9"/>
  <c r="AI100" i="9"/>
  <c r="I100" i="9"/>
  <c r="AJ100" i="9"/>
  <c r="R100" i="9"/>
  <c r="AF100" i="9"/>
  <c r="AB100" i="9"/>
  <c r="AA100" i="9"/>
  <c r="J100" i="9"/>
  <c r="X100" i="9"/>
  <c r="S100" i="9"/>
  <c r="AO100" i="9"/>
  <c r="P100" i="9"/>
  <c r="W100" i="9"/>
  <c r="L100" i="9"/>
  <c r="K100" i="9"/>
  <c r="AG100" i="9"/>
  <c r="F101" i="9"/>
  <c r="M101" i="9" s="1"/>
  <c r="U71" i="3"/>
  <c r="R71" i="3"/>
  <c r="AF71" i="3"/>
  <c r="G71" i="3"/>
  <c r="T71" i="3"/>
  <c r="J71" i="3"/>
  <c r="X71" i="3"/>
  <c r="AK71" i="3"/>
  <c r="AI71" i="3"/>
  <c r="AO71" i="3"/>
  <c r="P71" i="3"/>
  <c r="AD71" i="3"/>
  <c r="M71" i="3"/>
  <c r="AA71" i="3"/>
  <c r="AG71" i="3"/>
  <c r="H71" i="3"/>
  <c r="V71" i="3"/>
  <c r="L71" i="3"/>
  <c r="S71" i="3"/>
  <c r="Y71" i="3"/>
  <c r="AM71" i="3"/>
  <c r="N71" i="3"/>
  <c r="AJ71" i="3"/>
  <c r="K71" i="3"/>
  <c r="Q71" i="3"/>
  <c r="AE71" i="3"/>
  <c r="AC71" i="3"/>
  <c r="AH71" i="3"/>
  <c r="I71" i="3"/>
  <c r="W71" i="3"/>
  <c r="AB71" i="3"/>
  <c r="Z71" i="3"/>
  <c r="AN71" i="3"/>
  <c r="O71" i="3"/>
  <c r="F72" i="8"/>
  <c r="F72" i="3"/>
  <c r="L72" i="3" s="1"/>
  <c r="AH101" i="9" l="1"/>
  <c r="H101" i="9"/>
  <c r="AL101" i="9"/>
  <c r="K101" i="9"/>
  <c r="AD101" i="9"/>
  <c r="S101" i="9"/>
  <c r="AI101" i="9"/>
  <c r="AJ101" i="9"/>
  <c r="Z101" i="9"/>
  <c r="V101" i="9"/>
  <c r="L101" i="9"/>
  <c r="J101" i="9"/>
  <c r="N101" i="9"/>
  <c r="AO101" i="9"/>
  <c r="AM101" i="9"/>
  <c r="R101" i="9"/>
  <c r="Y101" i="9"/>
  <c r="W101" i="9"/>
  <c r="AG101" i="9"/>
  <c r="AN101" i="9"/>
  <c r="G101" i="9"/>
  <c r="AK101" i="9"/>
  <c r="AF101" i="9"/>
  <c r="AA101" i="9"/>
  <c r="AC101" i="9"/>
  <c r="AB101" i="9"/>
  <c r="Q101" i="9"/>
  <c r="X101" i="9"/>
  <c r="AE101" i="9"/>
  <c r="U101" i="9"/>
  <c r="T101" i="9"/>
  <c r="I101" i="9"/>
  <c r="P101" i="9"/>
  <c r="O101" i="9"/>
  <c r="F102" i="9"/>
  <c r="J102" i="9" s="1"/>
  <c r="H72" i="8"/>
  <c r="L72" i="8"/>
  <c r="R72" i="8"/>
  <c r="AA72" i="8"/>
  <c r="T72" i="8"/>
  <c r="AI72" i="8"/>
  <c r="P72" i="8"/>
  <c r="V72" i="8"/>
  <c r="Z72" i="8"/>
  <c r="J72" i="8"/>
  <c r="AL72" i="8"/>
  <c r="AG72" i="8"/>
  <c r="I72" i="8"/>
  <c r="AD72" i="8"/>
  <c r="AH72" i="8"/>
  <c r="AB72" i="8"/>
  <c r="AJ72" i="8"/>
  <c r="X72" i="8"/>
  <c r="S72" i="8"/>
  <c r="Q72" i="8"/>
  <c r="N72" i="8"/>
  <c r="K72" i="8"/>
  <c r="M72" i="8"/>
  <c r="AN72" i="8"/>
  <c r="AF72" i="8"/>
  <c r="U72" i="8"/>
  <c r="W72" i="8"/>
  <c r="Y72" i="8"/>
  <c r="O72" i="8"/>
  <c r="AC72" i="8"/>
  <c r="AE72" i="8"/>
  <c r="AO72" i="8"/>
  <c r="AK72" i="8"/>
  <c r="AM72" i="8"/>
  <c r="G72" i="8"/>
  <c r="AO72" i="3"/>
  <c r="AF72" i="3"/>
  <c r="G72" i="3"/>
  <c r="M72" i="3"/>
  <c r="K72" i="3"/>
  <c r="I72" i="3"/>
  <c r="X72" i="3"/>
  <c r="AL72" i="3"/>
  <c r="AJ72" i="3"/>
  <c r="AG72" i="3"/>
  <c r="P72" i="3"/>
  <c r="AD72" i="3"/>
  <c r="AB72" i="3"/>
  <c r="Z72" i="3"/>
  <c r="H72" i="3"/>
  <c r="V72" i="3"/>
  <c r="T72" i="3"/>
  <c r="Y72" i="3"/>
  <c r="AM72" i="3"/>
  <c r="N72" i="3"/>
  <c r="R72" i="3"/>
  <c r="AE72" i="3"/>
  <c r="AK72" i="3"/>
  <c r="AI72" i="3"/>
  <c r="AH72" i="3"/>
  <c r="Q72" i="3"/>
  <c r="W72" i="3"/>
  <c r="AC72" i="3"/>
  <c r="AA72" i="3"/>
  <c r="J72" i="3"/>
  <c r="AN72" i="3"/>
  <c r="O72" i="3"/>
  <c r="U72" i="3"/>
  <c r="S72" i="3"/>
  <c r="F73" i="8"/>
  <c r="R73" i="8" s="1"/>
  <c r="F73" i="3"/>
  <c r="X73" i="3" s="1"/>
  <c r="AL102" i="9" l="1"/>
  <c r="G102" i="9"/>
  <c r="X102" i="9"/>
  <c r="R102" i="9"/>
  <c r="AB102" i="9"/>
  <c r="V102" i="9"/>
  <c r="AI102" i="9"/>
  <c r="Q102" i="9"/>
  <c r="S102" i="9"/>
  <c r="AG102" i="9"/>
  <c r="AM102" i="9"/>
  <c r="H102" i="9"/>
  <c r="K102" i="9"/>
  <c r="AD102" i="9"/>
  <c r="AC102" i="9"/>
  <c r="P102" i="9"/>
  <c r="AN102" i="9"/>
  <c r="Y102" i="9"/>
  <c r="AE102" i="9"/>
  <c r="AJ102" i="9"/>
  <c r="AH102" i="9"/>
  <c r="O102" i="9"/>
  <c r="W102" i="9"/>
  <c r="T102" i="9"/>
  <c r="Z102" i="9"/>
  <c r="AK102" i="9"/>
  <c r="I102" i="9"/>
  <c r="N102" i="9"/>
  <c r="M102" i="9"/>
  <c r="AA102" i="9"/>
  <c r="AA73" i="8"/>
  <c r="P73" i="8"/>
  <c r="AD73" i="8"/>
  <c r="I73" i="8"/>
  <c r="AL73" i="8"/>
  <c r="AM73" i="8"/>
  <c r="AE73" i="8"/>
  <c r="AI73" i="8"/>
  <c r="AO102" i="9"/>
  <c r="AF102" i="9"/>
  <c r="U102" i="9"/>
  <c r="L102" i="9"/>
  <c r="F103" i="9"/>
  <c r="AE103" i="9" s="1"/>
  <c r="N73" i="8"/>
  <c r="X73" i="8"/>
  <c r="W73" i="8"/>
  <c r="S73" i="8"/>
  <c r="AO73" i="8"/>
  <c r="H73" i="8"/>
  <c r="O73" i="8"/>
  <c r="K73" i="8"/>
  <c r="AC73" i="8"/>
  <c r="AK73" i="8"/>
  <c r="G73" i="8"/>
  <c r="AH73" i="8"/>
  <c r="Q73" i="8"/>
  <c r="M73" i="8"/>
  <c r="V73" i="8"/>
  <c r="AB73" i="8"/>
  <c r="Z73" i="8"/>
  <c r="AG73" i="8"/>
  <c r="AN73" i="8"/>
  <c r="AJ73" i="8"/>
  <c r="T73" i="8"/>
  <c r="AF73" i="8"/>
  <c r="Y73" i="8"/>
  <c r="U73" i="8"/>
  <c r="L73" i="8"/>
  <c r="J73" i="8"/>
  <c r="O73" i="3"/>
  <c r="T73" i="3"/>
  <c r="R73" i="3"/>
  <c r="AF73" i="3"/>
  <c r="G73" i="3"/>
  <c r="N73" i="3"/>
  <c r="L73" i="3"/>
  <c r="J73" i="3"/>
  <c r="AM73" i="3"/>
  <c r="AK73" i="3"/>
  <c r="AI73" i="3"/>
  <c r="AO73" i="3"/>
  <c r="P73" i="3"/>
  <c r="AE73" i="3"/>
  <c r="AC73" i="3"/>
  <c r="AA73" i="3"/>
  <c r="AG73" i="3"/>
  <c r="H73" i="3"/>
  <c r="AL73" i="3"/>
  <c r="U73" i="3"/>
  <c r="S73" i="3"/>
  <c r="Y73" i="3"/>
  <c r="AD73" i="3"/>
  <c r="M73" i="3"/>
  <c r="K73" i="3"/>
  <c r="Q73" i="3"/>
  <c r="W73" i="3"/>
  <c r="AJ73" i="3"/>
  <c r="AH73" i="3"/>
  <c r="I73" i="3"/>
  <c r="V73" i="3"/>
  <c r="AB73" i="3"/>
  <c r="Z73" i="3"/>
  <c r="AN73" i="3"/>
  <c r="F74" i="8"/>
  <c r="L74" i="8" s="1"/>
  <c r="F74" i="3"/>
  <c r="AK74" i="3" s="1"/>
  <c r="AI103" i="9" l="1"/>
  <c r="AA103" i="9"/>
  <c r="X103" i="9"/>
  <c r="S103" i="9"/>
  <c r="AB103" i="9"/>
  <c r="AG103" i="9"/>
  <c r="T103" i="9"/>
  <c r="AH103" i="9"/>
  <c r="N103" i="9"/>
  <c r="Q103" i="9"/>
  <c r="AL103" i="9"/>
  <c r="R103" i="9"/>
  <c r="W103" i="9"/>
  <c r="AD103" i="9"/>
  <c r="M103" i="9"/>
  <c r="J103" i="9"/>
  <c r="AN103" i="9"/>
  <c r="O103" i="9"/>
  <c r="K103" i="9"/>
  <c r="AK103" i="9"/>
  <c r="I103" i="9"/>
  <c r="V103" i="9"/>
  <c r="AJ103" i="9"/>
  <c r="AC103" i="9"/>
  <c r="AF103" i="9"/>
  <c r="G103" i="9"/>
  <c r="P103" i="9"/>
  <c r="L103" i="9"/>
  <c r="U103" i="9"/>
  <c r="H103" i="9"/>
  <c r="AO103" i="9"/>
  <c r="AM103" i="9"/>
  <c r="Z103" i="9"/>
  <c r="Y103" i="9"/>
  <c r="S74" i="8"/>
  <c r="P74" i="8"/>
  <c r="AG74" i="8"/>
  <c r="M74" i="8"/>
  <c r="AE74" i="8"/>
  <c r="I74" i="8"/>
  <c r="Z74" i="8"/>
  <c r="AJ74" i="8"/>
  <c r="H74" i="8"/>
  <c r="AK74" i="8"/>
  <c r="V74" i="8"/>
  <c r="AM74" i="8"/>
  <c r="O74" i="8"/>
  <c r="AB74" i="8"/>
  <c r="G74" i="8"/>
  <c r="U74" i="8"/>
  <c r="AC74" i="8"/>
  <c r="AI74" i="8"/>
  <c r="T74" i="8"/>
  <c r="K74" i="8"/>
  <c r="R74" i="8"/>
  <c r="Y74" i="8"/>
  <c r="J74" i="8"/>
  <c r="AL74" i="8"/>
  <c r="N74" i="8"/>
  <c r="AN74" i="8"/>
  <c r="AO74" i="8"/>
  <c r="AA74" i="8"/>
  <c r="AH74" i="8"/>
  <c r="AF74" i="8"/>
  <c r="AD74" i="8"/>
  <c r="Q74" i="8"/>
  <c r="W74" i="8"/>
  <c r="X74" i="8"/>
  <c r="AA74" i="3"/>
  <c r="J74" i="3"/>
  <c r="X74" i="3"/>
  <c r="AL74" i="3"/>
  <c r="T74" i="3"/>
  <c r="AO74" i="3"/>
  <c r="P74" i="3"/>
  <c r="AD74" i="3"/>
  <c r="S74" i="3"/>
  <c r="AG74" i="3"/>
  <c r="H74" i="3"/>
  <c r="V74" i="3"/>
  <c r="L74" i="3"/>
  <c r="Y74" i="3"/>
  <c r="AM74" i="3"/>
  <c r="N74" i="3"/>
  <c r="K74" i="3"/>
  <c r="Q74" i="3"/>
  <c r="AE74" i="3"/>
  <c r="AJ74" i="3"/>
  <c r="AH74" i="3"/>
  <c r="I74" i="3"/>
  <c r="W74" i="3"/>
  <c r="AC74" i="3"/>
  <c r="AB74" i="3"/>
  <c r="Z74" i="3"/>
  <c r="AN74" i="3"/>
  <c r="O74" i="3"/>
  <c r="U74" i="3"/>
  <c r="AI74" i="3"/>
  <c r="R74" i="3"/>
  <c r="AF74" i="3"/>
  <c r="G74" i="3"/>
  <c r="M74" i="3"/>
  <c r="F75" i="8"/>
  <c r="Q75" i="8" s="1"/>
  <c r="F75" i="3"/>
  <c r="K75" i="3" s="1"/>
  <c r="G75" i="8" l="1"/>
  <c r="AA75" i="8"/>
  <c r="AH75" i="8"/>
  <c r="J75" i="8"/>
  <c r="U75" i="8"/>
  <c r="AN75" i="8"/>
  <c r="P75" i="8"/>
  <c r="W75" i="8"/>
  <c r="AO75" i="8"/>
  <c r="M75" i="8"/>
  <c r="AD75" i="8"/>
  <c r="Z75" i="8"/>
  <c r="AF75" i="8"/>
  <c r="Y75" i="8"/>
  <c r="AJ75" i="8"/>
  <c r="L75" i="8"/>
  <c r="AB75" i="8"/>
  <c r="O75" i="8"/>
  <c r="V75" i="8"/>
  <c r="AM75" i="8"/>
  <c r="AG75" i="8"/>
  <c r="S75" i="8"/>
  <c r="AI75" i="8"/>
  <c r="K75" i="8"/>
  <c r="I75" i="8"/>
  <c r="R75" i="8"/>
  <c r="X75" i="8"/>
  <c r="AE75" i="8"/>
  <c r="AK75" i="8"/>
  <c r="H75" i="8"/>
  <c r="AL75" i="8"/>
  <c r="N75" i="8"/>
  <c r="T75" i="8"/>
  <c r="AC75" i="8"/>
  <c r="AO75" i="3"/>
  <c r="G75" i="3"/>
  <c r="M75" i="3"/>
  <c r="I75" i="3"/>
  <c r="AL75" i="3"/>
  <c r="AJ75" i="3"/>
  <c r="AH75" i="3"/>
  <c r="AG75" i="3"/>
  <c r="AN75" i="3"/>
  <c r="AD75" i="3"/>
  <c r="AB75" i="3"/>
  <c r="Z75" i="3"/>
  <c r="Y75" i="3"/>
  <c r="H75" i="3"/>
  <c r="V75" i="3"/>
  <c r="T75" i="3"/>
  <c r="R75" i="3"/>
  <c r="AF75" i="3"/>
  <c r="AM75" i="3"/>
  <c r="N75" i="3"/>
  <c r="L75" i="3"/>
  <c r="J75" i="3"/>
  <c r="X75" i="3"/>
  <c r="AE75" i="3"/>
  <c r="AK75" i="3"/>
  <c r="AI75" i="3"/>
  <c r="Q75" i="3"/>
  <c r="W75" i="3"/>
  <c r="AC75" i="3"/>
  <c r="AA75" i="3"/>
  <c r="P75" i="3"/>
  <c r="O75" i="3"/>
  <c r="U75" i="3"/>
  <c r="S75" i="3"/>
  <c r="F76" i="8"/>
  <c r="J76" i="8" s="1"/>
  <c r="F76" i="3"/>
  <c r="AM76" i="3" s="1"/>
  <c r="AI76" i="8" l="1"/>
  <c r="N76" i="8"/>
  <c r="X76" i="8"/>
  <c r="AO76" i="8"/>
  <c r="AM76" i="8"/>
  <c r="AH76" i="8"/>
  <c r="P76" i="8"/>
  <c r="M76" i="8"/>
  <c r="AE76" i="8"/>
  <c r="AB76" i="8"/>
  <c r="Z76" i="8"/>
  <c r="O76" i="8"/>
  <c r="AG76" i="8"/>
  <c r="T76" i="8"/>
  <c r="Q76" i="8"/>
  <c r="R76" i="8"/>
  <c r="K76" i="8"/>
  <c r="H76" i="8"/>
  <c r="AK76" i="8"/>
  <c r="W76" i="8"/>
  <c r="I76" i="8"/>
  <c r="G76" i="8"/>
  <c r="AJ76" i="8"/>
  <c r="L76" i="8"/>
  <c r="AN76" i="8"/>
  <c r="AL76" i="8"/>
  <c r="AA76" i="8"/>
  <c r="AF76" i="8"/>
  <c r="AC76" i="8"/>
  <c r="AD76" i="8"/>
  <c r="Y76" i="8"/>
  <c r="U76" i="8"/>
  <c r="S76" i="8"/>
  <c r="V76" i="8"/>
  <c r="AL76" i="3"/>
  <c r="S76" i="3"/>
  <c r="Y76" i="3"/>
  <c r="AK76" i="3"/>
  <c r="K76" i="3"/>
  <c r="Q76" i="3"/>
  <c r="AE76" i="3"/>
  <c r="V76" i="3"/>
  <c r="AJ76" i="3"/>
  <c r="AH76" i="3"/>
  <c r="I76" i="3"/>
  <c r="W76" i="3"/>
  <c r="AD76" i="3"/>
  <c r="AB76" i="3"/>
  <c r="Z76" i="3"/>
  <c r="AN76" i="3"/>
  <c r="O76" i="3"/>
  <c r="AC76" i="3"/>
  <c r="T76" i="3"/>
  <c r="R76" i="3"/>
  <c r="AF76" i="3"/>
  <c r="G76" i="3"/>
  <c r="U76" i="3"/>
  <c r="L76" i="3"/>
  <c r="J76" i="3"/>
  <c r="X76" i="3"/>
  <c r="N76" i="3"/>
  <c r="AI76" i="3"/>
  <c r="AO76" i="3"/>
  <c r="P76" i="3"/>
  <c r="M76" i="3"/>
  <c r="AA76" i="3"/>
  <c r="AG76" i="3"/>
  <c r="H76" i="3"/>
  <c r="F77" i="8"/>
  <c r="F77" i="3"/>
  <c r="M77" i="3" s="1"/>
  <c r="V77" i="8" l="1"/>
  <c r="AO77" i="8"/>
  <c r="AL77" i="8"/>
  <c r="N77" i="8"/>
  <c r="O77" i="8"/>
  <c r="M77" i="8"/>
  <c r="AD77" i="8"/>
  <c r="AB77" i="8"/>
  <c r="AI77" i="8"/>
  <c r="G77" i="8"/>
  <c r="L77" i="8"/>
  <c r="T77" i="8"/>
  <c r="Q77" i="8"/>
  <c r="AA77" i="8"/>
  <c r="AH77" i="8"/>
  <c r="I77" i="8"/>
  <c r="AK77" i="8"/>
  <c r="S77" i="8"/>
  <c r="AG77" i="8"/>
  <c r="AN77" i="8"/>
  <c r="Z77" i="8"/>
  <c r="K77" i="8"/>
  <c r="AF77" i="8"/>
  <c r="AC77" i="8"/>
  <c r="P77" i="8"/>
  <c r="AM77" i="8"/>
  <c r="U77" i="8"/>
  <c r="R77" i="8"/>
  <c r="AJ77" i="8"/>
  <c r="AE77" i="8"/>
  <c r="X77" i="8"/>
  <c r="J77" i="8"/>
  <c r="H77" i="8"/>
  <c r="Y77" i="8"/>
  <c r="W77" i="8"/>
  <c r="AI77" i="3"/>
  <c r="AF77" i="3"/>
  <c r="G77" i="3"/>
  <c r="AH77" i="3"/>
  <c r="X77" i="3"/>
  <c r="AL77" i="3"/>
  <c r="AJ77" i="3"/>
  <c r="AA77" i="3"/>
  <c r="AO77" i="3"/>
  <c r="P77" i="3"/>
  <c r="AD77" i="3"/>
  <c r="AB77" i="3"/>
  <c r="S77" i="3"/>
  <c r="AG77" i="3"/>
  <c r="H77" i="3"/>
  <c r="V77" i="3"/>
  <c r="T77" i="3"/>
  <c r="Z77" i="3"/>
  <c r="Y77" i="3"/>
  <c r="AM77" i="3"/>
  <c r="N77" i="3"/>
  <c r="L77" i="3"/>
  <c r="R77" i="3"/>
  <c r="Q77" i="3"/>
  <c r="AE77" i="3"/>
  <c r="AK77" i="3"/>
  <c r="K77" i="3"/>
  <c r="I77" i="3"/>
  <c r="W77" i="3"/>
  <c r="AC77" i="3"/>
  <c r="J77" i="3"/>
  <c r="AN77" i="3"/>
  <c r="O77" i="3"/>
  <c r="U77" i="3"/>
  <c r="F78" i="8"/>
  <c r="T78" i="8" s="1"/>
  <c r="F78" i="3"/>
  <c r="AO78" i="3" s="1"/>
  <c r="S78" i="8" l="1"/>
  <c r="AL78" i="8"/>
  <c r="N78" i="8"/>
  <c r="AF78" i="8"/>
  <c r="J78" i="8"/>
  <c r="AA78" i="8"/>
  <c r="AH78" i="8"/>
  <c r="X78" i="8"/>
  <c r="I78" i="8"/>
  <c r="Q78" i="8"/>
  <c r="W78" i="8"/>
  <c r="P78" i="8"/>
  <c r="AO78" i="8"/>
  <c r="AK78" i="8"/>
  <c r="M78" i="8"/>
  <c r="H78" i="8"/>
  <c r="AM78" i="8"/>
  <c r="Z78" i="8"/>
  <c r="AG78" i="8"/>
  <c r="AJ78" i="8"/>
  <c r="U78" i="8"/>
  <c r="AC78" i="8"/>
  <c r="O78" i="8"/>
  <c r="V78" i="8"/>
  <c r="AB78" i="8"/>
  <c r="AE78" i="8"/>
  <c r="R78" i="8"/>
  <c r="AI78" i="8"/>
  <c r="K78" i="8"/>
  <c r="AD78" i="8"/>
  <c r="G78" i="8"/>
  <c r="Y78" i="8"/>
  <c r="AN78" i="8"/>
  <c r="L78" i="8"/>
  <c r="AM78" i="3"/>
  <c r="AK78" i="3"/>
  <c r="AI78" i="3"/>
  <c r="G78" i="3"/>
  <c r="AC78" i="3"/>
  <c r="AA78" i="3"/>
  <c r="AG78" i="3"/>
  <c r="X78" i="3"/>
  <c r="AF78" i="3"/>
  <c r="U78" i="3"/>
  <c r="S78" i="3"/>
  <c r="Y78" i="3"/>
  <c r="P78" i="3"/>
  <c r="AE78" i="3"/>
  <c r="M78" i="3"/>
  <c r="K78" i="3"/>
  <c r="Q78" i="3"/>
  <c r="W78" i="3"/>
  <c r="AL78" i="3"/>
  <c r="AJ78" i="3"/>
  <c r="AH78" i="3"/>
  <c r="I78" i="3"/>
  <c r="O78" i="3"/>
  <c r="AD78" i="3"/>
  <c r="AB78" i="3"/>
  <c r="Z78" i="3"/>
  <c r="AN78" i="3"/>
  <c r="V78" i="3"/>
  <c r="T78" i="3"/>
  <c r="R78" i="3"/>
  <c r="H78" i="3"/>
  <c r="N78" i="3"/>
  <c r="L78" i="3"/>
  <c r="J78" i="3"/>
  <c r="F79" i="8"/>
  <c r="F79" i="3"/>
  <c r="G79" i="3" s="1"/>
  <c r="AL79" i="8" l="1"/>
  <c r="Z79" i="8"/>
  <c r="AF79" i="8"/>
  <c r="AD79" i="8"/>
  <c r="Y79" i="8"/>
  <c r="AJ79" i="8"/>
  <c r="AB79" i="8"/>
  <c r="O79" i="8"/>
  <c r="V79" i="8"/>
  <c r="S79" i="8"/>
  <c r="Q79" i="8"/>
  <c r="AA79" i="8"/>
  <c r="AI79" i="8"/>
  <c r="K79" i="8"/>
  <c r="H79" i="8"/>
  <c r="I79" i="8"/>
  <c r="R79" i="8"/>
  <c r="X79" i="8"/>
  <c r="AO79" i="8"/>
  <c r="AK79" i="8"/>
  <c r="N79" i="8"/>
  <c r="AE79" i="8"/>
  <c r="AH79" i="8"/>
  <c r="T79" i="8"/>
  <c r="U79" i="8"/>
  <c r="G79" i="8"/>
  <c r="W79" i="8"/>
  <c r="J79" i="8"/>
  <c r="M79" i="8"/>
  <c r="P79" i="8"/>
  <c r="AC79" i="8"/>
  <c r="AM79" i="8"/>
  <c r="L79" i="8"/>
  <c r="AN79" i="8"/>
  <c r="AG79" i="8"/>
  <c r="AC79" i="3"/>
  <c r="R79" i="3"/>
  <c r="AF79" i="3"/>
  <c r="AB79" i="3"/>
  <c r="J79" i="3"/>
  <c r="X79" i="3"/>
  <c r="AL79" i="3"/>
  <c r="U79" i="3"/>
  <c r="AI79" i="3"/>
  <c r="AO79" i="3"/>
  <c r="P79" i="3"/>
  <c r="AD79" i="3"/>
  <c r="M79" i="3"/>
  <c r="AA79" i="3"/>
  <c r="AG79" i="3"/>
  <c r="H79" i="3"/>
  <c r="V79" i="3"/>
  <c r="T79" i="3"/>
  <c r="S79" i="3"/>
  <c r="Y79" i="3"/>
  <c r="AM79" i="3"/>
  <c r="N79" i="3"/>
  <c r="L79" i="3"/>
  <c r="K79" i="3"/>
  <c r="Q79" i="3"/>
  <c r="AE79" i="3"/>
  <c r="AK79" i="3"/>
  <c r="AH79" i="3"/>
  <c r="I79" i="3"/>
  <c r="W79" i="3"/>
  <c r="AJ79" i="3"/>
  <c r="Z79" i="3"/>
  <c r="AN79" i="3"/>
  <c r="O79" i="3"/>
  <c r="F80" i="8"/>
  <c r="U80" i="8" s="1"/>
  <c r="F80" i="3"/>
  <c r="L80" i="3" s="1"/>
  <c r="AA80" i="8" l="1"/>
  <c r="J80" i="8"/>
  <c r="X80" i="8"/>
  <c r="AL80" i="8"/>
  <c r="T80" i="8"/>
  <c r="AO80" i="8"/>
  <c r="P80" i="8"/>
  <c r="AD80" i="8"/>
  <c r="S80" i="8"/>
  <c r="AG80" i="8"/>
  <c r="H80" i="8"/>
  <c r="V80" i="8"/>
  <c r="L80" i="8"/>
  <c r="Y80" i="8"/>
  <c r="AM80" i="8"/>
  <c r="N80" i="8"/>
  <c r="K80" i="8"/>
  <c r="Q80" i="8"/>
  <c r="AE80" i="8"/>
  <c r="AK80" i="8"/>
  <c r="AJ80" i="8"/>
  <c r="AH80" i="8"/>
  <c r="I80" i="8"/>
  <c r="W80" i="8"/>
  <c r="AC80" i="8"/>
  <c r="AB80" i="8"/>
  <c r="Z80" i="8"/>
  <c r="AN80" i="8"/>
  <c r="O80" i="8"/>
  <c r="AI80" i="8"/>
  <c r="R80" i="8"/>
  <c r="AF80" i="8"/>
  <c r="G80" i="8"/>
  <c r="M80" i="8"/>
  <c r="AG80" i="3"/>
  <c r="AM80" i="3"/>
  <c r="N80" i="3"/>
  <c r="Z80" i="3"/>
  <c r="AE80" i="3"/>
  <c r="AK80" i="3"/>
  <c r="AI80" i="3"/>
  <c r="J80" i="3"/>
  <c r="Y80" i="3"/>
  <c r="W80" i="3"/>
  <c r="AC80" i="3"/>
  <c r="AA80" i="3"/>
  <c r="R80" i="3"/>
  <c r="AN80" i="3"/>
  <c r="O80" i="3"/>
  <c r="U80" i="3"/>
  <c r="S80" i="3"/>
  <c r="Q80" i="3"/>
  <c r="AF80" i="3"/>
  <c r="G80" i="3"/>
  <c r="M80" i="3"/>
  <c r="K80" i="3"/>
  <c r="AO80" i="3"/>
  <c r="X80" i="3"/>
  <c r="AL80" i="3"/>
  <c r="AJ80" i="3"/>
  <c r="I80" i="3"/>
  <c r="P80" i="3"/>
  <c r="AD80" i="3"/>
  <c r="AB80" i="3"/>
  <c r="AH80" i="3"/>
  <c r="H80" i="3"/>
  <c r="V80" i="3"/>
  <c r="T80" i="3"/>
  <c r="F81" i="8"/>
  <c r="R81" i="8" s="1"/>
  <c r="F81" i="3"/>
  <c r="AN81" i="3" s="1"/>
  <c r="AN81" i="8" l="1"/>
  <c r="AF81" i="8"/>
  <c r="H81" i="8"/>
  <c r="V81" i="8"/>
  <c r="T81" i="8"/>
  <c r="AG81" i="8"/>
  <c r="AD81" i="8"/>
  <c r="AB81" i="8"/>
  <c r="Z81" i="8"/>
  <c r="Y81" i="8"/>
  <c r="AM81" i="8"/>
  <c r="N81" i="8"/>
  <c r="L81" i="8"/>
  <c r="J81" i="8"/>
  <c r="X81" i="8"/>
  <c r="AE81" i="8"/>
  <c r="AK81" i="8"/>
  <c r="AI81" i="8"/>
  <c r="Q81" i="8"/>
  <c r="W81" i="8"/>
  <c r="AC81" i="8"/>
  <c r="AA81" i="8"/>
  <c r="P81" i="8"/>
  <c r="O81" i="8"/>
  <c r="U81" i="8"/>
  <c r="S81" i="8"/>
  <c r="AO81" i="8"/>
  <c r="G81" i="8"/>
  <c r="M81" i="8"/>
  <c r="K81" i="8"/>
  <c r="I81" i="8"/>
  <c r="AL81" i="8"/>
  <c r="AJ81" i="8"/>
  <c r="AH81" i="8"/>
  <c r="AE81" i="3"/>
  <c r="M81" i="3"/>
  <c r="Z81" i="3"/>
  <c r="AD81" i="3"/>
  <c r="T81" i="3"/>
  <c r="R81" i="3"/>
  <c r="AF81" i="3"/>
  <c r="AM81" i="3"/>
  <c r="AB81" i="3"/>
  <c r="L81" i="3"/>
  <c r="J81" i="3"/>
  <c r="X81" i="3"/>
  <c r="AJ81" i="3"/>
  <c r="W81" i="3"/>
  <c r="AI81" i="3"/>
  <c r="AO81" i="3"/>
  <c r="P81" i="3"/>
  <c r="O81" i="3"/>
  <c r="V81" i="3"/>
  <c r="AA81" i="3"/>
  <c r="AG81" i="3"/>
  <c r="H81" i="3"/>
  <c r="G81" i="3"/>
  <c r="AK81" i="3"/>
  <c r="S81" i="3"/>
  <c r="Y81" i="3"/>
  <c r="AL81" i="3"/>
  <c r="AC81" i="3"/>
  <c r="K81" i="3"/>
  <c r="Q81" i="3"/>
  <c r="N81" i="3"/>
  <c r="U81" i="3"/>
  <c r="AH81" i="3"/>
  <c r="I81" i="3"/>
  <c r="F82" i="8"/>
  <c r="F82" i="3"/>
  <c r="N82" i="3" s="1"/>
  <c r="V82" i="8" l="1"/>
  <c r="AJ82" i="8"/>
  <c r="AH82" i="8"/>
  <c r="I82" i="8"/>
  <c r="W82" i="8"/>
  <c r="U82" i="8"/>
  <c r="AB82" i="8"/>
  <c r="Z82" i="8"/>
  <c r="AN82" i="8"/>
  <c r="O82" i="8"/>
  <c r="AD82" i="8"/>
  <c r="T82" i="8"/>
  <c r="R82" i="8"/>
  <c r="AF82" i="8"/>
  <c r="G82" i="8"/>
  <c r="AC82" i="8"/>
  <c r="L82" i="8"/>
  <c r="J82" i="8"/>
  <c r="X82" i="8"/>
  <c r="N82" i="8"/>
  <c r="AI82" i="8"/>
  <c r="AO82" i="8"/>
  <c r="P82" i="8"/>
  <c r="M82" i="8"/>
  <c r="AA82" i="8"/>
  <c r="AG82" i="8"/>
  <c r="H82" i="8"/>
  <c r="AL82" i="8"/>
  <c r="S82" i="8"/>
  <c r="Y82" i="8"/>
  <c r="AM82" i="8"/>
  <c r="AK82" i="8"/>
  <c r="K82" i="8"/>
  <c r="Q82" i="8"/>
  <c r="AE82" i="8"/>
  <c r="AI82" i="3"/>
  <c r="AA82" i="3"/>
  <c r="AM82" i="3"/>
  <c r="S82" i="3"/>
  <c r="I82" i="3"/>
  <c r="AE82" i="3"/>
  <c r="AK82" i="3"/>
  <c r="AO82" i="3"/>
  <c r="AG82" i="3"/>
  <c r="AH82" i="3"/>
  <c r="W82" i="3"/>
  <c r="AC82" i="3"/>
  <c r="AJ82" i="3"/>
  <c r="Q82" i="3"/>
  <c r="Z82" i="3"/>
  <c r="O82" i="3"/>
  <c r="U82" i="3"/>
  <c r="Y82" i="3"/>
  <c r="AF82" i="3"/>
  <c r="R82" i="3"/>
  <c r="G82" i="3"/>
  <c r="M82" i="3"/>
  <c r="T82" i="3"/>
  <c r="L82" i="3"/>
  <c r="J82" i="3"/>
  <c r="AL82" i="3"/>
  <c r="AN82" i="3"/>
  <c r="AB82" i="3"/>
  <c r="P82" i="3"/>
  <c r="AD82" i="3"/>
  <c r="X82" i="3"/>
  <c r="K82" i="3"/>
  <c r="H82" i="3"/>
  <c r="V82" i="3"/>
  <c r="F83" i="8"/>
  <c r="T83" i="8" s="1"/>
  <c r="F83" i="3"/>
  <c r="K83" i="3" s="1"/>
  <c r="R83" i="8" l="1"/>
  <c r="Q83" i="8"/>
  <c r="AE83" i="8"/>
  <c r="AK83" i="8"/>
  <c r="K83" i="8"/>
  <c r="I83" i="8"/>
  <c r="W83" i="8"/>
  <c r="AC83" i="8"/>
  <c r="J83" i="8"/>
  <c r="AN83" i="8"/>
  <c r="O83" i="8"/>
  <c r="U83" i="8"/>
  <c r="AI83" i="8"/>
  <c r="AF83" i="8"/>
  <c r="G83" i="8"/>
  <c r="M83" i="8"/>
  <c r="AH83" i="8"/>
  <c r="X83" i="8"/>
  <c r="AL83" i="8"/>
  <c r="AJ83" i="8"/>
  <c r="S83" i="8"/>
  <c r="AO83" i="8"/>
  <c r="P83" i="8"/>
  <c r="AD83" i="8"/>
  <c r="AB83" i="8"/>
  <c r="AA83" i="8"/>
  <c r="AG83" i="8"/>
  <c r="H83" i="8"/>
  <c r="V83" i="8"/>
  <c r="Z83" i="8"/>
  <c r="Y83" i="8"/>
  <c r="AM83" i="8"/>
  <c r="N83" i="8"/>
  <c r="L83" i="8"/>
  <c r="AF83" i="3"/>
  <c r="I83" i="3"/>
  <c r="G83" i="3"/>
  <c r="P83" i="3"/>
  <c r="AN83" i="3"/>
  <c r="AJ83" i="3"/>
  <c r="AH83" i="3"/>
  <c r="AL83" i="3"/>
  <c r="AD83" i="3"/>
  <c r="X83" i="3"/>
  <c r="AB83" i="3"/>
  <c r="Z83" i="3"/>
  <c r="AG83" i="3"/>
  <c r="N83" i="3"/>
  <c r="H83" i="3"/>
  <c r="T83" i="3"/>
  <c r="R83" i="3"/>
  <c r="V83" i="3"/>
  <c r="AC83" i="3"/>
  <c r="AM83" i="3"/>
  <c r="L83" i="3"/>
  <c r="J83" i="3"/>
  <c r="Q83" i="3"/>
  <c r="M83" i="3"/>
  <c r="AE83" i="3"/>
  <c r="AI83" i="3"/>
  <c r="AK83" i="3"/>
  <c r="AO83" i="3"/>
  <c r="W83" i="3"/>
  <c r="AA83" i="3"/>
  <c r="U83" i="3"/>
  <c r="Y83" i="3"/>
  <c r="O83" i="3"/>
  <c r="S83" i="3"/>
  <c r="F84" i="8"/>
  <c r="Y84" i="8" s="1"/>
  <c r="F84" i="3"/>
  <c r="AM84" i="3" s="1"/>
  <c r="O84" i="8" l="1"/>
  <c r="L84" i="8"/>
  <c r="AN84" i="8"/>
  <c r="R84" i="8"/>
  <c r="H84" i="8"/>
  <c r="J84" i="8"/>
  <c r="N84" i="8"/>
  <c r="AD84" i="8"/>
  <c r="V84" i="8"/>
  <c r="AB84" i="8"/>
  <c r="T84" i="8"/>
  <c r="AC84" i="8"/>
  <c r="W84" i="8"/>
  <c r="AF84" i="8"/>
  <c r="U84" i="8"/>
  <c r="S84" i="8"/>
  <c r="X84" i="8"/>
  <c r="AE84" i="8"/>
  <c r="M84" i="8"/>
  <c r="K84" i="8"/>
  <c r="Q84" i="8"/>
  <c r="AA84" i="8"/>
  <c r="P84" i="8"/>
  <c r="AL84" i="8"/>
  <c r="AJ84" i="8"/>
  <c r="AH84" i="8"/>
  <c r="I84" i="8"/>
  <c r="Z84" i="8"/>
  <c r="G84" i="8"/>
  <c r="AK84" i="8"/>
  <c r="AI84" i="8"/>
  <c r="AO84" i="8"/>
  <c r="AM84" i="8"/>
  <c r="AG84" i="8"/>
  <c r="AC84" i="3"/>
  <c r="AK84" i="3"/>
  <c r="Y84" i="3"/>
  <c r="M84" i="3"/>
  <c r="U84" i="3"/>
  <c r="Q84" i="3"/>
  <c r="AE84" i="3"/>
  <c r="AD84" i="3"/>
  <c r="AA84" i="3"/>
  <c r="AJ84" i="3"/>
  <c r="I84" i="3"/>
  <c r="W84" i="3"/>
  <c r="S84" i="3"/>
  <c r="K84" i="3"/>
  <c r="AB84" i="3"/>
  <c r="AN84" i="3"/>
  <c r="O84" i="3"/>
  <c r="N84" i="3"/>
  <c r="Z84" i="3"/>
  <c r="T84" i="3"/>
  <c r="AF84" i="3"/>
  <c r="G84" i="3"/>
  <c r="AI84" i="3"/>
  <c r="J84" i="3"/>
  <c r="L84" i="3"/>
  <c r="X84" i="3"/>
  <c r="AH84" i="3"/>
  <c r="AL84" i="3"/>
  <c r="AO84" i="3"/>
  <c r="P84" i="3"/>
  <c r="R84" i="3"/>
  <c r="V84" i="3"/>
  <c r="AG84" i="3"/>
  <c r="H84" i="3"/>
  <c r="F85" i="8"/>
  <c r="V85" i="8" s="1"/>
  <c r="F85" i="3"/>
  <c r="M85" i="3" s="1"/>
  <c r="T85" i="8" l="1"/>
  <c r="AI85" i="8"/>
  <c r="AO85" i="8"/>
  <c r="P85" i="8"/>
  <c r="AD85" i="8"/>
  <c r="M85" i="8"/>
  <c r="AA85" i="8"/>
  <c r="AG85" i="8"/>
  <c r="H85" i="8"/>
  <c r="U85" i="8"/>
  <c r="S85" i="8"/>
  <c r="Y85" i="8"/>
  <c r="AM85" i="8"/>
  <c r="N85" i="8"/>
  <c r="L85" i="8"/>
  <c r="K85" i="8"/>
  <c r="Q85" i="8"/>
  <c r="AE85" i="8"/>
  <c r="AK85" i="8"/>
  <c r="AH85" i="8"/>
  <c r="I85" i="8"/>
  <c r="W85" i="8"/>
  <c r="AJ85" i="8"/>
  <c r="Z85" i="8"/>
  <c r="AN85" i="8"/>
  <c r="O85" i="8"/>
  <c r="AC85" i="8"/>
  <c r="R85" i="8"/>
  <c r="AF85" i="8"/>
  <c r="G85" i="8"/>
  <c r="AB85" i="8"/>
  <c r="J85" i="8"/>
  <c r="X85" i="8"/>
  <c r="AL85" i="8"/>
  <c r="Z85" i="3"/>
  <c r="AI85" i="3"/>
  <c r="I85" i="3"/>
  <c r="J85" i="3"/>
  <c r="S85" i="3"/>
  <c r="AL85" i="3"/>
  <c r="AJ85" i="3"/>
  <c r="AF85" i="3"/>
  <c r="AN85" i="3"/>
  <c r="AH85" i="3"/>
  <c r="AD85" i="3"/>
  <c r="AB85" i="3"/>
  <c r="AA85" i="3"/>
  <c r="X85" i="3"/>
  <c r="R85" i="3"/>
  <c r="V85" i="3"/>
  <c r="T85" i="3"/>
  <c r="P85" i="3"/>
  <c r="H85" i="3"/>
  <c r="AO85" i="3"/>
  <c r="N85" i="3"/>
  <c r="L85" i="3"/>
  <c r="K85" i="3"/>
  <c r="AM85" i="3"/>
  <c r="AG85" i="3"/>
  <c r="AK85" i="3"/>
  <c r="AE85" i="3"/>
  <c r="W85" i="3"/>
  <c r="Y85" i="3"/>
  <c r="AC85" i="3"/>
  <c r="O85" i="3"/>
  <c r="G85" i="3"/>
  <c r="Q85" i="3"/>
  <c r="U85" i="3"/>
  <c r="F86" i="8"/>
  <c r="L86" i="8" s="1"/>
  <c r="F86" i="3"/>
  <c r="O86" i="3" s="1"/>
  <c r="I86" i="8" l="1"/>
  <c r="P86" i="8"/>
  <c r="AD86" i="8"/>
  <c r="AB86" i="8"/>
  <c r="AH86" i="8"/>
  <c r="H86" i="8"/>
  <c r="V86" i="8"/>
  <c r="T86" i="8"/>
  <c r="AG86" i="8"/>
  <c r="AM86" i="8"/>
  <c r="N86" i="8"/>
  <c r="Z86" i="8"/>
  <c r="AE86" i="8"/>
  <c r="AK86" i="8"/>
  <c r="AI86" i="8"/>
  <c r="R86" i="8"/>
  <c r="Y86" i="8"/>
  <c r="W86" i="8"/>
  <c r="AC86" i="8"/>
  <c r="AA86" i="8"/>
  <c r="J86" i="8"/>
  <c r="AN86" i="8"/>
  <c r="O86" i="8"/>
  <c r="U86" i="8"/>
  <c r="S86" i="8"/>
  <c r="Q86" i="8"/>
  <c r="AF86" i="8"/>
  <c r="G86" i="8"/>
  <c r="M86" i="8"/>
  <c r="K86" i="8"/>
  <c r="AO86" i="8"/>
  <c r="X86" i="8"/>
  <c r="AL86" i="8"/>
  <c r="AJ86" i="8"/>
  <c r="V86" i="3"/>
  <c r="S86" i="3"/>
  <c r="Q86" i="3"/>
  <c r="AB86" i="3"/>
  <c r="G86" i="3"/>
  <c r="AN86" i="3"/>
  <c r="N86" i="3"/>
  <c r="T86" i="3"/>
  <c r="AK86" i="3"/>
  <c r="AH86" i="3"/>
  <c r="AF86" i="3"/>
  <c r="K86" i="3"/>
  <c r="M86" i="3"/>
  <c r="AC86" i="3"/>
  <c r="Z86" i="3"/>
  <c r="X86" i="3"/>
  <c r="J86" i="3"/>
  <c r="H86" i="3"/>
  <c r="U86" i="3"/>
  <c r="R86" i="3"/>
  <c r="P86" i="3"/>
  <c r="I86" i="3"/>
  <c r="AL86" i="3"/>
  <c r="L86" i="3"/>
  <c r="AO86" i="3"/>
  <c r="AM86" i="3"/>
  <c r="AJ86" i="3"/>
  <c r="AI86" i="3"/>
  <c r="AG86" i="3"/>
  <c r="AE86" i="3"/>
  <c r="AD86" i="3"/>
  <c r="AA86" i="3"/>
  <c r="Y86" i="3"/>
  <c r="W86" i="3"/>
  <c r="F87" i="8"/>
  <c r="AF87" i="8" s="1"/>
  <c r="F87" i="3"/>
  <c r="M87" i="3" s="1"/>
  <c r="AD87" i="8" l="1"/>
  <c r="AB87" i="8"/>
  <c r="Z87" i="8"/>
  <c r="AN87" i="8"/>
  <c r="W87" i="8"/>
  <c r="T87" i="8"/>
  <c r="R87" i="8"/>
  <c r="N87" i="8"/>
  <c r="V87" i="8"/>
  <c r="L87" i="8"/>
  <c r="J87" i="8"/>
  <c r="X87" i="8"/>
  <c r="AM87" i="8"/>
  <c r="AK87" i="8"/>
  <c r="AI87" i="8"/>
  <c r="AO87" i="8"/>
  <c r="P87" i="8"/>
  <c r="G87" i="8"/>
  <c r="AC87" i="8"/>
  <c r="AA87" i="8"/>
  <c r="AG87" i="8"/>
  <c r="H87" i="8"/>
  <c r="O87" i="8"/>
  <c r="U87" i="8"/>
  <c r="S87" i="8"/>
  <c r="Y87" i="8"/>
  <c r="AL87" i="8"/>
  <c r="M87" i="8"/>
  <c r="K87" i="8"/>
  <c r="Q87" i="8"/>
  <c r="AE87" i="8"/>
  <c r="AJ87" i="8"/>
  <c r="AH87" i="8"/>
  <c r="I87" i="8"/>
  <c r="S87" i="3"/>
  <c r="AF87" i="3"/>
  <c r="G87" i="3"/>
  <c r="AA87" i="3"/>
  <c r="X87" i="3"/>
  <c r="AL87" i="3"/>
  <c r="AJ87" i="3"/>
  <c r="Q87" i="3"/>
  <c r="Y87" i="3"/>
  <c r="P87" i="3"/>
  <c r="AD87" i="3"/>
  <c r="AB87" i="3"/>
  <c r="K87" i="3"/>
  <c r="AH87" i="3"/>
  <c r="H87" i="3"/>
  <c r="V87" i="3"/>
  <c r="T87" i="3"/>
  <c r="AO87" i="3"/>
  <c r="Z87" i="3"/>
  <c r="AM87" i="3"/>
  <c r="N87" i="3"/>
  <c r="L87" i="3"/>
  <c r="I87" i="3"/>
  <c r="R87" i="3"/>
  <c r="AE87" i="3"/>
  <c r="AK87" i="3"/>
  <c r="AI87" i="3"/>
  <c r="J87" i="3"/>
  <c r="W87" i="3"/>
  <c r="AC87" i="3"/>
  <c r="AG87" i="3"/>
  <c r="AN87" i="3"/>
  <c r="O87" i="3"/>
  <c r="U87" i="3"/>
  <c r="F88" i="8"/>
  <c r="F88" i="3"/>
  <c r="AO88" i="3" s="1"/>
  <c r="AM88" i="8" l="1"/>
  <c r="AI88" i="8"/>
  <c r="R88" i="8"/>
  <c r="AF88" i="8"/>
  <c r="N88" i="8"/>
  <c r="W88" i="8"/>
  <c r="S88" i="8"/>
  <c r="J88" i="8"/>
  <c r="X88" i="8"/>
  <c r="AB88" i="8"/>
  <c r="AE88" i="8"/>
  <c r="AO88" i="8"/>
  <c r="P88" i="8"/>
  <c r="K88" i="8"/>
  <c r="O88" i="8"/>
  <c r="AG88" i="8"/>
  <c r="H88" i="8"/>
  <c r="AK88" i="8"/>
  <c r="AC88" i="8"/>
  <c r="Y88" i="8"/>
  <c r="G88" i="8"/>
  <c r="U88" i="8"/>
  <c r="M88" i="8"/>
  <c r="Q88" i="8"/>
  <c r="AL88" i="8"/>
  <c r="L88" i="8"/>
  <c r="AJ88" i="8"/>
  <c r="AH88" i="8"/>
  <c r="I88" i="8"/>
  <c r="AD88" i="8"/>
  <c r="AA88" i="8"/>
  <c r="T88" i="8"/>
  <c r="Z88" i="8"/>
  <c r="AN88" i="8"/>
  <c r="V88" i="8"/>
  <c r="AD88" i="3"/>
  <c r="AK88" i="3"/>
  <c r="AI88" i="3"/>
  <c r="X88" i="3"/>
  <c r="AC88" i="3"/>
  <c r="AA88" i="3"/>
  <c r="AG88" i="3"/>
  <c r="N88" i="3"/>
  <c r="V88" i="3"/>
  <c r="U88" i="3"/>
  <c r="S88" i="3"/>
  <c r="Y88" i="3"/>
  <c r="P88" i="3"/>
  <c r="AM88" i="3"/>
  <c r="M88" i="3"/>
  <c r="K88" i="3"/>
  <c r="Q88" i="3"/>
  <c r="AN88" i="3"/>
  <c r="AE88" i="3"/>
  <c r="AJ88" i="3"/>
  <c r="AH88" i="3"/>
  <c r="I88" i="3"/>
  <c r="H88" i="3"/>
  <c r="W88" i="3"/>
  <c r="AB88" i="3"/>
  <c r="Z88" i="3"/>
  <c r="AL88" i="3"/>
  <c r="O88" i="3"/>
  <c r="T88" i="3"/>
  <c r="R88" i="3"/>
  <c r="AF88" i="3"/>
  <c r="G88" i="3"/>
  <c r="L88" i="3"/>
  <c r="J88" i="3"/>
  <c r="F89" i="8"/>
  <c r="S89" i="8" s="1"/>
  <c r="F89" i="3"/>
  <c r="G89" i="3" s="1"/>
  <c r="AJ89" i="8" l="1"/>
  <c r="AE89" i="8"/>
  <c r="AK89" i="8"/>
  <c r="T89" i="8"/>
  <c r="AF89" i="8"/>
  <c r="W89" i="8"/>
  <c r="AC89" i="8"/>
  <c r="Y89" i="8"/>
  <c r="P89" i="8"/>
  <c r="O89" i="8"/>
  <c r="U89" i="8"/>
  <c r="AN89" i="8"/>
  <c r="AB89" i="8"/>
  <c r="G89" i="8"/>
  <c r="M89" i="8"/>
  <c r="Q89" i="8"/>
  <c r="H89" i="8"/>
  <c r="L89" i="8"/>
  <c r="AL89" i="8"/>
  <c r="AI89" i="8"/>
  <c r="AO89" i="8"/>
  <c r="AH89" i="8"/>
  <c r="Z89" i="8"/>
  <c r="AD89" i="8"/>
  <c r="AA89" i="8"/>
  <c r="I89" i="8"/>
  <c r="R89" i="8"/>
  <c r="J89" i="8"/>
  <c r="V89" i="8"/>
  <c r="X89" i="8"/>
  <c r="AG89" i="8"/>
  <c r="AM89" i="8"/>
  <c r="N89" i="8"/>
  <c r="K89" i="8"/>
  <c r="U89" i="3"/>
  <c r="R89" i="3"/>
  <c r="AF89" i="3"/>
  <c r="S89" i="3"/>
  <c r="J89" i="3"/>
  <c r="X89" i="3"/>
  <c r="AL89" i="3"/>
  <c r="M89" i="3"/>
  <c r="AJ89" i="3"/>
  <c r="AO89" i="3"/>
  <c r="P89" i="3"/>
  <c r="AD89" i="3"/>
  <c r="K89" i="3"/>
  <c r="AB89" i="3"/>
  <c r="AG89" i="3"/>
  <c r="H89" i="3"/>
  <c r="V89" i="3"/>
  <c r="AK89" i="3"/>
  <c r="T89" i="3"/>
  <c r="Y89" i="3"/>
  <c r="AM89" i="3"/>
  <c r="N89" i="3"/>
  <c r="AI89" i="3"/>
  <c r="L89" i="3"/>
  <c r="Q89" i="3"/>
  <c r="AE89" i="3"/>
  <c r="AC89" i="3"/>
  <c r="AH89" i="3"/>
  <c r="I89" i="3"/>
  <c r="W89" i="3"/>
  <c r="AA89" i="3"/>
  <c r="Z89" i="3"/>
  <c r="AN89" i="3"/>
  <c r="O89" i="3"/>
  <c r="F90" i="8"/>
  <c r="AF90" i="8" s="1"/>
  <c r="F90" i="3"/>
  <c r="L90" i="3" s="1"/>
  <c r="L90" i="8" l="1"/>
  <c r="Z90" i="8"/>
  <c r="J90" i="8"/>
  <c r="V90" i="8"/>
  <c r="AE90" i="8"/>
  <c r="M90" i="8"/>
  <c r="Y90" i="8"/>
  <c r="AB90" i="8"/>
  <c r="O90" i="8"/>
  <c r="I90" i="8"/>
  <c r="AI90" i="8"/>
  <c r="AN90" i="8"/>
  <c r="AD90" i="8"/>
  <c r="AM90" i="8"/>
  <c r="AA90" i="8"/>
  <c r="U90" i="8"/>
  <c r="N90" i="8"/>
  <c r="W90" i="8"/>
  <c r="S90" i="8"/>
  <c r="X90" i="8"/>
  <c r="AG90" i="8"/>
  <c r="G90" i="8"/>
  <c r="K90" i="8"/>
  <c r="P90" i="8"/>
  <c r="AL90" i="8"/>
  <c r="Q90" i="8"/>
  <c r="AC90" i="8"/>
  <c r="AJ90" i="8"/>
  <c r="AH90" i="8"/>
  <c r="H90" i="8"/>
  <c r="AK90" i="8"/>
  <c r="AO90" i="8"/>
  <c r="T90" i="8"/>
  <c r="R90" i="8"/>
  <c r="X90" i="3"/>
  <c r="AM90" i="3"/>
  <c r="N90" i="3"/>
  <c r="R90" i="3"/>
  <c r="AE90" i="3"/>
  <c r="AK90" i="3"/>
  <c r="AI90" i="3"/>
  <c r="AN90" i="3"/>
  <c r="P90" i="3"/>
  <c r="W90" i="3"/>
  <c r="AC90" i="3"/>
  <c r="AA90" i="3"/>
  <c r="H90" i="3"/>
  <c r="AO90" i="3"/>
  <c r="O90" i="3"/>
  <c r="U90" i="3"/>
  <c r="S90" i="3"/>
  <c r="AH90" i="3"/>
  <c r="AG90" i="3"/>
  <c r="G90" i="3"/>
  <c r="M90" i="3"/>
  <c r="K90" i="3"/>
  <c r="J90" i="3"/>
  <c r="Y90" i="3"/>
  <c r="AL90" i="3"/>
  <c r="AJ90" i="3"/>
  <c r="AF90" i="3"/>
  <c r="Q90" i="3"/>
  <c r="AD90" i="3"/>
  <c r="AB90" i="3"/>
  <c r="Z90" i="3"/>
  <c r="I90" i="3"/>
  <c r="V90" i="3"/>
  <c r="T90" i="3"/>
  <c r="F91" i="8"/>
  <c r="O91" i="8" s="1"/>
  <c r="F91" i="3"/>
  <c r="AN91" i="3" s="1"/>
  <c r="Y91" i="8" l="1"/>
  <c r="AD91" i="8"/>
  <c r="AL91" i="8"/>
  <c r="Q91" i="8"/>
  <c r="AE91" i="8"/>
  <c r="R91" i="8"/>
  <c r="AM91" i="8"/>
  <c r="N91" i="8"/>
  <c r="V91" i="8"/>
  <c r="I91" i="8"/>
  <c r="W91" i="8"/>
  <c r="AB91" i="8"/>
  <c r="S91" i="8"/>
  <c r="AN91" i="8"/>
  <c r="J91" i="8"/>
  <c r="L91" i="8"/>
  <c r="AJ91" i="8"/>
  <c r="AF91" i="8"/>
  <c r="G91" i="8"/>
  <c r="AA91" i="8"/>
  <c r="T91" i="8"/>
  <c r="X91" i="8"/>
  <c r="AK91" i="8"/>
  <c r="M91" i="8"/>
  <c r="AH91" i="8"/>
  <c r="K91" i="8"/>
  <c r="AO91" i="8"/>
  <c r="P91" i="8"/>
  <c r="AC91" i="8"/>
  <c r="AI91" i="8"/>
  <c r="Z91" i="8"/>
  <c r="AG91" i="8"/>
  <c r="H91" i="8"/>
  <c r="U91" i="8"/>
  <c r="U91" i="3"/>
  <c r="AB91" i="3"/>
  <c r="Z91" i="3"/>
  <c r="O91" i="3"/>
  <c r="T91" i="3"/>
  <c r="R91" i="3"/>
  <c r="AF91" i="3"/>
  <c r="AK91" i="3"/>
  <c r="M91" i="3"/>
  <c r="L91" i="3"/>
  <c r="J91" i="3"/>
  <c r="X91" i="3"/>
  <c r="AE91" i="3"/>
  <c r="AL91" i="3"/>
  <c r="AI91" i="3"/>
  <c r="AO91" i="3"/>
  <c r="P91" i="3"/>
  <c r="AC91" i="3"/>
  <c r="AD91" i="3"/>
  <c r="AA91" i="3"/>
  <c r="AG91" i="3"/>
  <c r="H91" i="3"/>
  <c r="AM91" i="3"/>
  <c r="V91" i="3"/>
  <c r="S91" i="3"/>
  <c r="Y91" i="3"/>
  <c r="W91" i="3"/>
  <c r="N91" i="3"/>
  <c r="K91" i="3"/>
  <c r="Q91" i="3"/>
  <c r="G91" i="3"/>
  <c r="AJ91" i="3"/>
  <c r="AH91" i="3"/>
  <c r="I91" i="3"/>
  <c r="F92" i="8"/>
  <c r="T92" i="8" s="1"/>
  <c r="F92" i="3"/>
  <c r="N92" i="3" s="1"/>
  <c r="AG92" i="8" l="1"/>
  <c r="K92" i="8"/>
  <c r="X92" i="8"/>
  <c r="Q92" i="8"/>
  <c r="M92" i="8"/>
  <c r="J92" i="8"/>
  <c r="AA92" i="8"/>
  <c r="AN92" i="8"/>
  <c r="U92" i="8"/>
  <c r="R92" i="8"/>
  <c r="P92" i="8"/>
  <c r="H92" i="8"/>
  <c r="AL92" i="8"/>
  <c r="AJ92" i="8"/>
  <c r="O92" i="8"/>
  <c r="W92" i="8"/>
  <c r="AD92" i="8"/>
  <c r="AB92" i="8"/>
  <c r="AO92" i="8"/>
  <c r="AM92" i="8"/>
  <c r="V92" i="8"/>
  <c r="Y92" i="8"/>
  <c r="G92" i="8"/>
  <c r="N92" i="8"/>
  <c r="L92" i="8"/>
  <c r="I92" i="8"/>
  <c r="AI92" i="8"/>
  <c r="AK92" i="8"/>
  <c r="AH92" i="8"/>
  <c r="AE92" i="8"/>
  <c r="AF92" i="8"/>
  <c r="S92" i="8"/>
  <c r="AC92" i="8"/>
  <c r="Z92" i="8"/>
  <c r="AJ92" i="3"/>
  <c r="Y92" i="3"/>
  <c r="AM92" i="3"/>
  <c r="J92" i="3"/>
  <c r="Q92" i="3"/>
  <c r="AE92" i="3"/>
  <c r="AK92" i="3"/>
  <c r="AH92" i="3"/>
  <c r="AI92" i="3"/>
  <c r="I92" i="3"/>
  <c r="W92" i="3"/>
  <c r="AC92" i="3"/>
  <c r="AB92" i="3"/>
  <c r="AA92" i="3"/>
  <c r="AN92" i="3"/>
  <c r="O92" i="3"/>
  <c r="U92" i="3"/>
  <c r="Z92" i="3"/>
  <c r="S92" i="3"/>
  <c r="AF92" i="3"/>
  <c r="G92" i="3"/>
  <c r="M92" i="3"/>
  <c r="T92" i="3"/>
  <c r="K92" i="3"/>
  <c r="X92" i="3"/>
  <c r="AL92" i="3"/>
  <c r="R92" i="3"/>
  <c r="AO92" i="3"/>
  <c r="P92" i="3"/>
  <c r="AD92" i="3"/>
  <c r="L92" i="3"/>
  <c r="AG92" i="3"/>
  <c r="H92" i="3"/>
  <c r="V92" i="3"/>
  <c r="F93" i="8"/>
  <c r="F93" i="3"/>
  <c r="K93" i="3" s="1"/>
  <c r="M93" i="8" l="1"/>
  <c r="V93" i="8"/>
  <c r="N93" i="8"/>
  <c r="J93" i="8"/>
  <c r="W93" i="8"/>
  <c r="AC93" i="8"/>
  <c r="AK93" i="8"/>
  <c r="AI93" i="8"/>
  <c r="AO93" i="8"/>
  <c r="O93" i="8"/>
  <c r="AB93" i="8"/>
  <c r="U93" i="8"/>
  <c r="AA93" i="8"/>
  <c r="AG93" i="8"/>
  <c r="G93" i="8"/>
  <c r="AN93" i="8"/>
  <c r="AJ93" i="8"/>
  <c r="S93" i="8"/>
  <c r="Y93" i="8"/>
  <c r="X93" i="8"/>
  <c r="T93" i="8"/>
  <c r="K93" i="8"/>
  <c r="Q93" i="8"/>
  <c r="H93" i="8"/>
  <c r="AF93" i="8"/>
  <c r="AH93" i="8"/>
  <c r="I93" i="8"/>
  <c r="L93" i="8"/>
  <c r="P93" i="8"/>
  <c r="Z93" i="8"/>
  <c r="AM93" i="8"/>
  <c r="AL93" i="8"/>
  <c r="AD93" i="8"/>
  <c r="R93" i="8"/>
  <c r="AE93" i="8"/>
  <c r="AO93" i="3"/>
  <c r="H93" i="3"/>
  <c r="M93" i="3"/>
  <c r="I93" i="3"/>
  <c r="AL93" i="3"/>
  <c r="AJ93" i="3"/>
  <c r="AH93" i="3"/>
  <c r="AE93" i="3"/>
  <c r="AM93" i="3"/>
  <c r="AD93" i="3"/>
  <c r="AB93" i="3"/>
  <c r="Z93" i="3"/>
  <c r="Y93" i="3"/>
  <c r="G93" i="3"/>
  <c r="V93" i="3"/>
  <c r="T93" i="3"/>
  <c r="R93" i="3"/>
  <c r="W93" i="3"/>
  <c r="AN93" i="3"/>
  <c r="N93" i="3"/>
  <c r="L93" i="3"/>
  <c r="J93" i="3"/>
  <c r="Q93" i="3"/>
  <c r="AF93" i="3"/>
  <c r="AK93" i="3"/>
  <c r="AI93" i="3"/>
  <c r="O93" i="3"/>
  <c r="X93" i="3"/>
  <c r="AC93" i="3"/>
  <c r="AA93" i="3"/>
  <c r="AG93" i="3"/>
  <c r="P93" i="3"/>
  <c r="U93" i="3"/>
  <c r="S93" i="3"/>
  <c r="F94" i="8"/>
  <c r="T94" i="8" s="1"/>
  <c r="F94" i="3"/>
  <c r="AM94" i="3" s="1"/>
  <c r="U94" i="8" l="1"/>
  <c r="AG94" i="8"/>
  <c r="X94" i="8"/>
  <c r="AL94" i="8"/>
  <c r="J94" i="8"/>
  <c r="Q94" i="8"/>
  <c r="P94" i="8"/>
  <c r="AD94" i="8"/>
  <c r="AO94" i="8"/>
  <c r="AC94" i="8"/>
  <c r="H94" i="8"/>
  <c r="V94" i="8"/>
  <c r="I94" i="8"/>
  <c r="M94" i="8"/>
  <c r="AM94" i="8"/>
  <c r="N94" i="8"/>
  <c r="AI94" i="8"/>
  <c r="AA94" i="8"/>
  <c r="AE94" i="8"/>
  <c r="AJ94" i="8"/>
  <c r="Z94" i="8"/>
  <c r="S94" i="8"/>
  <c r="K94" i="8"/>
  <c r="W94" i="8"/>
  <c r="AB94" i="8"/>
  <c r="Y94" i="8"/>
  <c r="AH94" i="8"/>
  <c r="AN94" i="8"/>
  <c r="O94" i="8"/>
  <c r="AK94" i="8"/>
  <c r="R94" i="8"/>
  <c r="AF94" i="8"/>
  <c r="G94" i="8"/>
  <c r="L94" i="8"/>
  <c r="N94" i="3"/>
  <c r="S94" i="3"/>
  <c r="Y94" i="3"/>
  <c r="AJ94" i="3"/>
  <c r="K94" i="3"/>
  <c r="Q94" i="3"/>
  <c r="AE94" i="3"/>
  <c r="AD94" i="3"/>
  <c r="AK94" i="3"/>
  <c r="AH94" i="3"/>
  <c r="I94" i="3"/>
  <c r="W94" i="3"/>
  <c r="AB94" i="3"/>
  <c r="AC94" i="3"/>
  <c r="Z94" i="3"/>
  <c r="AN94" i="3"/>
  <c r="O94" i="3"/>
  <c r="V94" i="3"/>
  <c r="U94" i="3"/>
  <c r="R94" i="3"/>
  <c r="AF94" i="3"/>
  <c r="G94" i="3"/>
  <c r="T94" i="3"/>
  <c r="M94" i="3"/>
  <c r="J94" i="3"/>
  <c r="X94" i="3"/>
  <c r="L94" i="3"/>
  <c r="AI94" i="3"/>
  <c r="AO94" i="3"/>
  <c r="P94" i="3"/>
  <c r="AL94" i="3"/>
  <c r="AA94" i="3"/>
  <c r="AG94" i="3"/>
  <c r="H94" i="3"/>
  <c r="F95" i="8"/>
  <c r="F95" i="3"/>
  <c r="M95" i="3" s="1"/>
  <c r="W95" i="8" l="1"/>
  <c r="P95" i="8"/>
  <c r="X95" i="8"/>
  <c r="T95" i="8"/>
  <c r="Y95" i="8"/>
  <c r="AE95" i="8"/>
  <c r="Q95" i="8"/>
  <c r="V95" i="8"/>
  <c r="AK95" i="8"/>
  <c r="R95" i="8"/>
  <c r="N95" i="8"/>
  <c r="AC95" i="8"/>
  <c r="AA95" i="8"/>
  <c r="H95" i="8"/>
  <c r="O95" i="8"/>
  <c r="AI95" i="8"/>
  <c r="I95" i="8"/>
  <c r="AM95" i="8"/>
  <c r="S95" i="8"/>
  <c r="AD95" i="8"/>
  <c r="U95" i="8"/>
  <c r="G95" i="8"/>
  <c r="Z95" i="8"/>
  <c r="M95" i="8"/>
  <c r="K95" i="8"/>
  <c r="AL95" i="8"/>
  <c r="J95" i="8"/>
  <c r="AJ95" i="8"/>
  <c r="AO95" i="8"/>
  <c r="L95" i="8"/>
  <c r="AH95" i="8"/>
  <c r="AF95" i="8"/>
  <c r="AN95" i="8"/>
  <c r="AB95" i="8"/>
  <c r="AG95" i="8"/>
  <c r="K95" i="3"/>
  <c r="AF95" i="3"/>
  <c r="G95" i="3"/>
  <c r="J95" i="3"/>
  <c r="X95" i="3"/>
  <c r="AL95" i="3"/>
  <c r="AJ95" i="3"/>
  <c r="AO95" i="3"/>
  <c r="AG95" i="3"/>
  <c r="P95" i="3"/>
  <c r="AD95" i="3"/>
  <c r="AB95" i="3"/>
  <c r="R95" i="3"/>
  <c r="AA95" i="3"/>
  <c r="H95" i="3"/>
  <c r="V95" i="3"/>
  <c r="T95" i="3"/>
  <c r="S95" i="3"/>
  <c r="I95" i="3"/>
  <c r="AM95" i="3"/>
  <c r="N95" i="3"/>
  <c r="L95" i="3"/>
  <c r="AI95" i="3"/>
  <c r="Z95" i="3"/>
  <c r="AE95" i="3"/>
  <c r="AK95" i="3"/>
  <c r="Q95" i="3"/>
  <c r="Y95" i="3"/>
  <c r="W95" i="3"/>
  <c r="AC95" i="3"/>
  <c r="AH95" i="3"/>
  <c r="AN95" i="3"/>
  <c r="O95" i="3"/>
  <c r="U95" i="3"/>
  <c r="F96" i="8"/>
  <c r="V96" i="8" s="1"/>
  <c r="F96" i="3"/>
  <c r="AO96" i="3" s="1"/>
  <c r="AE96" i="8" l="1"/>
  <c r="K96" i="8"/>
  <c r="R96" i="8"/>
  <c r="AF96" i="8"/>
  <c r="O96" i="8"/>
  <c r="AM96" i="8"/>
  <c r="J96" i="8"/>
  <c r="X96" i="8"/>
  <c r="AJ96" i="8"/>
  <c r="W96" i="8"/>
  <c r="AO96" i="8"/>
  <c r="P96" i="8"/>
  <c r="AC96" i="8"/>
  <c r="G96" i="8"/>
  <c r="AG96" i="8"/>
  <c r="H96" i="8"/>
  <c r="M96" i="8"/>
  <c r="AK96" i="8"/>
  <c r="Y96" i="8"/>
  <c r="AL96" i="8"/>
  <c r="AI96" i="8"/>
  <c r="AB96" i="8"/>
  <c r="U96" i="8"/>
  <c r="Q96" i="8"/>
  <c r="AD96" i="8"/>
  <c r="T96" i="8"/>
  <c r="L96" i="8"/>
  <c r="AH96" i="8"/>
  <c r="I96" i="8"/>
  <c r="S96" i="8"/>
  <c r="AA96" i="8"/>
  <c r="Z96" i="8"/>
  <c r="AN96" i="8"/>
  <c r="N96" i="8"/>
  <c r="P96" i="3"/>
  <c r="AM96" i="3"/>
  <c r="AI96" i="3"/>
  <c r="AE96" i="3"/>
  <c r="AN96" i="3"/>
  <c r="AA96" i="3"/>
  <c r="AG96" i="3"/>
  <c r="AL96" i="3"/>
  <c r="O96" i="3"/>
  <c r="X96" i="3"/>
  <c r="S96" i="3"/>
  <c r="Y96" i="3"/>
  <c r="V96" i="3"/>
  <c r="G96" i="3"/>
  <c r="H96" i="3"/>
  <c r="K96" i="3"/>
  <c r="Q96" i="3"/>
  <c r="AJ96" i="3"/>
  <c r="AD96" i="3"/>
  <c r="AK96" i="3"/>
  <c r="AH96" i="3"/>
  <c r="I96" i="3"/>
  <c r="T96" i="3"/>
  <c r="N96" i="3"/>
  <c r="AC96" i="3"/>
  <c r="Z96" i="3"/>
  <c r="W96" i="3"/>
  <c r="AB96" i="3"/>
  <c r="U96" i="3"/>
  <c r="R96" i="3"/>
  <c r="AF96" i="3"/>
  <c r="L96" i="3"/>
  <c r="M96" i="3"/>
  <c r="J96" i="3"/>
  <c r="F97" i="8"/>
  <c r="L97" i="8" s="1"/>
  <c r="F97" i="3"/>
  <c r="G97" i="3" s="1"/>
  <c r="X97" i="8" l="1"/>
  <c r="AE97" i="8"/>
  <c r="Q97" i="8"/>
  <c r="AO97" i="8"/>
  <c r="AH97" i="8"/>
  <c r="AD97" i="8"/>
  <c r="AA97" i="8"/>
  <c r="AF97" i="8"/>
  <c r="Y97" i="8"/>
  <c r="R97" i="8"/>
  <c r="V97" i="8"/>
  <c r="S97" i="8"/>
  <c r="AB97" i="8"/>
  <c r="I97" i="8"/>
  <c r="AM97" i="8"/>
  <c r="N97" i="8"/>
  <c r="K97" i="8"/>
  <c r="AK97" i="8"/>
  <c r="AC97" i="8"/>
  <c r="AN97" i="8"/>
  <c r="H97" i="8"/>
  <c r="O97" i="8"/>
  <c r="U97" i="8"/>
  <c r="Z97" i="8"/>
  <c r="AJ97" i="8"/>
  <c r="G97" i="8"/>
  <c r="M97" i="8"/>
  <c r="AG97" i="8"/>
  <c r="W97" i="8"/>
  <c r="P97" i="8"/>
  <c r="J97" i="8"/>
  <c r="T97" i="8"/>
  <c r="AL97" i="8"/>
  <c r="AI97" i="8"/>
  <c r="M97" i="3"/>
  <c r="I97" i="3"/>
  <c r="AF97" i="3"/>
  <c r="AB97" i="3"/>
  <c r="AK97" i="3"/>
  <c r="X97" i="3"/>
  <c r="AL97" i="3"/>
  <c r="AJ97" i="3"/>
  <c r="L97" i="3"/>
  <c r="U97" i="3"/>
  <c r="P97" i="3"/>
  <c r="AD97" i="3"/>
  <c r="AI97" i="3"/>
  <c r="AA97" i="3"/>
  <c r="AH97" i="3"/>
  <c r="H97" i="3"/>
  <c r="V97" i="3"/>
  <c r="S97" i="3"/>
  <c r="K97" i="3"/>
  <c r="Z97" i="3"/>
  <c r="AM97" i="3"/>
  <c r="N97" i="3"/>
  <c r="AG97" i="3"/>
  <c r="T97" i="3"/>
  <c r="R97" i="3"/>
  <c r="AE97" i="3"/>
  <c r="Q97" i="3"/>
  <c r="AO97" i="3"/>
  <c r="J97" i="3"/>
  <c r="W97" i="3"/>
  <c r="AC97" i="3"/>
  <c r="Y97" i="3"/>
  <c r="AN97" i="3"/>
  <c r="O97" i="3"/>
  <c r="F98" i="8"/>
  <c r="AF98" i="8" s="1"/>
  <c r="F98" i="3"/>
  <c r="L98" i="3" s="1"/>
  <c r="I98" i="8" l="1"/>
  <c r="V98" i="8"/>
  <c r="AB98" i="8"/>
  <c r="Z98" i="8"/>
  <c r="AD98" i="8"/>
  <c r="AK98" i="8"/>
  <c r="T98" i="8"/>
  <c r="R98" i="8"/>
  <c r="AC98" i="8"/>
  <c r="U98" i="8"/>
  <c r="L98" i="8"/>
  <c r="J98" i="8"/>
  <c r="AM98" i="8"/>
  <c r="AG98" i="8"/>
  <c r="AI98" i="8"/>
  <c r="AN98" i="8"/>
  <c r="W98" i="8"/>
  <c r="Q98" i="8"/>
  <c r="AA98" i="8"/>
  <c r="N98" i="8"/>
  <c r="G98" i="8"/>
  <c r="AE98" i="8"/>
  <c r="S98" i="8"/>
  <c r="X98" i="8"/>
  <c r="AO98" i="8"/>
  <c r="M98" i="8"/>
  <c r="O98" i="8"/>
  <c r="K98" i="8"/>
  <c r="P98" i="8"/>
  <c r="Y98" i="8"/>
  <c r="AL98" i="8"/>
  <c r="AJ98" i="8"/>
  <c r="AH98" i="8"/>
  <c r="H98" i="8"/>
  <c r="J98" i="3"/>
  <c r="V98" i="3"/>
  <c r="G98" i="3"/>
  <c r="AO98" i="3"/>
  <c r="Y98" i="3"/>
  <c r="AK98" i="3"/>
  <c r="AI98" i="3"/>
  <c r="AF98" i="3"/>
  <c r="Q98" i="3"/>
  <c r="AH98" i="3"/>
  <c r="AC98" i="3"/>
  <c r="AA98" i="3"/>
  <c r="P98" i="3"/>
  <c r="I98" i="3"/>
  <c r="R98" i="3"/>
  <c r="U98" i="3"/>
  <c r="S98" i="3"/>
  <c r="AG98" i="3"/>
  <c r="AN98" i="3"/>
  <c r="AM98" i="3"/>
  <c r="M98" i="3"/>
  <c r="K98" i="3"/>
  <c r="AD98" i="3"/>
  <c r="X98" i="3"/>
  <c r="AE98" i="3"/>
  <c r="AJ98" i="3"/>
  <c r="N98" i="3"/>
  <c r="H98" i="3"/>
  <c r="W98" i="3"/>
  <c r="AB98" i="3"/>
  <c r="Z98" i="3"/>
  <c r="AL98" i="3"/>
  <c r="O98" i="3"/>
  <c r="T98" i="3"/>
  <c r="F99" i="8"/>
  <c r="G99" i="8" s="1"/>
  <c r="F99" i="3"/>
  <c r="AN99" i="3" s="1"/>
  <c r="Z99" i="8" l="1"/>
  <c r="AD99" i="8"/>
  <c r="I99" i="8"/>
  <c r="AJ99" i="8"/>
  <c r="N99" i="8"/>
  <c r="AF99" i="8"/>
  <c r="AK99" i="8"/>
  <c r="AA99" i="8"/>
  <c r="T99" i="8"/>
  <c r="AO99" i="8"/>
  <c r="X99" i="8"/>
  <c r="AC99" i="8"/>
  <c r="AN99" i="8"/>
  <c r="K99" i="8"/>
  <c r="AB99" i="8"/>
  <c r="P99" i="8"/>
  <c r="U99" i="8"/>
  <c r="AM99" i="8"/>
  <c r="AI99" i="8"/>
  <c r="L99" i="8"/>
  <c r="H99" i="8"/>
  <c r="M99" i="8"/>
  <c r="J99" i="8"/>
  <c r="S99" i="8"/>
  <c r="AG99" i="8"/>
  <c r="AE99" i="8"/>
  <c r="AL99" i="8"/>
  <c r="AH99" i="8"/>
  <c r="Y99" i="8"/>
  <c r="W99" i="8"/>
  <c r="V99" i="8"/>
  <c r="R99" i="8"/>
  <c r="Q99" i="8"/>
  <c r="O99" i="8"/>
  <c r="W99" i="3"/>
  <c r="AD99" i="3"/>
  <c r="Z99" i="3"/>
  <c r="G99" i="3"/>
  <c r="AE99" i="3"/>
  <c r="R99" i="3"/>
  <c r="AF99" i="3"/>
  <c r="AC99" i="3"/>
  <c r="AL99" i="3"/>
  <c r="O99" i="3"/>
  <c r="J99" i="3"/>
  <c r="X99" i="3"/>
  <c r="M99" i="3"/>
  <c r="V99" i="3"/>
  <c r="AJ99" i="3"/>
  <c r="AO99" i="3"/>
  <c r="P99" i="3"/>
  <c r="AA99" i="3"/>
  <c r="AK99" i="3"/>
  <c r="AB99" i="3"/>
  <c r="AG99" i="3"/>
  <c r="H99" i="3"/>
  <c r="K99" i="3"/>
  <c r="U99" i="3"/>
  <c r="T99" i="3"/>
  <c r="Y99" i="3"/>
  <c r="N99" i="3"/>
  <c r="AI99" i="3"/>
  <c r="L99" i="3"/>
  <c r="Q99" i="3"/>
  <c r="AM99" i="3"/>
  <c r="S99" i="3"/>
  <c r="AH99" i="3"/>
  <c r="I99" i="3"/>
  <c r="F100" i="8"/>
  <c r="AL100" i="8" s="1"/>
  <c r="F100" i="3"/>
  <c r="N100" i="3" s="1"/>
  <c r="S100" i="8" l="1"/>
  <c r="R100" i="8"/>
  <c r="AN100" i="8"/>
  <c r="G100" i="8"/>
  <c r="K100" i="8"/>
  <c r="J100" i="8"/>
  <c r="AF100" i="8"/>
  <c r="AJ100" i="8"/>
  <c r="AC100" i="8"/>
  <c r="AO100" i="8"/>
  <c r="P100" i="8"/>
  <c r="AD100" i="8"/>
  <c r="AK100" i="8"/>
  <c r="M100" i="8"/>
  <c r="AG100" i="8"/>
  <c r="H100" i="8"/>
  <c r="V100" i="8"/>
  <c r="U100" i="8"/>
  <c r="AB100" i="8"/>
  <c r="Y100" i="8"/>
  <c r="AM100" i="8"/>
  <c r="N100" i="8"/>
  <c r="T100" i="8"/>
  <c r="L100" i="8"/>
  <c r="Q100" i="8"/>
  <c r="AE100" i="8"/>
  <c r="AI100" i="8"/>
  <c r="AH100" i="8"/>
  <c r="I100" i="8"/>
  <c r="W100" i="8"/>
  <c r="AA100" i="8"/>
  <c r="Z100" i="8"/>
  <c r="X100" i="8"/>
  <c r="O100" i="8"/>
  <c r="AJ100" i="3"/>
  <c r="S100" i="3"/>
  <c r="AM100" i="3"/>
  <c r="T100" i="3"/>
  <c r="AB100" i="3"/>
  <c r="AE100" i="3"/>
  <c r="AK100" i="3"/>
  <c r="AA100" i="3"/>
  <c r="AI100" i="3"/>
  <c r="L100" i="3"/>
  <c r="W100" i="3"/>
  <c r="AC100" i="3"/>
  <c r="Z100" i="3"/>
  <c r="AH100" i="3"/>
  <c r="AO100" i="3"/>
  <c r="O100" i="3"/>
  <c r="U100" i="3"/>
  <c r="J100" i="3"/>
  <c r="R100" i="3"/>
  <c r="AG100" i="3"/>
  <c r="G100" i="3"/>
  <c r="M100" i="3"/>
  <c r="AN100" i="3"/>
  <c r="K100" i="3"/>
  <c r="Y100" i="3"/>
  <c r="AL100" i="3"/>
  <c r="X100" i="3"/>
  <c r="AF100" i="3"/>
  <c r="Q100" i="3"/>
  <c r="AD100" i="3"/>
  <c r="H100" i="3"/>
  <c r="P100" i="3"/>
  <c r="I100" i="3"/>
  <c r="V100" i="3"/>
  <c r="F101" i="8"/>
  <c r="F101" i="3"/>
  <c r="K101" i="3" s="1"/>
  <c r="I101" i="8" l="1"/>
  <c r="AG101" i="8"/>
  <c r="AL101" i="8"/>
  <c r="U101" i="8"/>
  <c r="K101" i="8"/>
  <c r="AN101" i="8"/>
  <c r="AM101" i="8"/>
  <c r="AD101" i="8"/>
  <c r="AJ101" i="8"/>
  <c r="AF101" i="8"/>
  <c r="AE101" i="8"/>
  <c r="V101" i="8"/>
  <c r="AB101" i="8"/>
  <c r="X101" i="8"/>
  <c r="W101" i="8"/>
  <c r="N101" i="8"/>
  <c r="T101" i="8"/>
  <c r="P101" i="8"/>
  <c r="O101" i="8"/>
  <c r="AC101" i="8"/>
  <c r="L101" i="8"/>
  <c r="H101" i="8"/>
  <c r="G101" i="8"/>
  <c r="M101" i="8"/>
  <c r="AI101" i="8"/>
  <c r="R101" i="8"/>
  <c r="Z101" i="8"/>
  <c r="AH101" i="8"/>
  <c r="Q101" i="8"/>
  <c r="AA101" i="8"/>
  <c r="AO101" i="8"/>
  <c r="J101" i="8"/>
  <c r="Y101" i="8"/>
  <c r="AK101" i="8"/>
  <c r="S101" i="8"/>
  <c r="X101" i="3"/>
  <c r="M101" i="3"/>
  <c r="N101" i="3"/>
  <c r="AG101" i="3"/>
  <c r="AF101" i="3"/>
  <c r="AJ101" i="3"/>
  <c r="AH101" i="3"/>
  <c r="AM101" i="3"/>
  <c r="Q101" i="3"/>
  <c r="AO101" i="3"/>
  <c r="AB101" i="3"/>
  <c r="Z101" i="3"/>
  <c r="W101" i="3"/>
  <c r="H101" i="3"/>
  <c r="Y101" i="3"/>
  <c r="T101" i="3"/>
  <c r="R101" i="3"/>
  <c r="G101" i="3"/>
  <c r="P101" i="3"/>
  <c r="I101" i="3"/>
  <c r="L101" i="3"/>
  <c r="J101" i="3"/>
  <c r="AN101" i="3"/>
  <c r="AE101" i="3"/>
  <c r="AL101" i="3"/>
  <c r="AI101" i="3"/>
  <c r="AK101" i="3"/>
  <c r="O101" i="3"/>
  <c r="AD101" i="3"/>
  <c r="AA101" i="3"/>
  <c r="U101" i="3"/>
  <c r="AC101" i="3"/>
  <c r="V101" i="3"/>
  <c r="S101" i="3"/>
  <c r="F102" i="8"/>
  <c r="P102" i="8" s="1"/>
  <c r="F102" i="3"/>
  <c r="AM102" i="3" s="1"/>
  <c r="AL102" i="8" l="1"/>
  <c r="AD102" i="8"/>
  <c r="S102" i="8"/>
  <c r="Y102" i="8"/>
  <c r="V102" i="8"/>
  <c r="N102" i="8"/>
  <c r="K102" i="8"/>
  <c r="Q102" i="8"/>
  <c r="AK102" i="8"/>
  <c r="AJ102" i="8"/>
  <c r="AH102" i="8"/>
  <c r="I102" i="8"/>
  <c r="AC102" i="8"/>
  <c r="AB102" i="8"/>
  <c r="R102" i="8"/>
  <c r="AN102" i="8"/>
  <c r="U102" i="8"/>
  <c r="T102" i="8"/>
  <c r="Z102" i="8"/>
  <c r="AF102" i="8"/>
  <c r="O102" i="8"/>
  <c r="M102" i="8"/>
  <c r="L102" i="8"/>
  <c r="J102" i="8"/>
  <c r="X102" i="8"/>
  <c r="AE102" i="8"/>
  <c r="AM102" i="8"/>
  <c r="AI102" i="8"/>
  <c r="AO102" i="8"/>
  <c r="G102" i="8"/>
  <c r="W102" i="8"/>
  <c r="AA102" i="8"/>
  <c r="AG102" i="8"/>
  <c r="H102" i="8"/>
  <c r="AK102" i="3"/>
  <c r="AL102" i="3"/>
  <c r="Y102" i="3"/>
  <c r="M102" i="3"/>
  <c r="V102" i="3"/>
  <c r="Q102" i="3"/>
  <c r="AE102" i="3"/>
  <c r="AJ102" i="3"/>
  <c r="AB102" i="3"/>
  <c r="AI102" i="3"/>
  <c r="I102" i="3"/>
  <c r="W102" i="3"/>
  <c r="T102" i="3"/>
  <c r="L102" i="3"/>
  <c r="AA102" i="3"/>
  <c r="AN102" i="3"/>
  <c r="O102" i="3"/>
  <c r="AH102" i="3"/>
  <c r="Z102" i="3"/>
  <c r="S102" i="3"/>
  <c r="AF102" i="3"/>
  <c r="G102" i="3"/>
  <c r="R102" i="3"/>
  <c r="J102" i="3"/>
  <c r="K102" i="3"/>
  <c r="X102" i="3"/>
  <c r="AD102" i="3"/>
  <c r="U102" i="3"/>
  <c r="AO102" i="3"/>
  <c r="P102" i="3"/>
  <c r="N102" i="3"/>
  <c r="AC102" i="3"/>
  <c r="AG102" i="3"/>
  <c r="H102" i="3"/>
  <c r="F103" i="8"/>
  <c r="AK103" i="8" s="1"/>
  <c r="F103" i="3"/>
  <c r="U103" i="3" s="1"/>
  <c r="S103" i="8" l="1"/>
  <c r="AJ103" i="8"/>
  <c r="K103" i="8"/>
  <c r="AE103" i="8"/>
  <c r="AC103" i="8"/>
  <c r="AB103" i="8"/>
  <c r="AA103" i="8"/>
  <c r="AN103" i="8"/>
  <c r="W103" i="8"/>
  <c r="U103" i="8"/>
  <c r="L103" i="8"/>
  <c r="AO103" i="8"/>
  <c r="AF103" i="8"/>
  <c r="G103" i="8"/>
  <c r="M103" i="8"/>
  <c r="AI103" i="8"/>
  <c r="AG103" i="8"/>
  <c r="X103" i="8"/>
  <c r="AL103" i="8"/>
  <c r="AH103" i="8"/>
  <c r="Y103" i="8"/>
  <c r="P103" i="8"/>
  <c r="AD103" i="8"/>
  <c r="Z103" i="8"/>
  <c r="Q103" i="8"/>
  <c r="H103" i="8"/>
  <c r="V103" i="8"/>
  <c r="R103" i="8"/>
  <c r="I103" i="8"/>
  <c r="AM103" i="8"/>
  <c r="N103" i="8"/>
  <c r="J103" i="8"/>
  <c r="T103" i="8"/>
  <c r="O103" i="8"/>
  <c r="AA103" i="3"/>
  <c r="W103" i="3"/>
  <c r="H103" i="3"/>
  <c r="M103" i="3"/>
  <c r="K103" i="3"/>
  <c r="G103" i="3"/>
  <c r="AL103" i="3"/>
  <c r="AJ103" i="3"/>
  <c r="AG103" i="3"/>
  <c r="J103" i="3"/>
  <c r="AI103" i="3"/>
  <c r="AD103" i="3"/>
  <c r="AB103" i="3"/>
  <c r="Q103" i="3"/>
  <c r="Z103" i="3"/>
  <c r="S103" i="3"/>
  <c r="V103" i="3"/>
  <c r="T103" i="3"/>
  <c r="AH103" i="3"/>
  <c r="AO103" i="3"/>
  <c r="AN103" i="3"/>
  <c r="N103" i="3"/>
  <c r="L103" i="3"/>
  <c r="AE103" i="3"/>
  <c r="Y103" i="3"/>
  <c r="AF103" i="3"/>
  <c r="AK103" i="3"/>
  <c r="O103" i="3"/>
  <c r="I103" i="3"/>
  <c r="X103" i="3"/>
  <c r="AC103" i="3"/>
  <c r="R103" i="3"/>
  <c r="AM103" i="3"/>
  <c r="P103" i="3"/>
</calcChain>
</file>

<file path=xl/sharedStrings.xml><?xml version="1.0" encoding="utf-8"?>
<sst xmlns="http://schemas.openxmlformats.org/spreadsheetml/2006/main" count="2485" uniqueCount="286">
  <si>
    <t>MẪU BIỂU ĐỒ GANTT</t>
  </si>
  <si>
    <t>Mẹo sử dụng Smartsheet ➜</t>
  </si>
  <si>
    <t>Lịch trình trực quan của biểu đồ Gantt cho phép bạn xem chi tiết mỗi công việc cũng như các phần thuộc về dự án.</t>
  </si>
  <si>
    <t>Tham khảo khóa học:</t>
  </si>
  <si>
    <t>Khóa học Kỹ năng lập kế hoạch và viết báo cáo tại Học Viện Quản Lý PACE</t>
  </si>
  <si>
    <t>TIÊU ĐỀ DỰ ÁN</t>
  </si>
  <si>
    <t>DEMO QUẢN LÝ DỰ ÁN A BẰNG GANTT CHART</t>
  </si>
  <si>
    <t>TÊN CÔNG TY</t>
  </si>
  <si>
    <t>Học Viện Quản Lý PACE</t>
  </si>
  <si>
    <t>NGƯỜI QUẢN LÝ DỰ ÁN</t>
  </si>
  <si>
    <t>Nguyễn Thành Phú</t>
  </si>
  <si>
    <t>NGÀY</t>
  </si>
  <si>
    <t>LIÊN HỆ</t>
  </si>
  <si>
    <t>https://bit.ly/nguyen-thanh-phu</t>
  </si>
  <si>
    <r>
      <rPr>
        <b/>
        <i/>
        <sz val="11"/>
        <color rgb="FF000000"/>
        <rFont val="Roboto"/>
      </rPr>
      <t xml:space="preserve">Xem hướng dẫn chi tiết: </t>
    </r>
    <r>
      <rPr>
        <b/>
        <i/>
        <u/>
        <sz val="11"/>
        <color rgb="FF1155CC"/>
        <rFont val="Roboto"/>
      </rPr>
      <t>Vẽ sơ đồ GANTT CHART</t>
    </r>
  </si>
  <si>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</si>
  <si>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</si>
  <si>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</si>
  <si>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</si>
  <si>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</si>
  <si>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</si>
  <si>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</si>
  <si>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GIAI ĐOẠN 1</t>
  </si>
  <si>
    <t>GIAI ĐOẠN 2</t>
  </si>
  <si>
    <t>GIAI ĐOẠN 3</t>
  </si>
  <si>
    <t>GIAI ĐOẠN 4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</si>
  <si>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</si>
  <si>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</si>
  <si>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</si>
  <si>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</si>
  <si>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</si>
  <si>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</si>
  <si>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</si>
  <si>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</si>
  <si>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</si>
  <si>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</si>
  <si>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</si>
  <si>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</si>
  <si>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T2</t>
  </si>
  <si>
    <t>T3</t>
  </si>
  <si>
    <t>T4</t>
  </si>
  <si>
    <t>T5</t>
  </si>
  <si>
    <t>T6</t>
  </si>
  <si>
    <t>Lên ý tưởng và thiết lập dự án</t>
  </si>
  <si>
    <t>Hiến chương dự án</t>
  </si>
  <si>
    <t>Tên người</t>
  </si>
  <si>
    <t>1.1.1</t>
  </si>
  <si>
    <t>Bản sửa đổi hiến chương dự án</t>
  </si>
  <si>
    <t>Nghiên cứu</t>
  </si>
  <si>
    <t>Dự toán</t>
  </si>
  <si>
    <t>Các bên liên quan</t>
  </si>
  <si>
    <t>Nguyên tắc</t>
  </si>
  <si>
    <t>Thiết lập dự án</t>
  </si>
  <si>
    <t>Định nghĩa và hoạch định dự án</t>
  </si>
  <si>
    <t>Đặt ra mục tiêu và phạm vi</t>
  </si>
  <si>
    <t>Ngân sách</t>
  </si>
  <si>
    <t>Kế hoạch truyền thông</t>
  </si>
  <si>
    <t>...</t>
  </si>
  <si>
    <t>Quản lý rủi ro</t>
  </si>
  <si>
    <t>3.1</t>
  </si>
  <si>
    <t>Trạng thái và theo dõi</t>
  </si>
  <si>
    <t>3.2</t>
  </si>
  <si>
    <t>Chỉ số đo lường hiệu quả công việc (KPI)</t>
  </si>
  <si>
    <t>3.2.1</t>
  </si>
  <si>
    <t>Giám sát</t>
  </si>
  <si>
    <t>3.2.2</t>
  </si>
  <si>
    <t>Dự đoán</t>
  </si>
  <si>
    <t>3.3</t>
  </si>
  <si>
    <t>Bản cập nhật dự án</t>
  </si>
  <si>
    <t>3.3.1</t>
  </si>
  <si>
    <t>Bản cập nhật biểu đồ</t>
  </si>
  <si>
    <t>Hiệu quả của dự án / Giám sát</t>
  </si>
  <si>
    <t>Mục tiêu của dự án</t>
  </si>
  <si>
    <t>Kết quả chuyển giao có chất lượng</t>
  </si>
  <si>
    <t>Theo dõi nỗ lực và chi phí</t>
  </si>
  <si>
    <t>Hiệu quả của dự án</t>
  </si>
  <si>
    <t>Today</t>
  </si>
  <si>
    <r>
      <rPr>
        <b/>
        <i/>
        <sz val="11"/>
        <color rgb="FF000000"/>
        <rFont val="Roboto"/>
      </rPr>
      <t xml:space="preserve">Xem hướng dẫn chi tiết: </t>
    </r>
    <r>
      <rPr>
        <b/>
        <i/>
        <u/>
        <sz val="11"/>
        <color rgb="FF1155CC"/>
        <rFont val="Roboto"/>
      </rPr>
      <t>Vẽ sơ đồ GANTT CHART</t>
    </r>
  </si>
  <si>
    <t>DEV 1</t>
  </si>
  <si>
    <t>Tìm hiểu tổng quan về Pega</t>
  </si>
  <si>
    <t xml:space="preserve">DailySyncUpForFinacle </t>
  </si>
  <si>
    <t xml:space="preserve">ExcptionalDailySyncUp </t>
  </si>
  <si>
    <t xml:space="preserve">ExceptionalDailySyncUpForFinacle </t>
  </si>
  <si>
    <t xml:space="preserve">UpdateSFCAllocation </t>
  </si>
  <si>
    <t xml:space="preserve">CAMobileAppBODForLoans </t>
  </si>
  <si>
    <t xml:space="preserve">PreDueAutodialerForLoans </t>
  </si>
  <si>
    <t xml:space="preserve">PrioritizeAuodialers </t>
  </si>
  <si>
    <t xml:space="preserve">PostDuePrioritizeAuodialers </t>
  </si>
  <si>
    <t>DailySyncUpForFinnOne</t>
  </si>
  <si>
    <t>ExceptionalDailySyncUpForFinnOne</t>
  </si>
  <si>
    <t xml:space="preserve">ExceptionalDailySyncUpForVisionPlus </t>
  </si>
  <si>
    <t>PostDueAutodialer</t>
  </si>
  <si>
    <t>DailySyncUpForVisionPlus</t>
  </si>
  <si>
    <t>CAMobileAppBODForCards</t>
  </si>
  <si>
    <t>PreDueAutodialerForCards</t>
  </si>
  <si>
    <t xml:space="preserve">RefreshFinacleData </t>
  </si>
  <si>
    <t>PreDueSMSAndVB</t>
  </si>
  <si>
    <t xml:space="preserve">RefreshVisionPlusData </t>
  </si>
  <si>
    <t>PostDueSMSAndVB</t>
  </si>
  <si>
    <t>RefreshFinnOneData</t>
  </si>
  <si>
    <t xml:space="preserve">ExtractProcessCollectionData </t>
  </si>
  <si>
    <t>Destination configurations</t>
  </si>
  <si>
    <t>Prioritize properties</t>
  </si>
  <si>
    <t>Decision Tree properties</t>
  </si>
  <si>
    <t>PreDueSubPoolAllocation</t>
  </si>
  <si>
    <t>SetUpBucketAllocations</t>
  </si>
  <si>
    <t>PostDueSubPoolAllocation</t>
  </si>
  <si>
    <t>SyncUpProcessForBIXCollectionData</t>
  </si>
  <si>
    <t>#</t>
  </si>
  <si>
    <t>WORK TITLE</t>
  </si>
  <si>
    <t>PIC</t>
  </si>
  <si>
    <t>DAY(S)</t>
  </si>
  <si>
    <t>DEV 2</t>
  </si>
  <si>
    <t>DEV 3</t>
  </si>
  <si>
    <t>START DAY</t>
  </si>
  <si>
    <t>Contract/ Click to Call</t>
  </si>
  <si>
    <t>Manager Tools/ Switch Mode</t>
  </si>
  <si>
    <t>Admin Tools/ Unblock user</t>
  </si>
  <si>
    <t>Admin Tools/Invalidate Follow-up trail</t>
  </si>
  <si>
    <t>Admin Tools/ My Reportee</t>
  </si>
  <si>
    <t>Admin Tools/ Bulk Upload File Processing</t>
  </si>
  <si>
    <t>Data Table/ Bulk Transfer</t>
  </si>
  <si>
    <t>Data Table / Bulk FollowUp Data</t>
  </si>
  <si>
    <t>Data Table/ FC Profile Details</t>
  </si>
  <si>
    <t>Data Table/ Special Scheme Group</t>
  </si>
  <si>
    <t>Data Table/NFU Reason Codes</t>
  </si>
  <si>
    <t>Data Table/ User Activity Limit Data</t>
  </si>
  <si>
    <t>Data Table/ Eligible Deferred List</t>
  </si>
  <si>
    <t>Data Table/Action code</t>
  </si>
  <si>
    <t>Data Table/ Deliquency code</t>
  </si>
  <si>
    <t>Data Table/ RouteRobinPoolCategories</t>
  </si>
  <si>
    <t>Data Table/ WL4ROUNDROBINPriority</t>
  </si>
  <si>
    <t>Data Table/ Route Robin NFU</t>
  </si>
  <si>
    <t>Data Table/ Product list</t>
  </si>
  <si>
    <t>Data Table/ Intraday Callback Configuration</t>
  </si>
  <si>
    <t>Data Table/ Switch Mode Allocation</t>
  </si>
  <si>
    <t>Data Table/ List company B@W</t>
  </si>
  <si>
    <t>Data Table/ Bulk Upload New Phone numbers</t>
  </si>
  <si>
    <t>Data Table/ BlackListPhoneNos</t>
  </si>
  <si>
    <t>Data table/ Distribution Capacity</t>
  </si>
  <si>
    <t>Data table/ Persons contacted</t>
  </si>
  <si>
    <t>Data table/Region Distribution</t>
  </si>
  <si>
    <t>Data table/Collection Complaints</t>
  </si>
  <si>
    <t>Decision table/ Determine POS Segment</t>
  </si>
  <si>
    <t>Decision table/ Determine Product Scheme Group</t>
  </si>
  <si>
    <t>Decision table/ Determine Pool Change Logic and Reset Sub Pool</t>
  </si>
  <si>
    <t>Decision table/ Determine Eligibility Of Special case</t>
  </si>
  <si>
    <t>Decision table/ Sub Pool Allocation Percentage</t>
  </si>
  <si>
    <t>Decision table/ Set Sub Pool Allocation For External Agencies</t>
  </si>
  <si>
    <t>Decision table/Determine Special Treatment</t>
  </si>
  <si>
    <t>Decision table/PostDue AutoDialer Eligible Accounts</t>
  </si>
  <si>
    <t>Decision table/Determine Campaign for Predue AutoDialer</t>
  </si>
  <si>
    <t>Decision table/Get Agency Details</t>
  </si>
  <si>
    <t>Decision table/Determine Priority Score For PreDue</t>
  </si>
  <si>
    <t>Decision table/Determine Priority Score for Post Due</t>
  </si>
  <si>
    <t>Decision table/ Predue Voice Blaster Eligibility</t>
  </si>
  <si>
    <t>Decision table/ Determine SMS/ZMS Eligible Account For Pre Due</t>
  </si>
  <si>
    <t>Decision table/ Pre due SMS/ZMS templates.</t>
  </si>
  <si>
    <t>Decision table/ PostDue Voice Blaster Eligibility</t>
  </si>
  <si>
    <t>Decision table/ Determine SMS/ZMS Eligible Account For Post Due</t>
  </si>
  <si>
    <t>Decision table/ Post due SMS/ZMS templates.</t>
  </si>
  <si>
    <t>Decision table/ Eligibility Criteria For Approval For CSA Routing</t>
  </si>
  <si>
    <t>Decision table/SLA Configuration Table</t>
  </si>
  <si>
    <t>Decision table/ Limitation of Remaining POS</t>
  </si>
  <si>
    <t>Decision table/ Predue Eligible Autodialer Accounts-MBW</t>
  </si>
  <si>
    <t>Decision table/ Callback Treatment For NFU</t>
  </si>
  <si>
    <t>Decision table/ Predue Eligible Autodialer Loan Accounts</t>
  </si>
  <si>
    <t>Decision table/ Risk Segment for Card Accounts</t>
  </si>
  <si>
    <t>Decision table/ Predue Eligible Autodialer Card Accounts</t>
  </si>
  <si>
    <t>Decision table/ Determine Intraday Callback Logic</t>
  </si>
  <si>
    <t>Decision table/ Determine Field Visit Allocation on Address</t>
  </si>
  <si>
    <t>Decision table/ Determine Contract Type</t>
  </si>
  <si>
    <t>Decision table/ EvaluateSFCCases</t>
  </si>
  <si>
    <t>Decision table/ Call Back Get Next Intraday Treatment</t>
  </si>
  <si>
    <t>Decision table/ CheckForActionCodes</t>
  </si>
  <si>
    <t>Decision table/ DetermineSurveyActionCode</t>
  </si>
  <si>
    <t>Decision table/ Restricting Kalapa Information</t>
  </si>
  <si>
    <t>Decision table/ Restrict Related Contract Information</t>
  </si>
  <si>
    <t>Decision table/ Determine Pool After Extended NFUTILLDATE</t>
  </si>
  <si>
    <t>Decision table/ DetermineActionCodeForSwitchFunction</t>
  </si>
  <si>
    <t>Decision table/ DetermineSuppressCallFlag</t>
  </si>
  <si>
    <t>Decision table/ Restrict Call Limit</t>
  </si>
  <si>
    <t>Decision table/ Connected Call Code Configuration</t>
  </si>
  <si>
    <t>Decision table/ Restrict Other Contact Information</t>
  </si>
  <si>
    <t>Decision table/ Determine Contract Type for FV</t>
  </si>
  <si>
    <t>Decision table/ Set Distribution Logic For FVContracts</t>
  </si>
  <si>
    <t>Decision table/ Determine Call Script</t>
  </si>
  <si>
    <t>Correspondance</t>
  </si>
  <si>
    <t>Admin Tools/ Bulk Actions</t>
  </si>
  <si>
    <t>Data Table/ Segmentation</t>
  </si>
  <si>
    <t>Admin Tools/ Summary Report View</t>
  </si>
  <si>
    <t>Admin Tools/ Sub Pool Distribution</t>
  </si>
  <si>
    <t>Admin Tools/ BIX Dashboard</t>
  </si>
  <si>
    <t>Admin Tools/ Verify New Contact</t>
  </si>
  <si>
    <t>Contracts Suppressed from Calling</t>
  </si>
  <si>
    <t>NFU Marked Contracts</t>
  </si>
  <si>
    <t>Manager Tools/ Calling list extraction</t>
  </si>
  <si>
    <t>Admin Tools/ Verify Phone List</t>
  </si>
  <si>
    <t>Decision table/ B0DeterminePilotName</t>
  </si>
  <si>
    <t>Decision table/ Approval B0DeterminePilotName</t>
  </si>
  <si>
    <t>Decision table/ B1-B6DeterminePilotName</t>
  </si>
  <si>
    <t>Decision table/ Approval B1-B6DeterminePilotName</t>
  </si>
  <si>
    <t>Decision table/ DetermineCampaignName</t>
  </si>
  <si>
    <t>Decision table/ PILOT_B0-B6_MESSAGE_TEMPLATE</t>
  </si>
  <si>
    <t>Decision table/ Approval PILOT_B0-B6_MESSAGE_TEMPLATE</t>
  </si>
  <si>
    <t>Decision table/ CRP-1992 ZNS Message Template</t>
  </si>
  <si>
    <t>Decision table/ Approval ZNS Message Template</t>
  </si>
  <si>
    <t>Decision table/ CRP-1992 SMS Message Template</t>
  </si>
  <si>
    <t>Decision table/ Approval SMS Message Template</t>
  </si>
  <si>
    <t>Decision table/ Exception Group List</t>
  </si>
  <si>
    <t>Decision table/ Phone Masking Eligibility</t>
  </si>
  <si>
    <t>Decision table/ National ID Eligibility</t>
  </si>
  <si>
    <t>Admin Tools/ Reset QR code Google Authenticator</t>
  </si>
  <si>
    <t>My Reports</t>
  </si>
  <si>
    <t>DEV 4</t>
  </si>
  <si>
    <t>DEV 5</t>
  </si>
  <si>
    <t>DEV 6</t>
  </si>
  <si>
    <t>Enviroment Preparation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</si>
  <si>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</si>
  <si>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</si>
  <si>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</si>
  <si>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</si>
  <si>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</si>
  <si>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</si>
  <si>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</si>
  <si>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</si>
  <si>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</si>
  <si>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</si>
  <si>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</si>
  <si>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</si>
  <si>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</si>
  <si>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</si>
  <si>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</si>
  <si>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</si>
  <si>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</si>
  <si>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</si>
  <si>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</si>
  <si>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</si>
  <si>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</si>
  <si>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</si>
  <si>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</si>
  <si>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</si>
  <si>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</si>
  <si>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</si>
  <si>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</si>
  <si>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</si>
  <si>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</si>
  <si>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</si>
  <si>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</si>
  <si>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</si>
  <si>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</si>
  <si>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</si>
  <si>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</si>
  <si>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Complete Date</t>
  </si>
  <si>
    <t>No of DEV</t>
  </si>
  <si>
    <t>DEVs</t>
  </si>
  <si>
    <t>DEV- ESTIMATION</t>
  </si>
  <si>
    <t>BA+QA Rate</t>
  </si>
  <si>
    <t>ETL Start date</t>
  </si>
  <si>
    <t>BPM Start date</t>
  </si>
  <si>
    <t>CAEODProcessForNFUReset</t>
  </si>
  <si>
    <t>CAResolveCollectionCases</t>
  </si>
  <si>
    <t>CAEODProcess</t>
  </si>
  <si>
    <t>SyncSurveyDataToBIX </t>
  </si>
  <si>
    <t>DailyCustomerSyncup</t>
  </si>
  <si>
    <t>MaskBlackListedPhone</t>
  </si>
  <si>
    <t>CAMobileAppEOD</t>
  </si>
  <si>
    <t>SyncFromICollectUploadTrailToPega</t>
  </si>
  <si>
    <t>SyncICollectDataToFollowUp</t>
  </si>
  <si>
    <t>CARiskSegmentSyncProcessForCards</t>
  </si>
  <si>
    <t>CARiskSegmentSyncProcess</t>
  </si>
  <si>
    <t>RetrieveCrcCardFact</t>
  </si>
  <si>
    <t>UpdatePlasticIDInCollexData</t>
  </si>
  <si>
    <t>DEV 7</t>
  </si>
  <si>
    <t>DEV 8</t>
  </si>
  <si>
    <t>DEV 9</t>
  </si>
  <si>
    <t>DEV 10</t>
  </si>
  <si>
    <t>DEV s</t>
  </si>
  <si>
    <t>Storage</t>
  </si>
  <si>
    <t>Unit</t>
  </si>
  <si>
    <t>Quantity</t>
  </si>
  <si>
    <t>Price</t>
  </si>
  <si>
    <t>Total</t>
  </si>
  <si>
    <t>Salesforce</t>
  </si>
  <si>
    <t xml:space="preserve">Archive 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</si>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</sst>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"/>
    <numFmt numFmtId="165" formatCode="&quot;$&quot;#,##0.00"/>
    <numFmt numFmtId="166" formatCode="d\.m"/>
    <numFmt numFmtId="167" formatCode="yyyy\-mm\-dd;@"/>
  </numFmts>
  <fonts count="47" x14ac:knownFonts="1">
    <font>
      <sz val="10"/>
      <color rgb="FF000000"/>
      <name val="Arial"/>
    </font>
    <font>
      <sz val="11"/>
      <name val="Poppins"/>
    </font>
    <font>
      <b/>
      <sz val="23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0"/>
      <color rgb="FF0B5394"/>
      <name val="Roboto"/>
    </font>
    <font>
      <sz val="10"/>
      <color rgb="FF0B5394"/>
      <name val="Roboto"/>
    </font>
    <font>
      <sz val="12"/>
      <color rgb="FF000000"/>
      <name val="Poppins"/>
    </font>
    <font>
      <b/>
      <sz val="11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color rgb="FFFFFFFF"/>
      <name val="Poppins"/>
    </font>
    <font>
      <b/>
      <u/>
      <sz val="11"/>
      <color rgb="FF0000FF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4"/>
      <color rgb="FF0000FF"/>
      <name val="Roboto"/>
    </font>
    <font>
      <sz val="10"/>
      <name val="Poppins"/>
    </font>
    <font>
      <sz val="11"/>
      <color rgb="FF000000"/>
      <name val="Roboto"/>
    </font>
    <font>
      <sz val="11"/>
      <name val="Roboto"/>
    </font>
    <font>
      <u/>
      <sz val="11"/>
      <color rgb="FF0000FF"/>
      <name val="Roboto"/>
    </font>
    <font>
      <b/>
      <i/>
      <sz val="11"/>
      <color rgb="FF0000FF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3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000000"/>
      <name val="Roboto"/>
    </font>
    <font>
      <b/>
      <sz val="25"/>
      <color rgb="FF0B5394"/>
      <name val="Roboto"/>
    </font>
    <font>
      <sz val="10"/>
      <color rgb="FF999999"/>
      <name val="Roboto"/>
    </font>
    <font>
      <u/>
      <sz val="10"/>
      <color rgb="FF0000FF"/>
      <name val="Roboto"/>
    </font>
    <font>
      <sz val="10"/>
      <color rgb="FF434343"/>
      <name val="Roboto"/>
    </font>
    <font>
      <sz val="10"/>
      <color rgb="FF434343"/>
      <name val="Roboto"/>
    </font>
    <font>
      <b/>
      <i/>
      <sz val="11"/>
      <color rgb="FF000000"/>
      <name val="Roboto"/>
    </font>
    <font>
      <b/>
      <i/>
      <u/>
      <sz val="11"/>
      <color rgb="FF1155CC"/>
      <name val="Roboto"/>
    </font>
    <font>
      <sz val="8"/>
      <name val="Arial"/>
    </font>
    <font>
      <b/>
      <sz val="10"/>
      <color rgb="FFFFFFFF"/>
      <name val="Roboto"/>
    </font>
    <font>
      <sz val="10"/>
      <color theme="1"/>
      <name val="Roboto"/>
    </font>
    <font>
      <b/>
      <sz val="10"/>
      <name val="Roboto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theme="0"/>
      <name val="Roboto"/>
    </font>
    <font>
      <b/>
      <sz val="10"/>
      <color rgb="FFFF0000"/>
      <name val="Roboto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EFEFEF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thin">
        <color rgb="FFFF0000"/>
      </left>
      <right style="thin">
        <color rgb="FFFF0000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thin">
        <color rgb="FFFF0000"/>
      </left>
      <right style="thin">
        <color rgb="FFFF0000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/>
      <top style="hair">
        <color rgb="FFB7B7B7"/>
      </top>
      <bottom/>
      <diagonal/>
    </border>
    <border>
      <left style="thin">
        <color rgb="FFFF0000"/>
      </left>
      <right style="thin">
        <color rgb="FFFF0000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 style="thin">
        <color rgb="FFFF0000"/>
      </left>
      <right style="thin">
        <color rgb="FFFF0000"/>
      </right>
      <top style="hair">
        <color rgb="FFB7B7B7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" fillId="0" borderId="0" xfId="0" applyFont="1"/>
    <xf numFmtId="0" fontId="20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13" borderId="22" xfId="0" applyFont="1" applyFill="1" applyBorder="1" applyAlignment="1">
      <alignment horizontal="center" vertical="center"/>
    </xf>
    <xf numFmtId="0" fontId="27" fillId="13" borderId="23" xfId="0" applyFont="1" applyFill="1" applyBorder="1" applyAlignment="1">
      <alignment horizontal="center" vertical="center"/>
    </xf>
    <xf numFmtId="0" fontId="27" fillId="13" borderId="24" xfId="0" applyFont="1" applyFill="1" applyBorder="1" applyAlignment="1">
      <alignment horizontal="center" vertical="center"/>
    </xf>
    <xf numFmtId="0" fontId="27" fillId="13" borderId="25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5" borderId="23" xfId="0" applyFont="1" applyFill="1" applyBorder="1" applyAlignment="1">
      <alignment horizontal="center" vertical="center"/>
    </xf>
    <xf numFmtId="0" fontId="27" fillId="16" borderId="23" xfId="0" applyFont="1" applyFill="1" applyBorder="1" applyAlignment="1">
      <alignment horizontal="center" vertical="center"/>
    </xf>
    <xf numFmtId="0" fontId="28" fillId="17" borderId="26" xfId="0" applyFont="1" applyFill="1" applyBorder="1" applyAlignment="1">
      <alignment horizontal="left" vertical="center" wrapText="1"/>
    </xf>
    <xf numFmtId="0" fontId="28" fillId="17" borderId="26" xfId="0" applyFont="1" applyFill="1" applyBorder="1" applyAlignment="1">
      <alignment vertical="center"/>
    </xf>
    <xf numFmtId="0" fontId="29" fillId="17" borderId="26" xfId="0" applyFont="1" applyFill="1" applyBorder="1" applyAlignment="1">
      <alignment vertical="center" wrapText="1"/>
    </xf>
    <xf numFmtId="0" fontId="29" fillId="17" borderId="0" xfId="0" applyFont="1" applyFill="1" applyAlignment="1">
      <alignment horizontal="center" vertical="center"/>
    </xf>
    <xf numFmtId="165" fontId="29" fillId="17" borderId="0" xfId="0" applyNumberFormat="1" applyFont="1" applyFill="1" applyAlignment="1">
      <alignment horizontal="center" vertical="center"/>
    </xf>
    <xf numFmtId="3" fontId="29" fillId="17" borderId="0" xfId="0" applyNumberFormat="1" applyFont="1" applyFill="1" applyAlignment="1">
      <alignment horizontal="center" vertical="center"/>
    </xf>
    <xf numFmtId="0" fontId="29" fillId="17" borderId="27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6" fontId="16" fillId="0" borderId="26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164" fontId="16" fillId="0" borderId="26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9" fontId="16" fillId="0" borderId="26" xfId="0" applyNumberFormat="1" applyFont="1" applyBorder="1" applyAlignment="1">
      <alignment horizontal="center" vertical="center" wrapText="1"/>
    </xf>
    <xf numFmtId="9" fontId="15" fillId="0" borderId="28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18" borderId="31" xfId="0" applyFont="1" applyFill="1" applyBorder="1" applyAlignment="1">
      <alignment horizontal="center" vertical="center"/>
    </xf>
    <xf numFmtId="0" fontId="15" fillId="18" borderId="28" xfId="0" applyFont="1" applyFill="1" applyBorder="1" applyAlignment="1">
      <alignment horizontal="center" vertical="center"/>
    </xf>
    <xf numFmtId="0" fontId="15" fillId="18" borderId="29" xfId="0" applyFont="1" applyFill="1" applyBorder="1" applyAlignment="1">
      <alignment horizontal="center" vertical="center"/>
    </xf>
    <xf numFmtId="0" fontId="15" fillId="19" borderId="29" xfId="0" applyFont="1" applyFill="1" applyBorder="1" applyAlignment="1">
      <alignment horizontal="center" vertical="center"/>
    </xf>
    <xf numFmtId="0" fontId="15" fillId="20" borderId="29" xfId="0" applyFont="1" applyFill="1" applyBorder="1" applyAlignment="1">
      <alignment horizontal="center" vertical="center"/>
    </xf>
    <xf numFmtId="0" fontId="15" fillId="21" borderId="29" xfId="0" applyFont="1" applyFill="1" applyBorder="1" applyAlignment="1">
      <alignment horizontal="center" vertical="center"/>
    </xf>
    <xf numFmtId="0" fontId="15" fillId="22" borderId="29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left" vertical="center" wrapText="1"/>
    </xf>
    <xf numFmtId="9" fontId="15" fillId="0" borderId="33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19" borderId="33" xfId="0" applyFont="1" applyFill="1" applyBorder="1" applyAlignment="1">
      <alignment horizontal="center" vertical="center"/>
    </xf>
    <xf numFmtId="0" fontId="15" fillId="19" borderId="34" xfId="0" applyFont="1" applyFill="1" applyBorder="1" applyAlignment="1">
      <alignment horizontal="center" vertical="center"/>
    </xf>
    <xf numFmtId="0" fontId="15" fillId="18" borderId="34" xfId="0" applyFont="1" applyFill="1" applyBorder="1" applyAlignment="1">
      <alignment horizontal="center" vertical="center"/>
    </xf>
    <xf numFmtId="0" fontId="15" fillId="20" borderId="34" xfId="0" applyFont="1" applyFill="1" applyBorder="1" applyAlignment="1">
      <alignment horizontal="center" vertical="center"/>
    </xf>
    <xf numFmtId="0" fontId="15" fillId="21" borderId="34" xfId="0" applyFont="1" applyFill="1" applyBorder="1" applyAlignment="1">
      <alignment horizontal="center" vertical="center"/>
    </xf>
    <xf numFmtId="0" fontId="15" fillId="22" borderId="34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9" fontId="15" fillId="0" borderId="38" xfId="0" applyNumberFormat="1" applyFont="1" applyBorder="1" applyAlignment="1">
      <alignment horizontal="center" vertical="center"/>
    </xf>
    <xf numFmtId="165" fontId="15" fillId="0" borderId="39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19" borderId="38" xfId="0" applyFont="1" applyFill="1" applyBorder="1" applyAlignment="1">
      <alignment horizontal="center" vertical="center"/>
    </xf>
    <xf numFmtId="0" fontId="15" fillId="19" borderId="39" xfId="0" applyFont="1" applyFill="1" applyBorder="1" applyAlignment="1">
      <alignment horizontal="center" vertical="center"/>
    </xf>
    <xf numFmtId="0" fontId="15" fillId="18" borderId="39" xfId="0" applyFont="1" applyFill="1" applyBorder="1" applyAlignment="1">
      <alignment horizontal="center" vertical="center"/>
    </xf>
    <xf numFmtId="0" fontId="15" fillId="20" borderId="39" xfId="0" applyFont="1" applyFill="1" applyBorder="1" applyAlignment="1">
      <alignment horizontal="center" vertical="center"/>
    </xf>
    <xf numFmtId="0" fontId="15" fillId="21" borderId="39" xfId="0" applyFont="1" applyFill="1" applyBorder="1" applyAlignment="1">
      <alignment horizontal="center" vertical="center"/>
    </xf>
    <xf numFmtId="0" fontId="15" fillId="22" borderId="39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164" fontId="29" fillId="17" borderId="26" xfId="0" applyNumberFormat="1" applyFont="1" applyFill="1" applyBorder="1" applyAlignment="1">
      <alignment vertical="center" wrapText="1"/>
    </xf>
    <xf numFmtId="0" fontId="15" fillId="0" borderId="31" xfId="0" applyFont="1" applyBorder="1" applyAlignment="1">
      <alignment horizontal="center" vertical="center"/>
    </xf>
    <xf numFmtId="0" fontId="15" fillId="19" borderId="28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left" vertical="center" wrapText="1"/>
    </xf>
    <xf numFmtId="9" fontId="16" fillId="23" borderId="26" xfId="0" applyNumberFormat="1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 wrapText="1"/>
    </xf>
    <xf numFmtId="49" fontId="31" fillId="0" borderId="26" xfId="0" applyNumberFormat="1" applyFont="1" applyBorder="1" applyAlignment="1">
      <alignment vertical="center" wrapText="1"/>
    </xf>
    <xf numFmtId="0" fontId="15" fillId="0" borderId="4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29" fillId="17" borderId="26" xfId="0" applyFont="1" applyFill="1" applyBorder="1" applyAlignment="1">
      <alignment horizontal="left" vertical="center" wrapText="1"/>
    </xf>
    <xf numFmtId="0" fontId="29" fillId="17" borderId="26" xfId="0" applyFont="1" applyFill="1" applyBorder="1" applyAlignment="1">
      <alignment vertical="center"/>
    </xf>
    <xf numFmtId="166" fontId="35" fillId="0" borderId="26" xfId="0" applyNumberFormat="1" applyFont="1" applyBorder="1" applyAlignment="1">
      <alignment horizontal="left" vertical="center" wrapText="1"/>
    </xf>
    <xf numFmtId="0" fontId="35" fillId="0" borderId="26" xfId="0" applyFont="1" applyBorder="1" applyAlignment="1">
      <alignment vertical="center" wrapText="1"/>
    </xf>
    <xf numFmtId="0" fontId="35" fillId="0" borderId="26" xfId="0" applyFont="1" applyBorder="1" applyAlignment="1">
      <alignment horizontal="center" vertical="center" wrapText="1"/>
    </xf>
    <xf numFmtId="9" fontId="35" fillId="0" borderId="26" xfId="0" applyNumberFormat="1" applyFont="1" applyBorder="1" applyAlignment="1">
      <alignment horizontal="center" vertical="center" wrapText="1"/>
    </xf>
    <xf numFmtId="0" fontId="15" fillId="24" borderId="29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49" fontId="35" fillId="0" borderId="26" xfId="0" applyNumberFormat="1" applyFont="1" applyBorder="1" applyAlignment="1">
      <alignment horizontal="left" vertical="center" wrapText="1"/>
    </xf>
    <xf numFmtId="0" fontId="15" fillId="0" borderId="33" xfId="0" applyFont="1" applyBorder="1" applyAlignment="1">
      <alignment horizontal="center" vertical="center"/>
    </xf>
    <xf numFmtId="0" fontId="15" fillId="24" borderId="30" xfId="0" applyFont="1" applyFill="1" applyBorder="1" applyAlignment="1">
      <alignment horizontal="center" vertical="center"/>
    </xf>
    <xf numFmtId="0" fontId="15" fillId="24" borderId="31" xfId="0" applyFont="1" applyFill="1" applyBorder="1" applyAlignment="1">
      <alignment horizontal="center" vertical="center"/>
    </xf>
    <xf numFmtId="0" fontId="15" fillId="25" borderId="33" xfId="0" applyFont="1" applyFill="1" applyBorder="1" applyAlignment="1">
      <alignment horizontal="center" vertical="center"/>
    </xf>
    <xf numFmtId="9" fontId="35" fillId="23" borderId="26" xfId="0" applyNumberFormat="1" applyFont="1" applyFill="1" applyBorder="1" applyAlignment="1">
      <alignment horizontal="center" vertical="center" wrapText="1"/>
    </xf>
    <xf numFmtId="0" fontId="15" fillId="25" borderId="36" xfId="0" applyFont="1" applyFill="1" applyBorder="1" applyAlignment="1">
      <alignment horizontal="center" vertical="center"/>
    </xf>
    <xf numFmtId="0" fontId="15" fillId="18" borderId="33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25" borderId="34" xfId="0" applyFont="1" applyFill="1" applyBorder="1" applyAlignment="1">
      <alignment horizontal="center" vertical="center"/>
    </xf>
    <xf numFmtId="0" fontId="35" fillId="0" borderId="26" xfId="0" applyFont="1" applyBorder="1" applyAlignment="1">
      <alignment horizontal="left" vertical="center" wrapText="1"/>
    </xf>
    <xf numFmtId="0" fontId="36" fillId="0" borderId="26" xfId="0" applyFont="1" applyBorder="1" applyAlignment="1">
      <alignment vertical="center" wrapText="1"/>
    </xf>
    <xf numFmtId="49" fontId="36" fillId="0" borderId="26" xfId="0" applyNumberFormat="1" applyFont="1" applyBorder="1" applyAlignment="1">
      <alignment vertical="center" wrapText="1"/>
    </xf>
    <xf numFmtId="0" fontId="15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21" xfId="0" applyFont="1" applyBorder="1" applyAlignment="1">
      <alignment vertical="center" wrapText="1"/>
    </xf>
    <xf numFmtId="0" fontId="42" fillId="0" borderId="45" xfId="0" applyFont="1" applyBorder="1" applyAlignment="1">
      <alignment horizontal="center" vertical="center"/>
    </xf>
    <xf numFmtId="14" fontId="0" fillId="0" borderId="0" xfId="0" applyNumberFormat="1"/>
    <xf numFmtId="0" fontId="15" fillId="4" borderId="45" xfId="0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vertical="center" wrapText="1"/>
    </xf>
    <xf numFmtId="0" fontId="16" fillId="0" borderId="45" xfId="0" applyFont="1" applyBorder="1" applyAlignment="1">
      <alignment horizontal="center" vertical="center" wrapText="1"/>
    </xf>
    <xf numFmtId="0" fontId="41" fillId="0" borderId="45" xfId="0" applyFont="1" applyBorder="1" applyAlignment="1">
      <alignment horizontal="center"/>
    </xf>
    <xf numFmtId="0" fontId="16" fillId="0" borderId="45" xfId="0" applyFont="1" applyBorder="1" applyAlignment="1">
      <alignment horizontal="left" vertical="center" wrapText="1"/>
    </xf>
    <xf numFmtId="0" fontId="0" fillId="0" borderId="45" xfId="0" applyBorder="1"/>
    <xf numFmtId="0" fontId="44" fillId="0" borderId="0" xfId="0" applyFont="1"/>
    <xf numFmtId="167" fontId="16" fillId="0" borderId="11" xfId="0" applyNumberFormat="1" applyFont="1" applyBorder="1" applyAlignment="1">
      <alignment horizontal="center" vertical="center" wrapText="1"/>
    </xf>
    <xf numFmtId="167" fontId="16" fillId="0" borderId="45" xfId="0" applyNumberFormat="1" applyFont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167" fontId="16" fillId="0" borderId="45" xfId="0" applyNumberFormat="1" applyFont="1" applyBorder="1" applyAlignment="1">
      <alignment horizontal="center" vertical="center" textRotation="180" wrapText="1"/>
    </xf>
    <xf numFmtId="167" fontId="16" fillId="26" borderId="45" xfId="0" applyNumberFormat="1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vertical="center" wrapText="1"/>
    </xf>
    <xf numFmtId="167" fontId="45" fillId="27" borderId="45" xfId="0" applyNumberFormat="1" applyFont="1" applyFill="1" applyBorder="1" applyAlignment="1">
      <alignment horizontal="center" vertical="center" wrapText="1"/>
    </xf>
    <xf numFmtId="0" fontId="46" fillId="28" borderId="17" xfId="0" applyFont="1" applyFill="1" applyBorder="1" applyAlignment="1">
      <alignment horizontal="center" vertical="center" wrapText="1"/>
    </xf>
    <xf numFmtId="10" fontId="46" fillId="28" borderId="17" xfId="0" applyNumberFormat="1" applyFont="1" applyFill="1" applyBorder="1" applyAlignment="1">
      <alignment horizontal="center" vertical="center" wrapText="1"/>
    </xf>
    <xf numFmtId="0" fontId="15" fillId="4" borderId="45" xfId="0" applyFont="1" applyFill="1" applyBorder="1" applyAlignment="1">
      <alignment vertical="center" wrapText="1"/>
    </xf>
    <xf numFmtId="0" fontId="46" fillId="28" borderId="45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6" fillId="0" borderId="14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167" fontId="16" fillId="0" borderId="5" xfId="0" applyNumberFormat="1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 wrapText="1"/>
    </xf>
    <xf numFmtId="0" fontId="0" fillId="0" borderId="0" xfId="0"/>
    <xf numFmtId="0" fontId="15" fillId="4" borderId="45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4" fillId="3" borderId="5" xfId="0" applyFont="1" applyFill="1" applyBorder="1" applyAlignment="1">
      <alignment vertical="center"/>
    </xf>
    <xf numFmtId="0" fontId="0" fillId="0" borderId="0" xfId="0"/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5" fillId="0" borderId="7" xfId="0" applyFont="1" applyBorder="1" applyAlignment="1">
      <alignment horizontal="left" vertical="center"/>
    </xf>
    <xf numFmtId="0" fontId="3" fillId="0" borderId="8" xfId="0" applyFont="1" applyBorder="1"/>
    <xf numFmtId="0" fontId="16" fillId="2" borderId="7" xfId="0" applyFont="1" applyFill="1" applyBorder="1" applyAlignment="1">
      <alignment vertical="center"/>
    </xf>
    <xf numFmtId="0" fontId="3" fillId="0" borderId="9" xfId="0" applyFont="1" applyBorder="1"/>
    <xf numFmtId="0" fontId="21" fillId="2" borderId="7" xfId="0" applyFont="1" applyFill="1" applyBorder="1" applyAlignment="1">
      <alignment vertical="center"/>
    </xf>
    <xf numFmtId="0" fontId="22" fillId="2" borderId="7" xfId="0" applyFont="1" applyFill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3" fillId="0" borderId="10" xfId="0" applyFont="1" applyBorder="1"/>
    <xf numFmtId="0" fontId="17" fillId="0" borderId="10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0" fontId="24" fillId="6" borderId="15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24" fillId="11" borderId="20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4" fillId="12" borderId="20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4" borderId="14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1" xfId="0" applyFont="1" applyBorder="1"/>
    <xf numFmtId="0" fontId="24" fillId="5" borderId="0" xfId="0" applyFont="1" applyFill="1" applyAlignment="1">
      <alignment horizontal="center" vertical="center"/>
    </xf>
    <xf numFmtId="0" fontId="24" fillId="9" borderId="18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/>
    </xf>
    <xf numFmtId="0" fontId="16" fillId="0" borderId="7" xfId="0" applyFont="1" applyBorder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34" fillId="2" borderId="7" xfId="0" applyFont="1" applyFill="1" applyBorder="1" applyAlignment="1">
      <alignment vertical="center"/>
    </xf>
    <xf numFmtId="0" fontId="40" fillId="9" borderId="46" xfId="0" applyFont="1" applyFill="1" applyBorder="1" applyAlignment="1">
      <alignment horizontal="center" vertical="center" textRotation="180"/>
    </xf>
    <xf numFmtId="0" fontId="40" fillId="9" borderId="47" xfId="0" applyFont="1" applyFill="1" applyBorder="1" applyAlignment="1">
      <alignment horizontal="center" vertical="center" textRotation="180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40" fillId="9" borderId="45" xfId="0" applyFont="1" applyFill="1" applyBorder="1" applyAlignment="1">
      <alignment horizontal="center" vertical="center" textRotation="180"/>
    </xf>
    <xf numFmtId="0" fontId="15" fillId="4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8"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ce.edu.vn/tin-kho-tri-thuc/quan-ly-du-an-la-gi" TargetMode="External"/><Relationship Id="rId2" Type="http://schemas.openxmlformats.org/officeDocument/2006/relationships/hyperlink" Target="https://www.pace.edu.vn/" TargetMode="External"/><Relationship Id="rId1" Type="http://schemas.openxmlformats.org/officeDocument/2006/relationships/hyperlink" Target="https://bit.ly/khoa-hoc-lap-ke-hoach-va-bao-cao" TargetMode="External"/><Relationship Id="rId6" Type="http://schemas.openxmlformats.org/officeDocument/2006/relationships/hyperlink" Target="https://bit.ly/khoa-hoc-lap-ke-hoach-va-bao-cao" TargetMode="External"/><Relationship Id="rId5" Type="http://schemas.openxmlformats.org/officeDocument/2006/relationships/hyperlink" Target="https://www.pace.edu.vn/tin-kho-tri-thuc/so-do-gantt" TargetMode="External"/><Relationship Id="rId4" Type="http://schemas.openxmlformats.org/officeDocument/2006/relationships/hyperlink" Target="https://bit.ly/nguyen-thanh-ph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khoa-hoc-lap-ke-hoach-va-bao-cao" TargetMode="External"/><Relationship Id="rId2" Type="http://schemas.openxmlformats.org/officeDocument/2006/relationships/hyperlink" Target="https://www.pace.edu.vn/tin-kho-tri-thuc/quan-ly-du-an-la-gi" TargetMode="External"/><Relationship Id="rId1" Type="http://schemas.openxmlformats.org/officeDocument/2006/relationships/hyperlink" Target="https://www.pace.edu.vn/" TargetMode="External"/><Relationship Id="rId6" Type="http://schemas.openxmlformats.org/officeDocument/2006/relationships/hyperlink" Target="https://bit.ly/khoa-hoc-lap-ke-hoach-va-bao-cao" TargetMode="External"/><Relationship Id="rId5" Type="http://schemas.openxmlformats.org/officeDocument/2006/relationships/hyperlink" Target="https://www.pace.edu.vn/tin-kho-tri-thuc/so-do-gantt" TargetMode="External"/><Relationship Id="rId4" Type="http://schemas.openxmlformats.org/officeDocument/2006/relationships/hyperlink" Target="https://bit.ly/nguyen-thanh-ph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38"/>
  <sheetViews>
    <sheetView showGridLines="0" workbookViewId="0">
      <pane ySplit="9" topLeftCell="A31" activePane="bottomLeft" state="frozen"/>
      <selection pane="bottomLeft" activeCell="S38" sqref="S38"/>
    </sheetView>
  </sheetViews>
  <sheetFormatPr defaultColWidth="12.5703125" defaultRowHeight="15.75" customHeight="1" outlineLevelRow="1" x14ac:dyDescent="0.2"/>
  <cols>
    <col min="1" max="1" width="1.85546875" customWidth="1"/>
    <col min="2" max="2" width="9" customWidth="1"/>
    <col min="3" max="3" width="32.28515625" customWidth="1"/>
    <col min="4" max="4" width="10.5703125" customWidth="1"/>
    <col min="5" max="5" width="10" customWidth="1"/>
    <col min="6" max="6" width="9.140625" customWidth="1"/>
    <col min="7" max="7" width="7" customWidth="1"/>
    <col min="8" max="8" width="9.5703125" customWidth="1"/>
    <col min="9" max="68" width="3" customWidth="1"/>
    <col min="69" max="69" width="3.42578125" customWidth="1"/>
  </cols>
  <sheetData>
    <row r="1" spans="1:69" ht="26.25" customHeight="1" x14ac:dyDescent="0.2">
      <c r="A1" s="1"/>
      <c r="B1" s="145" t="s">
        <v>0</v>
      </c>
      <c r="C1" s="146"/>
      <c r="D1" s="146"/>
      <c r="E1" s="146"/>
      <c r="F1" s="146"/>
      <c r="G1" s="146"/>
      <c r="H1" s="2"/>
      <c r="I1" s="147" t="s">
        <v>1</v>
      </c>
      <c r="J1" s="146"/>
      <c r="K1" s="146"/>
      <c r="L1" s="146"/>
      <c r="M1" s="146"/>
      <c r="N1" s="146"/>
      <c r="O1" s="148" t="s">
        <v>2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3"/>
      <c r="AG1" s="3"/>
      <c r="AH1" s="149" t="s">
        <v>3</v>
      </c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7.5" customHeight="1" x14ac:dyDescent="0.2">
      <c r="A2" s="1"/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7"/>
      <c r="N2" s="7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8"/>
      <c r="AE2" s="8"/>
      <c r="AF2" s="8"/>
      <c r="AG2" s="8"/>
      <c r="AH2" s="152" t="s">
        <v>4</v>
      </c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4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8" customHeight="1" x14ac:dyDescent="0.55000000000000004">
      <c r="A3" s="1"/>
      <c r="B3" s="158" t="s">
        <v>5</v>
      </c>
      <c r="C3" s="159"/>
      <c r="D3" s="160" t="s">
        <v>6</v>
      </c>
      <c r="E3" s="161"/>
      <c r="F3" s="161"/>
      <c r="G3" s="159"/>
      <c r="H3" s="9"/>
      <c r="I3" s="164" t="s">
        <v>7</v>
      </c>
      <c r="J3" s="165"/>
      <c r="K3" s="165"/>
      <c r="L3" s="165"/>
      <c r="M3" s="165"/>
      <c r="N3" s="165"/>
      <c r="O3" s="165"/>
      <c r="P3" s="166" t="s">
        <v>8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0"/>
      <c r="AD3" s="8"/>
      <c r="AE3" s="8"/>
      <c r="AF3" s="8"/>
      <c r="AG3" s="8"/>
      <c r="AH3" s="155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7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15.75" customHeight="1" x14ac:dyDescent="0.6">
      <c r="A4" s="1"/>
      <c r="B4" s="158" t="s">
        <v>9</v>
      </c>
      <c r="C4" s="159"/>
      <c r="D4" s="167" t="s">
        <v>10</v>
      </c>
      <c r="E4" s="161"/>
      <c r="F4" s="161"/>
      <c r="G4" s="159"/>
      <c r="H4" s="11"/>
      <c r="I4" s="168" t="s">
        <v>11</v>
      </c>
      <c r="J4" s="153"/>
      <c r="K4" s="153"/>
      <c r="L4" s="153"/>
      <c r="M4" s="153"/>
      <c r="N4" s="153"/>
      <c r="O4" s="153"/>
      <c r="P4" s="169">
        <f ca="1">TODAY()</f>
        <v>45909</v>
      </c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2"/>
      <c r="AC4" s="10"/>
      <c r="AD4" s="1"/>
      <c r="AE4" s="1"/>
      <c r="AF4" s="1"/>
      <c r="AG4" s="1"/>
      <c r="AH4" s="1"/>
      <c r="AI4" s="1"/>
      <c r="AJ4" s="1"/>
      <c r="AK4" s="1"/>
      <c r="AL4" s="13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5" x14ac:dyDescent="0.2">
      <c r="A5" s="14"/>
      <c r="B5" s="170" t="s">
        <v>12</v>
      </c>
      <c r="C5" s="159"/>
      <c r="D5" s="162" t="s">
        <v>13</v>
      </c>
      <c r="E5" s="161"/>
      <c r="F5" s="161"/>
      <c r="G5" s="159"/>
      <c r="H5" s="15"/>
      <c r="I5" s="163" t="s">
        <v>14</v>
      </c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59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9" customHeight="1" x14ac:dyDescent="0.2">
      <c r="A6" s="14"/>
      <c r="B6" s="16"/>
      <c r="C6" s="16"/>
      <c r="D6" s="16"/>
      <c r="E6" s="16"/>
      <c r="F6" s="16"/>
      <c r="G6" s="15"/>
      <c r="H6" s="15"/>
      <c r="I6" s="16"/>
      <c r="J6" s="16"/>
      <c r="K6" s="16"/>
      <c r="L6" s="1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ht="14.25" customHeight="1" x14ac:dyDescent="0.2">
      <c r="A7" s="17"/>
      <c r="B7" s="181" t="s">
        <v>15</v>
      </c>
      <c r="C7" s="181" t="s">
        <v>16</v>
      </c>
      <c r="D7" s="181" t="s">
        <v>17</v>
      </c>
      <c r="E7" s="181" t="s">
        <v>18</v>
      </c>
      <c r="F7" s="181" t="s">
        <v>19</v>
      </c>
      <c r="G7" s="181" t="s">
        <v>20</v>
      </c>
      <c r="H7" s="181" t="s">
        <v>21</v>
      </c>
      <c r="I7" s="184" t="s">
        <v>22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71" t="s">
        <v>23</v>
      </c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72" t="s">
        <v>24</v>
      </c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73" t="s">
        <v>25</v>
      </c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74"/>
      <c r="BQ7" s="14"/>
    </row>
    <row r="8" spans="1:69" ht="13.5" customHeight="1" x14ac:dyDescent="0.2">
      <c r="A8" s="18"/>
      <c r="B8" s="182"/>
      <c r="C8" s="182"/>
      <c r="D8" s="182"/>
      <c r="E8" s="182"/>
      <c r="F8" s="182"/>
      <c r="G8" s="182"/>
      <c r="H8" s="182"/>
      <c r="I8" s="185" t="s">
        <v>26</v>
      </c>
      <c r="J8" s="176"/>
      <c r="K8" s="176"/>
      <c r="L8" s="176"/>
      <c r="M8" s="177"/>
      <c r="N8" s="186" t="s">
        <v>27</v>
      </c>
      <c r="O8" s="176"/>
      <c r="P8" s="176"/>
      <c r="Q8" s="176"/>
      <c r="R8" s="177"/>
      <c r="S8" s="186" t="s">
        <v>28</v>
      </c>
      <c r="T8" s="176"/>
      <c r="U8" s="176"/>
      <c r="V8" s="176"/>
      <c r="W8" s="177"/>
      <c r="X8" s="179" t="s">
        <v>29</v>
      </c>
      <c r="Y8" s="176"/>
      <c r="Z8" s="176"/>
      <c r="AA8" s="176"/>
      <c r="AB8" s="177"/>
      <c r="AC8" s="179" t="s">
        <v>30</v>
      </c>
      <c r="AD8" s="176"/>
      <c r="AE8" s="176"/>
      <c r="AF8" s="176"/>
      <c r="AG8" s="177"/>
      <c r="AH8" s="179" t="s">
        <v>31</v>
      </c>
      <c r="AI8" s="176"/>
      <c r="AJ8" s="176"/>
      <c r="AK8" s="176"/>
      <c r="AL8" s="177"/>
      <c r="AM8" s="175" t="s">
        <v>32</v>
      </c>
      <c r="AN8" s="176"/>
      <c r="AO8" s="176"/>
      <c r="AP8" s="176"/>
      <c r="AQ8" s="177"/>
      <c r="AR8" s="175" t="s">
        <v>33</v>
      </c>
      <c r="AS8" s="176"/>
      <c r="AT8" s="176"/>
      <c r="AU8" s="176"/>
      <c r="AV8" s="177"/>
      <c r="AW8" s="175" t="s">
        <v>34</v>
      </c>
      <c r="AX8" s="176"/>
      <c r="AY8" s="176"/>
      <c r="AZ8" s="176"/>
      <c r="BA8" s="177"/>
      <c r="BB8" s="178" t="s">
        <v>35</v>
      </c>
      <c r="BC8" s="176"/>
      <c r="BD8" s="176"/>
      <c r="BE8" s="176"/>
      <c r="BF8" s="177"/>
      <c r="BG8" s="178" t="s">
        <v>36</v>
      </c>
      <c r="BH8" s="176"/>
      <c r="BI8" s="176"/>
      <c r="BJ8" s="176"/>
      <c r="BK8" s="177"/>
      <c r="BL8" s="178" t="s">
        <v>37</v>
      </c>
      <c r="BM8" s="176"/>
      <c r="BN8" s="176"/>
      <c r="BO8" s="176"/>
      <c r="BP8" s="177"/>
      <c r="BQ8" s="18"/>
    </row>
    <row r="9" spans="1:69" ht="13.5" customHeight="1" x14ac:dyDescent="0.2">
      <c r="A9" s="19"/>
      <c r="B9" s="183"/>
      <c r="C9" s="183"/>
      <c r="D9" s="183"/>
      <c r="E9" s="183"/>
      <c r="F9" s="183"/>
      <c r="G9" s="183"/>
      <c r="H9" s="183"/>
      <c r="I9" s="20" t="s">
        <v>38</v>
      </c>
      <c r="J9" s="21" t="s">
        <v>39</v>
      </c>
      <c r="K9" s="21" t="s">
        <v>40</v>
      </c>
      <c r="L9" s="22" t="s">
        <v>41</v>
      </c>
      <c r="M9" s="23" t="s">
        <v>42</v>
      </c>
      <c r="N9" s="20" t="s">
        <v>38</v>
      </c>
      <c r="O9" s="21" t="s">
        <v>39</v>
      </c>
      <c r="P9" s="21" t="s">
        <v>40</v>
      </c>
      <c r="Q9" s="21" t="s">
        <v>41</v>
      </c>
      <c r="R9" s="21" t="s">
        <v>42</v>
      </c>
      <c r="S9" s="21" t="s">
        <v>38</v>
      </c>
      <c r="T9" s="21" t="s">
        <v>39</v>
      </c>
      <c r="U9" s="21" t="s">
        <v>40</v>
      </c>
      <c r="V9" s="21" t="s">
        <v>41</v>
      </c>
      <c r="W9" s="21" t="s">
        <v>42</v>
      </c>
      <c r="X9" s="24" t="s">
        <v>38</v>
      </c>
      <c r="Y9" s="24" t="s">
        <v>39</v>
      </c>
      <c r="Z9" s="24" t="s">
        <v>40</v>
      </c>
      <c r="AA9" s="24" t="s">
        <v>41</v>
      </c>
      <c r="AB9" s="24" t="s">
        <v>42</v>
      </c>
      <c r="AC9" s="24" t="s">
        <v>38</v>
      </c>
      <c r="AD9" s="24" t="s">
        <v>39</v>
      </c>
      <c r="AE9" s="24" t="s">
        <v>40</v>
      </c>
      <c r="AF9" s="24" t="s">
        <v>41</v>
      </c>
      <c r="AG9" s="24" t="s">
        <v>42</v>
      </c>
      <c r="AH9" s="24" t="s">
        <v>38</v>
      </c>
      <c r="AI9" s="24" t="s">
        <v>39</v>
      </c>
      <c r="AJ9" s="24" t="s">
        <v>40</v>
      </c>
      <c r="AK9" s="24" t="s">
        <v>41</v>
      </c>
      <c r="AL9" s="24" t="s">
        <v>42</v>
      </c>
      <c r="AM9" s="25" t="s">
        <v>38</v>
      </c>
      <c r="AN9" s="25" t="s">
        <v>39</v>
      </c>
      <c r="AO9" s="25" t="s">
        <v>40</v>
      </c>
      <c r="AP9" s="25" t="s">
        <v>41</v>
      </c>
      <c r="AQ9" s="25" t="s">
        <v>42</v>
      </c>
      <c r="AR9" s="25" t="s">
        <v>38</v>
      </c>
      <c r="AS9" s="25" t="s">
        <v>39</v>
      </c>
      <c r="AT9" s="25" t="s">
        <v>40</v>
      </c>
      <c r="AU9" s="25" t="s">
        <v>41</v>
      </c>
      <c r="AV9" s="25" t="s">
        <v>42</v>
      </c>
      <c r="AW9" s="25" t="s">
        <v>38</v>
      </c>
      <c r="AX9" s="25" t="s">
        <v>39</v>
      </c>
      <c r="AY9" s="25" t="s">
        <v>40</v>
      </c>
      <c r="AZ9" s="25" t="s">
        <v>41</v>
      </c>
      <c r="BA9" s="25" t="s">
        <v>42</v>
      </c>
      <c r="BB9" s="26" t="s">
        <v>38</v>
      </c>
      <c r="BC9" s="26" t="s">
        <v>39</v>
      </c>
      <c r="BD9" s="26" t="s">
        <v>40</v>
      </c>
      <c r="BE9" s="26" t="s">
        <v>41</v>
      </c>
      <c r="BF9" s="26" t="s">
        <v>42</v>
      </c>
      <c r="BG9" s="26" t="s">
        <v>38</v>
      </c>
      <c r="BH9" s="26" t="s">
        <v>39</v>
      </c>
      <c r="BI9" s="26" t="s">
        <v>40</v>
      </c>
      <c r="BJ9" s="26" t="s">
        <v>41</v>
      </c>
      <c r="BK9" s="26" t="s">
        <v>42</v>
      </c>
      <c r="BL9" s="26" t="s">
        <v>38</v>
      </c>
      <c r="BM9" s="26" t="s">
        <v>39</v>
      </c>
      <c r="BN9" s="26" t="s">
        <v>40</v>
      </c>
      <c r="BO9" s="26" t="s">
        <v>41</v>
      </c>
      <c r="BP9" s="26" t="s">
        <v>42</v>
      </c>
      <c r="BQ9" s="19"/>
    </row>
    <row r="10" spans="1:69" ht="21" customHeight="1" x14ac:dyDescent="0.2">
      <c r="A10" s="14"/>
      <c r="B10" s="27">
        <v>1</v>
      </c>
      <c r="C10" s="28" t="s">
        <v>43</v>
      </c>
      <c r="D10" s="29"/>
      <c r="E10" s="29"/>
      <c r="F10" s="29"/>
      <c r="G10" s="29"/>
      <c r="H10" s="29"/>
      <c r="I10" s="30"/>
      <c r="J10" s="31"/>
      <c r="K10" s="32"/>
      <c r="L10" s="32"/>
      <c r="M10" s="33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4"/>
    </row>
    <row r="11" spans="1:69" ht="17.25" customHeight="1" outlineLevel="1" x14ac:dyDescent="0.2">
      <c r="A11" s="34"/>
      <c r="B11" s="35">
        <v>43101</v>
      </c>
      <c r="C11" s="36" t="s">
        <v>44</v>
      </c>
      <c r="D11" s="36" t="s">
        <v>45</v>
      </c>
      <c r="E11" s="37">
        <f ca="1">TODAY()</f>
        <v>45909</v>
      </c>
      <c r="F11" s="37">
        <f ca="1">E11+3</f>
        <v>45912</v>
      </c>
      <c r="G11" s="38">
        <f t="shared" ref="G11:G17" ca="1" si="0">DAYS360(E11,F11)</f>
        <v>3</v>
      </c>
      <c r="H11" s="39">
        <v>0</v>
      </c>
      <c r="I11" s="40"/>
      <c r="J11" s="41"/>
      <c r="K11" s="42"/>
      <c r="L11" s="43"/>
      <c r="M11" s="44"/>
      <c r="N11" s="45"/>
      <c r="O11" s="46"/>
      <c r="P11" s="47"/>
      <c r="Q11" s="47"/>
      <c r="R11" s="47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8"/>
      <c r="AD11" s="48"/>
      <c r="AE11" s="48"/>
      <c r="AF11" s="48"/>
      <c r="AG11" s="48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9"/>
      <c r="AS11" s="49"/>
      <c r="AT11" s="49"/>
      <c r="AU11" s="49"/>
      <c r="AV11" s="49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50"/>
      <c r="BH11" s="50"/>
      <c r="BI11" s="50"/>
      <c r="BJ11" s="50"/>
      <c r="BK11" s="50"/>
      <c r="BL11" s="42"/>
      <c r="BM11" s="42"/>
      <c r="BN11" s="42"/>
      <c r="BO11" s="42"/>
      <c r="BP11" s="51"/>
      <c r="BQ11" s="34"/>
    </row>
    <row r="12" spans="1:69" ht="17.25" customHeight="1" outlineLevel="1" x14ac:dyDescent="0.2">
      <c r="A12" s="34"/>
      <c r="B12" s="52" t="s">
        <v>46</v>
      </c>
      <c r="C12" s="36" t="s">
        <v>47</v>
      </c>
      <c r="D12" s="36" t="s">
        <v>45</v>
      </c>
      <c r="E12" s="37">
        <f ca="1">F11</f>
        <v>45912</v>
      </c>
      <c r="F12" s="37">
        <f ca="1">E12+1</f>
        <v>45913</v>
      </c>
      <c r="G12" s="38">
        <f t="shared" ca="1" si="0"/>
        <v>1</v>
      </c>
      <c r="H12" s="39">
        <v>0</v>
      </c>
      <c r="I12" s="53"/>
      <c r="J12" s="54"/>
      <c r="K12" s="55"/>
      <c r="L12" s="56"/>
      <c r="M12" s="57"/>
      <c r="N12" s="58"/>
      <c r="O12" s="59"/>
      <c r="P12" s="60"/>
      <c r="Q12" s="59"/>
      <c r="R12" s="59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61"/>
      <c r="AD12" s="61"/>
      <c r="AE12" s="61"/>
      <c r="AF12" s="61"/>
      <c r="AG12" s="61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62"/>
      <c r="AS12" s="62"/>
      <c r="AT12" s="62"/>
      <c r="AU12" s="62"/>
      <c r="AV12" s="62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63"/>
      <c r="BH12" s="63"/>
      <c r="BI12" s="63"/>
      <c r="BJ12" s="63"/>
      <c r="BK12" s="63"/>
      <c r="BL12" s="55"/>
      <c r="BM12" s="55"/>
      <c r="BN12" s="55"/>
      <c r="BO12" s="55"/>
      <c r="BP12" s="64"/>
      <c r="BQ12" s="34"/>
    </row>
    <row r="13" spans="1:69" ht="17.25" customHeight="1" outlineLevel="1" x14ac:dyDescent="0.2">
      <c r="A13" s="34"/>
      <c r="B13" s="35">
        <v>43132</v>
      </c>
      <c r="C13" s="36" t="s">
        <v>48</v>
      </c>
      <c r="D13" s="36" t="s">
        <v>45</v>
      </c>
      <c r="E13" s="37">
        <f ca="1">E12</f>
        <v>45912</v>
      </c>
      <c r="F13" s="37">
        <f t="shared" ref="F13:F14" ca="1" si="1">E13+6</f>
        <v>45918</v>
      </c>
      <c r="G13" s="38">
        <f t="shared" ca="1" si="0"/>
        <v>6</v>
      </c>
      <c r="H13" s="39">
        <v>0</v>
      </c>
      <c r="I13" s="53"/>
      <c r="J13" s="54"/>
      <c r="K13" s="55"/>
      <c r="L13" s="56"/>
      <c r="M13" s="57"/>
      <c r="N13" s="58"/>
      <c r="O13" s="59"/>
      <c r="P13" s="60"/>
      <c r="Q13" s="60"/>
      <c r="R13" s="60"/>
      <c r="S13" s="60"/>
      <c r="T13" s="60"/>
      <c r="U13" s="60"/>
      <c r="V13" s="55"/>
      <c r="W13" s="55"/>
      <c r="X13" s="55"/>
      <c r="Y13" s="55"/>
      <c r="Z13" s="55"/>
      <c r="AA13" s="55"/>
      <c r="AB13" s="55"/>
      <c r="AC13" s="61"/>
      <c r="AD13" s="61"/>
      <c r="AE13" s="61"/>
      <c r="AF13" s="61"/>
      <c r="AG13" s="61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62"/>
      <c r="AS13" s="62"/>
      <c r="AT13" s="62"/>
      <c r="AU13" s="62"/>
      <c r="AV13" s="62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63"/>
      <c r="BH13" s="63"/>
      <c r="BI13" s="63"/>
      <c r="BJ13" s="63"/>
      <c r="BK13" s="63"/>
      <c r="BL13" s="55"/>
      <c r="BM13" s="55"/>
      <c r="BN13" s="55"/>
      <c r="BO13" s="55"/>
      <c r="BP13" s="64"/>
      <c r="BQ13" s="34"/>
    </row>
    <row r="14" spans="1:69" ht="17.25" customHeight="1" outlineLevel="1" x14ac:dyDescent="0.2">
      <c r="A14" s="34"/>
      <c r="B14" s="35">
        <v>43160</v>
      </c>
      <c r="C14" s="36" t="s">
        <v>49</v>
      </c>
      <c r="D14" s="36" t="s">
        <v>45</v>
      </c>
      <c r="E14" s="37">
        <f ca="1">E13+1</f>
        <v>45913</v>
      </c>
      <c r="F14" s="37">
        <f t="shared" ca="1" si="1"/>
        <v>45919</v>
      </c>
      <c r="G14" s="38">
        <f t="shared" ca="1" si="0"/>
        <v>6</v>
      </c>
      <c r="H14" s="39">
        <v>0</v>
      </c>
      <c r="I14" s="53"/>
      <c r="J14" s="54"/>
      <c r="K14" s="55"/>
      <c r="L14" s="56"/>
      <c r="M14" s="57"/>
      <c r="N14" s="58"/>
      <c r="O14" s="59"/>
      <c r="P14" s="59"/>
      <c r="Q14" s="60"/>
      <c r="R14" s="60"/>
      <c r="S14" s="60"/>
      <c r="T14" s="60"/>
      <c r="U14" s="60"/>
      <c r="V14" s="60"/>
      <c r="W14" s="55"/>
      <c r="X14" s="55"/>
      <c r="Y14" s="55"/>
      <c r="Z14" s="55"/>
      <c r="AA14" s="55"/>
      <c r="AB14" s="55"/>
      <c r="AC14" s="61"/>
      <c r="AD14" s="61"/>
      <c r="AE14" s="61"/>
      <c r="AF14" s="61"/>
      <c r="AG14" s="61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62"/>
      <c r="AS14" s="62"/>
      <c r="AT14" s="62"/>
      <c r="AU14" s="62"/>
      <c r="AV14" s="62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63"/>
      <c r="BH14" s="63"/>
      <c r="BI14" s="63"/>
      <c r="BJ14" s="63"/>
      <c r="BK14" s="63"/>
      <c r="BL14" s="55"/>
      <c r="BM14" s="55"/>
      <c r="BN14" s="55"/>
      <c r="BO14" s="55"/>
      <c r="BP14" s="64"/>
      <c r="BQ14" s="34"/>
    </row>
    <row r="15" spans="1:69" ht="17.25" customHeight="1" outlineLevel="1" x14ac:dyDescent="0.2">
      <c r="A15" s="34"/>
      <c r="B15" s="35">
        <v>43191</v>
      </c>
      <c r="C15" s="36" t="s">
        <v>50</v>
      </c>
      <c r="D15" s="36" t="s">
        <v>45</v>
      </c>
      <c r="E15" s="37">
        <f ca="1">E14+2</f>
        <v>45915</v>
      </c>
      <c r="F15" s="37">
        <f ca="1">E15+4</f>
        <v>45919</v>
      </c>
      <c r="G15" s="38">
        <f t="shared" ca="1" si="0"/>
        <v>4</v>
      </c>
      <c r="H15" s="39">
        <v>0</v>
      </c>
      <c r="I15" s="53"/>
      <c r="J15" s="54"/>
      <c r="K15" s="55"/>
      <c r="L15" s="56"/>
      <c r="M15" s="57"/>
      <c r="N15" s="58"/>
      <c r="O15" s="59"/>
      <c r="P15" s="59"/>
      <c r="Q15" s="59"/>
      <c r="R15" s="59"/>
      <c r="S15" s="60"/>
      <c r="T15" s="60"/>
      <c r="U15" s="60"/>
      <c r="V15" s="60"/>
      <c r="W15" s="55"/>
      <c r="X15" s="55"/>
      <c r="Y15" s="55"/>
      <c r="Z15" s="55"/>
      <c r="AA15" s="55"/>
      <c r="AB15" s="55"/>
      <c r="AC15" s="61"/>
      <c r="AD15" s="61"/>
      <c r="AE15" s="61"/>
      <c r="AF15" s="61"/>
      <c r="AG15" s="61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62"/>
      <c r="AS15" s="62"/>
      <c r="AT15" s="62"/>
      <c r="AU15" s="62"/>
      <c r="AV15" s="62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63"/>
      <c r="BH15" s="63"/>
      <c r="BI15" s="63"/>
      <c r="BJ15" s="63"/>
      <c r="BK15" s="63"/>
      <c r="BL15" s="55"/>
      <c r="BM15" s="55"/>
      <c r="BN15" s="55"/>
      <c r="BO15" s="55"/>
      <c r="BP15" s="64"/>
      <c r="BQ15" s="34"/>
    </row>
    <row r="16" spans="1:69" ht="17.25" customHeight="1" outlineLevel="1" x14ac:dyDescent="0.2">
      <c r="A16" s="34"/>
      <c r="B16" s="35">
        <v>43221</v>
      </c>
      <c r="C16" s="36" t="s">
        <v>51</v>
      </c>
      <c r="D16" s="36" t="s">
        <v>45</v>
      </c>
      <c r="E16" s="37">
        <f ca="1">E15+1</f>
        <v>45916</v>
      </c>
      <c r="F16" s="37">
        <f ca="1">E16+3</f>
        <v>45919</v>
      </c>
      <c r="G16" s="38">
        <f t="shared" ca="1" si="0"/>
        <v>3</v>
      </c>
      <c r="H16" s="39">
        <v>0</v>
      </c>
      <c r="I16" s="53"/>
      <c r="J16" s="54"/>
      <c r="K16" s="55"/>
      <c r="L16" s="56"/>
      <c r="M16" s="57"/>
      <c r="N16" s="58"/>
      <c r="O16" s="59"/>
      <c r="P16" s="59"/>
      <c r="Q16" s="59"/>
      <c r="R16" s="59"/>
      <c r="S16" s="55"/>
      <c r="T16" s="60"/>
      <c r="U16" s="60"/>
      <c r="V16" s="60"/>
      <c r="W16" s="55"/>
      <c r="X16" s="55"/>
      <c r="Y16" s="55"/>
      <c r="Z16" s="55"/>
      <c r="AA16" s="55"/>
      <c r="AB16" s="55"/>
      <c r="AC16" s="61"/>
      <c r="AD16" s="61"/>
      <c r="AE16" s="61"/>
      <c r="AF16" s="61"/>
      <c r="AG16" s="61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62"/>
      <c r="AS16" s="62"/>
      <c r="AT16" s="62"/>
      <c r="AU16" s="62"/>
      <c r="AV16" s="62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63"/>
      <c r="BH16" s="63"/>
      <c r="BI16" s="63"/>
      <c r="BJ16" s="63"/>
      <c r="BK16" s="63"/>
      <c r="BL16" s="55"/>
      <c r="BM16" s="55"/>
      <c r="BN16" s="55"/>
      <c r="BO16" s="55"/>
      <c r="BP16" s="64"/>
      <c r="BQ16" s="34"/>
    </row>
    <row r="17" spans="1:69" ht="17.25" customHeight="1" outlineLevel="1" x14ac:dyDescent="0.2">
      <c r="A17" s="34"/>
      <c r="B17" s="35">
        <v>43252</v>
      </c>
      <c r="C17" s="36" t="s">
        <v>52</v>
      </c>
      <c r="D17" s="36" t="s">
        <v>45</v>
      </c>
      <c r="E17" s="37">
        <f ca="1">F16+1</f>
        <v>45920</v>
      </c>
      <c r="F17" s="37">
        <f ca="1">E17+1</f>
        <v>45921</v>
      </c>
      <c r="G17" s="38">
        <f t="shared" ca="1" si="0"/>
        <v>1</v>
      </c>
      <c r="H17" s="39">
        <v>0</v>
      </c>
      <c r="I17" s="65"/>
      <c r="J17" s="66"/>
      <c r="K17" s="67"/>
      <c r="L17" s="68"/>
      <c r="M17" s="69"/>
      <c r="N17" s="70"/>
      <c r="O17" s="71"/>
      <c r="P17" s="71"/>
      <c r="Q17" s="71"/>
      <c r="R17" s="71"/>
      <c r="S17" s="67"/>
      <c r="T17" s="67"/>
      <c r="U17" s="67"/>
      <c r="V17" s="67"/>
      <c r="W17" s="72"/>
      <c r="X17" s="67"/>
      <c r="Y17" s="67"/>
      <c r="Z17" s="67"/>
      <c r="AA17" s="67"/>
      <c r="AB17" s="67"/>
      <c r="AC17" s="73"/>
      <c r="AD17" s="73"/>
      <c r="AE17" s="73"/>
      <c r="AF17" s="73"/>
      <c r="AG17" s="73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74"/>
      <c r="AS17" s="74"/>
      <c r="AT17" s="74"/>
      <c r="AU17" s="74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75"/>
      <c r="BH17" s="75"/>
      <c r="BI17" s="75"/>
      <c r="BJ17" s="75"/>
      <c r="BK17" s="75"/>
      <c r="BL17" s="67"/>
      <c r="BM17" s="67"/>
      <c r="BN17" s="67"/>
      <c r="BO17" s="67"/>
      <c r="BP17" s="76"/>
      <c r="BQ17" s="34"/>
    </row>
    <row r="18" spans="1:69" ht="21" customHeight="1" x14ac:dyDescent="0.2">
      <c r="A18" s="14"/>
      <c r="B18" s="27">
        <v>2</v>
      </c>
      <c r="C18" s="28" t="s">
        <v>53</v>
      </c>
      <c r="D18" s="29"/>
      <c r="E18" s="77"/>
      <c r="F18" s="77"/>
      <c r="G18" s="29"/>
      <c r="H18" s="29"/>
      <c r="I18" s="30"/>
      <c r="J18" s="31"/>
      <c r="K18" s="32"/>
      <c r="L18" s="32"/>
      <c r="M18" s="33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4"/>
    </row>
    <row r="19" spans="1:69" ht="17.25" customHeight="1" outlineLevel="1" x14ac:dyDescent="0.2">
      <c r="A19" s="34"/>
      <c r="B19" s="35">
        <v>43102</v>
      </c>
      <c r="C19" s="36" t="s">
        <v>54</v>
      </c>
      <c r="D19" s="36" t="s">
        <v>45</v>
      </c>
      <c r="E19" s="37">
        <f ca="1">F17+1</f>
        <v>45922</v>
      </c>
      <c r="F19" s="37">
        <f ca="1">E19+4</f>
        <v>45926</v>
      </c>
      <c r="G19" s="38">
        <v>4</v>
      </c>
      <c r="H19" s="39">
        <v>0</v>
      </c>
      <c r="I19" s="40"/>
      <c r="J19" s="41"/>
      <c r="K19" s="42"/>
      <c r="L19" s="43"/>
      <c r="M19" s="78"/>
      <c r="N19" s="79"/>
      <c r="O19" s="47"/>
      <c r="P19" s="47"/>
      <c r="Q19" s="47"/>
      <c r="R19" s="47"/>
      <c r="S19" s="42"/>
      <c r="T19" s="42"/>
      <c r="U19" s="42"/>
      <c r="V19" s="42"/>
      <c r="W19" s="42"/>
      <c r="X19" s="46"/>
      <c r="Y19" s="46"/>
      <c r="Z19" s="46"/>
      <c r="AA19" s="46"/>
      <c r="AB19" s="42"/>
      <c r="AC19" s="48"/>
      <c r="AD19" s="48"/>
      <c r="AE19" s="48"/>
      <c r="AF19" s="48"/>
      <c r="AG19" s="48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9"/>
      <c r="AS19" s="49"/>
      <c r="AT19" s="49"/>
      <c r="AU19" s="49"/>
      <c r="AV19" s="49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50"/>
      <c r="BH19" s="50"/>
      <c r="BI19" s="50"/>
      <c r="BJ19" s="50"/>
      <c r="BK19" s="50"/>
      <c r="BL19" s="42"/>
      <c r="BM19" s="42"/>
      <c r="BN19" s="42"/>
      <c r="BO19" s="42"/>
      <c r="BP19" s="51"/>
      <c r="BQ19" s="34"/>
    </row>
    <row r="20" spans="1:69" ht="17.25" customHeight="1" outlineLevel="1" x14ac:dyDescent="0.2">
      <c r="A20" s="34"/>
      <c r="B20" s="35">
        <v>43133</v>
      </c>
      <c r="C20" s="36" t="s">
        <v>55</v>
      </c>
      <c r="D20" s="36" t="s">
        <v>45</v>
      </c>
      <c r="E20" s="37">
        <f ca="1">F19+1</f>
        <v>45927</v>
      </c>
      <c r="F20" s="37">
        <f ca="1">E20+3</f>
        <v>45930</v>
      </c>
      <c r="G20" s="38">
        <v>3</v>
      </c>
      <c r="H20" s="39">
        <v>0</v>
      </c>
      <c r="I20" s="53"/>
      <c r="J20" s="54"/>
      <c r="K20" s="55"/>
      <c r="L20" s="56"/>
      <c r="M20" s="57"/>
      <c r="N20" s="58"/>
      <c r="O20" s="59"/>
      <c r="P20" s="59"/>
      <c r="Q20" s="59"/>
      <c r="R20" s="59"/>
      <c r="S20" s="55"/>
      <c r="T20" s="55"/>
      <c r="U20" s="55"/>
      <c r="V20" s="55"/>
      <c r="W20" s="55"/>
      <c r="X20" s="55"/>
      <c r="Y20" s="55"/>
      <c r="Z20" s="55"/>
      <c r="AA20" s="55"/>
      <c r="AB20" s="46"/>
      <c r="AC20" s="46"/>
      <c r="AD20" s="46"/>
      <c r="AE20" s="61"/>
      <c r="AF20" s="61"/>
      <c r="AG20" s="61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62"/>
      <c r="AS20" s="62"/>
      <c r="AT20" s="62"/>
      <c r="AU20" s="62"/>
      <c r="AV20" s="62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63"/>
      <c r="BH20" s="63"/>
      <c r="BI20" s="63"/>
      <c r="BJ20" s="63"/>
      <c r="BK20" s="63"/>
      <c r="BL20" s="55"/>
      <c r="BM20" s="55"/>
      <c r="BN20" s="55"/>
      <c r="BO20" s="55"/>
      <c r="BP20" s="64"/>
      <c r="BQ20" s="34"/>
    </row>
    <row r="21" spans="1:69" ht="17.25" customHeight="1" outlineLevel="1" x14ac:dyDescent="0.2">
      <c r="A21" s="34"/>
      <c r="B21" s="35">
        <v>43161</v>
      </c>
      <c r="C21" s="36" t="s">
        <v>56</v>
      </c>
      <c r="D21" s="36" t="s">
        <v>45</v>
      </c>
      <c r="E21" s="80" t="s">
        <v>57</v>
      </c>
      <c r="F21" s="80" t="s">
        <v>57</v>
      </c>
      <c r="G21" s="38">
        <v>0</v>
      </c>
      <c r="H21" s="39">
        <v>0</v>
      </c>
      <c r="I21" s="53"/>
      <c r="J21" s="54"/>
      <c r="K21" s="55"/>
      <c r="L21" s="56"/>
      <c r="M21" s="57"/>
      <c r="N21" s="58"/>
      <c r="O21" s="59"/>
      <c r="P21" s="59"/>
      <c r="Q21" s="59"/>
      <c r="R21" s="59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61"/>
      <c r="AD21" s="61"/>
      <c r="AE21" s="61"/>
      <c r="AF21" s="61"/>
      <c r="AG21" s="61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62"/>
      <c r="AS21" s="62"/>
      <c r="AT21" s="62"/>
      <c r="AU21" s="62"/>
      <c r="AV21" s="62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63"/>
      <c r="BH21" s="63"/>
      <c r="BI21" s="63"/>
      <c r="BJ21" s="63"/>
      <c r="BK21" s="63"/>
      <c r="BL21" s="55"/>
      <c r="BM21" s="55"/>
      <c r="BN21" s="55"/>
      <c r="BO21" s="55"/>
      <c r="BP21" s="64"/>
      <c r="BQ21" s="34"/>
    </row>
    <row r="22" spans="1:69" ht="17.25" customHeight="1" outlineLevel="1" x14ac:dyDescent="0.2">
      <c r="A22" s="34"/>
      <c r="B22" s="35">
        <v>43192</v>
      </c>
      <c r="C22" s="36" t="s">
        <v>58</v>
      </c>
      <c r="D22" s="36" t="s">
        <v>45</v>
      </c>
      <c r="E22" s="80" t="s">
        <v>57</v>
      </c>
      <c r="F22" s="80" t="s">
        <v>57</v>
      </c>
      <c r="G22" s="38">
        <v>0</v>
      </c>
      <c r="H22" s="81">
        <v>0</v>
      </c>
      <c r="I22" s="53"/>
      <c r="J22" s="54"/>
      <c r="K22" s="55"/>
      <c r="L22" s="56"/>
      <c r="M22" s="57"/>
      <c r="N22" s="58"/>
      <c r="O22" s="59"/>
      <c r="P22" s="59"/>
      <c r="Q22" s="59"/>
      <c r="R22" s="59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61"/>
      <c r="AD22" s="61"/>
      <c r="AE22" s="61"/>
      <c r="AF22" s="61"/>
      <c r="AG22" s="61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62"/>
      <c r="AS22" s="62"/>
      <c r="AT22" s="62"/>
      <c r="AU22" s="62"/>
      <c r="AV22" s="62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63"/>
      <c r="BH22" s="63"/>
      <c r="BI22" s="63"/>
      <c r="BJ22" s="63"/>
      <c r="BK22" s="63"/>
      <c r="BL22" s="55"/>
      <c r="BM22" s="55"/>
      <c r="BN22" s="55"/>
      <c r="BO22" s="55"/>
      <c r="BP22" s="64"/>
      <c r="BQ22" s="34"/>
    </row>
    <row r="23" spans="1:69" ht="21" customHeight="1" x14ac:dyDescent="0.2">
      <c r="A23" s="14"/>
      <c r="B23" s="27">
        <v>3</v>
      </c>
      <c r="C23" s="28" t="s">
        <v>43</v>
      </c>
      <c r="D23" s="29"/>
      <c r="E23" s="77"/>
      <c r="F23" s="77"/>
      <c r="G23" s="29"/>
      <c r="H23" s="29"/>
      <c r="I23" s="30"/>
      <c r="J23" s="31"/>
      <c r="K23" s="32"/>
      <c r="L23" s="32"/>
      <c r="M23" s="33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14"/>
    </row>
    <row r="24" spans="1:69" ht="17.25" customHeight="1" outlineLevel="1" x14ac:dyDescent="0.2">
      <c r="A24" s="34"/>
      <c r="B24" s="82" t="s">
        <v>59</v>
      </c>
      <c r="C24" s="36" t="s">
        <v>60</v>
      </c>
      <c r="D24" s="36" t="s">
        <v>45</v>
      </c>
      <c r="E24" s="80" t="s">
        <v>57</v>
      </c>
      <c r="F24" s="80" t="s">
        <v>57</v>
      </c>
      <c r="G24" s="38">
        <v>0</v>
      </c>
      <c r="H24" s="39">
        <v>0</v>
      </c>
      <c r="I24" s="40"/>
      <c r="J24" s="41"/>
      <c r="K24" s="42"/>
      <c r="L24" s="43"/>
      <c r="M24" s="78"/>
      <c r="N24" s="58"/>
      <c r="O24" s="59"/>
      <c r="P24" s="59"/>
      <c r="Q24" s="59"/>
      <c r="R24" s="59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8"/>
      <c r="AD24" s="48"/>
      <c r="AE24" s="48"/>
      <c r="AF24" s="48"/>
      <c r="AG24" s="48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9"/>
      <c r="AS24" s="49"/>
      <c r="AT24" s="49"/>
      <c r="AU24" s="49"/>
      <c r="AV24" s="49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50"/>
      <c r="BH24" s="50"/>
      <c r="BI24" s="50"/>
      <c r="BJ24" s="50"/>
      <c r="BK24" s="50"/>
      <c r="BL24" s="42"/>
      <c r="BM24" s="42"/>
      <c r="BN24" s="42"/>
      <c r="BO24" s="42"/>
      <c r="BP24" s="51"/>
      <c r="BQ24" s="34"/>
    </row>
    <row r="25" spans="1:69" ht="17.25" customHeight="1" outlineLevel="1" x14ac:dyDescent="0.2">
      <c r="A25" s="34"/>
      <c r="B25" s="82" t="s">
        <v>61</v>
      </c>
      <c r="C25" s="36" t="s">
        <v>62</v>
      </c>
      <c r="D25" s="36" t="s">
        <v>45</v>
      </c>
      <c r="E25" s="80" t="s">
        <v>57</v>
      </c>
      <c r="F25" s="80" t="s">
        <v>57</v>
      </c>
      <c r="G25" s="38">
        <v>0</v>
      </c>
      <c r="H25" s="39">
        <v>0</v>
      </c>
      <c r="I25" s="53"/>
      <c r="J25" s="54"/>
      <c r="K25" s="55"/>
      <c r="L25" s="56"/>
      <c r="M25" s="57"/>
      <c r="N25" s="58"/>
      <c r="O25" s="59"/>
      <c r="P25" s="59"/>
      <c r="Q25" s="59"/>
      <c r="R25" s="59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61"/>
      <c r="AD25" s="61"/>
      <c r="AE25" s="61"/>
      <c r="AF25" s="61"/>
      <c r="AG25" s="61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62"/>
      <c r="AS25" s="62"/>
      <c r="AT25" s="62"/>
      <c r="AU25" s="62"/>
      <c r="AV25" s="62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63"/>
      <c r="BH25" s="63"/>
      <c r="BI25" s="63"/>
      <c r="BJ25" s="63"/>
      <c r="BK25" s="63"/>
      <c r="BL25" s="55"/>
      <c r="BM25" s="55"/>
      <c r="BN25" s="55"/>
      <c r="BO25" s="55"/>
      <c r="BP25" s="64"/>
      <c r="BQ25" s="34"/>
    </row>
    <row r="26" spans="1:69" ht="17.25" customHeight="1" outlineLevel="1" x14ac:dyDescent="0.2">
      <c r="A26" s="34"/>
      <c r="B26" s="83" t="s">
        <v>63</v>
      </c>
      <c r="C26" s="36" t="s">
        <v>64</v>
      </c>
      <c r="D26" s="36" t="s">
        <v>45</v>
      </c>
      <c r="E26" s="80" t="s">
        <v>57</v>
      </c>
      <c r="F26" s="80" t="s">
        <v>57</v>
      </c>
      <c r="G26" s="38">
        <v>0</v>
      </c>
      <c r="H26" s="39">
        <v>0</v>
      </c>
      <c r="I26" s="53"/>
      <c r="J26" s="54"/>
      <c r="K26" s="55"/>
      <c r="L26" s="56"/>
      <c r="M26" s="57"/>
      <c r="N26" s="58"/>
      <c r="O26" s="59"/>
      <c r="P26" s="59"/>
      <c r="Q26" s="59"/>
      <c r="R26" s="59"/>
      <c r="S26" s="42"/>
      <c r="T26" s="42"/>
      <c r="U26" s="42"/>
      <c r="V26" s="42"/>
      <c r="W26" s="55"/>
      <c r="X26" s="55"/>
      <c r="Y26" s="55"/>
      <c r="Z26" s="55"/>
      <c r="AA26" s="55"/>
      <c r="AB26" s="55"/>
      <c r="AC26" s="61"/>
      <c r="AD26" s="61"/>
      <c r="AE26" s="61"/>
      <c r="AF26" s="61"/>
      <c r="AG26" s="61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62"/>
      <c r="AS26" s="62"/>
      <c r="AT26" s="62"/>
      <c r="AU26" s="62"/>
      <c r="AV26" s="62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63"/>
      <c r="BH26" s="63"/>
      <c r="BI26" s="63"/>
      <c r="BJ26" s="63"/>
      <c r="BK26" s="63"/>
      <c r="BL26" s="55"/>
      <c r="BM26" s="55"/>
      <c r="BN26" s="55"/>
      <c r="BO26" s="55"/>
      <c r="BP26" s="64"/>
      <c r="BQ26" s="34"/>
    </row>
    <row r="27" spans="1:69" ht="17.25" customHeight="1" outlineLevel="1" x14ac:dyDescent="0.2">
      <c r="A27" s="34"/>
      <c r="B27" s="83" t="s">
        <v>65</v>
      </c>
      <c r="C27" s="36" t="s">
        <v>66</v>
      </c>
      <c r="D27" s="36" t="s">
        <v>45</v>
      </c>
      <c r="E27" s="80" t="s">
        <v>57</v>
      </c>
      <c r="F27" s="80" t="s">
        <v>57</v>
      </c>
      <c r="G27" s="38">
        <v>0</v>
      </c>
      <c r="H27" s="81">
        <v>0</v>
      </c>
      <c r="I27" s="53"/>
      <c r="J27" s="54"/>
      <c r="K27" s="55"/>
      <c r="L27" s="56"/>
      <c r="M27" s="57"/>
      <c r="N27" s="58"/>
      <c r="O27" s="59"/>
      <c r="P27" s="59"/>
      <c r="Q27" s="59"/>
      <c r="R27" s="59"/>
      <c r="S27" s="42"/>
      <c r="T27" s="42"/>
      <c r="U27" s="42"/>
      <c r="V27" s="42"/>
      <c r="W27" s="55"/>
      <c r="X27" s="55"/>
      <c r="Y27" s="55"/>
      <c r="Z27" s="55"/>
      <c r="AA27" s="55"/>
      <c r="AB27" s="55"/>
      <c r="AC27" s="61"/>
      <c r="AD27" s="61"/>
      <c r="AE27" s="61"/>
      <c r="AF27" s="61"/>
      <c r="AG27" s="61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62"/>
      <c r="AS27" s="62"/>
      <c r="AT27" s="62"/>
      <c r="AU27" s="62"/>
      <c r="AV27" s="62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63"/>
      <c r="BH27" s="63"/>
      <c r="BI27" s="63"/>
      <c r="BJ27" s="63"/>
      <c r="BK27" s="63"/>
      <c r="BL27" s="55"/>
      <c r="BM27" s="55"/>
      <c r="BN27" s="55"/>
      <c r="BO27" s="55"/>
      <c r="BP27" s="64"/>
      <c r="BQ27" s="34"/>
    </row>
    <row r="28" spans="1:69" ht="17.25" customHeight="1" outlineLevel="1" x14ac:dyDescent="0.2">
      <c r="A28" s="34"/>
      <c r="B28" s="82" t="s">
        <v>67</v>
      </c>
      <c r="C28" s="36" t="s">
        <v>68</v>
      </c>
      <c r="D28" s="36" t="s">
        <v>45</v>
      </c>
      <c r="E28" s="80" t="s">
        <v>57</v>
      </c>
      <c r="F28" s="80" t="s">
        <v>57</v>
      </c>
      <c r="G28" s="38">
        <v>0</v>
      </c>
      <c r="H28" s="39">
        <v>0</v>
      </c>
      <c r="I28" s="53"/>
      <c r="J28" s="54"/>
      <c r="K28" s="55"/>
      <c r="L28" s="56"/>
      <c r="M28" s="57"/>
      <c r="N28" s="58"/>
      <c r="O28" s="59"/>
      <c r="P28" s="59"/>
      <c r="Q28" s="59"/>
      <c r="R28" s="59"/>
      <c r="S28" s="42"/>
      <c r="T28" s="42"/>
      <c r="U28" s="42"/>
      <c r="V28" s="42"/>
      <c r="W28" s="55"/>
      <c r="X28" s="55"/>
      <c r="Y28" s="55"/>
      <c r="Z28" s="55"/>
      <c r="AA28" s="55"/>
      <c r="AB28" s="55"/>
      <c r="AC28" s="61"/>
      <c r="AD28" s="61"/>
      <c r="AE28" s="61"/>
      <c r="AF28" s="61"/>
      <c r="AG28" s="61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62"/>
      <c r="AS28" s="62"/>
      <c r="AT28" s="62"/>
      <c r="AU28" s="62"/>
      <c r="AV28" s="62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63"/>
      <c r="BH28" s="63"/>
      <c r="BI28" s="63"/>
      <c r="BJ28" s="63"/>
      <c r="BK28" s="63"/>
      <c r="BL28" s="55"/>
      <c r="BM28" s="55"/>
      <c r="BN28" s="55"/>
      <c r="BO28" s="55"/>
      <c r="BP28" s="64"/>
      <c r="BQ28" s="34"/>
    </row>
    <row r="29" spans="1:69" ht="17.25" customHeight="1" outlineLevel="1" x14ac:dyDescent="0.2">
      <c r="A29" s="34"/>
      <c r="B29" s="83" t="s">
        <v>69</v>
      </c>
      <c r="C29" s="36" t="s">
        <v>70</v>
      </c>
      <c r="D29" s="36" t="s">
        <v>45</v>
      </c>
      <c r="E29" s="80" t="s">
        <v>57</v>
      </c>
      <c r="F29" s="80" t="s">
        <v>57</v>
      </c>
      <c r="G29" s="38">
        <v>0</v>
      </c>
      <c r="H29" s="39">
        <v>0</v>
      </c>
      <c r="I29" s="53"/>
      <c r="J29" s="54"/>
      <c r="K29" s="55"/>
      <c r="L29" s="56"/>
      <c r="M29" s="57"/>
      <c r="N29" s="58"/>
      <c r="O29" s="59"/>
      <c r="P29" s="59"/>
      <c r="Q29" s="59"/>
      <c r="R29" s="59"/>
      <c r="S29" s="42"/>
      <c r="T29" s="42"/>
      <c r="U29" s="42"/>
      <c r="V29" s="42"/>
      <c r="W29" s="55"/>
      <c r="X29" s="55"/>
      <c r="Y29" s="55"/>
      <c r="Z29" s="55"/>
      <c r="AA29" s="55"/>
      <c r="AB29" s="55"/>
      <c r="AC29" s="61"/>
      <c r="AD29" s="61"/>
      <c r="AE29" s="61"/>
      <c r="AF29" s="61"/>
      <c r="AG29" s="61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62"/>
      <c r="AS29" s="62"/>
      <c r="AT29" s="62"/>
      <c r="AU29" s="62"/>
      <c r="AV29" s="62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63"/>
      <c r="BH29" s="63"/>
      <c r="BI29" s="63"/>
      <c r="BJ29" s="63"/>
      <c r="BK29" s="63"/>
      <c r="BL29" s="55"/>
      <c r="BM29" s="55"/>
      <c r="BN29" s="55"/>
      <c r="BO29" s="55"/>
      <c r="BP29" s="64"/>
      <c r="BQ29" s="34"/>
    </row>
    <row r="30" spans="1:69" ht="21" customHeight="1" x14ac:dyDescent="0.2">
      <c r="A30" s="14"/>
      <c r="B30" s="27">
        <v>4</v>
      </c>
      <c r="C30" s="28" t="s">
        <v>71</v>
      </c>
      <c r="D30" s="29"/>
      <c r="E30" s="77"/>
      <c r="F30" s="77"/>
      <c r="G30" s="29"/>
      <c r="H30" s="29"/>
      <c r="I30" s="30"/>
      <c r="J30" s="31"/>
      <c r="K30" s="32"/>
      <c r="L30" s="32"/>
      <c r="M30" s="33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14"/>
    </row>
    <row r="31" spans="1:69" ht="17.25" customHeight="1" outlineLevel="1" x14ac:dyDescent="0.2">
      <c r="A31" s="34"/>
      <c r="B31" s="35">
        <v>43104</v>
      </c>
      <c r="C31" s="36" t="s">
        <v>72</v>
      </c>
      <c r="D31" s="36" t="s">
        <v>45</v>
      </c>
      <c r="E31" s="80" t="s">
        <v>57</v>
      </c>
      <c r="F31" s="80" t="s">
        <v>57</v>
      </c>
      <c r="G31" s="38">
        <v>0</v>
      </c>
      <c r="H31" s="39">
        <v>0</v>
      </c>
      <c r="I31" s="40"/>
      <c r="J31" s="41"/>
      <c r="K31" s="42"/>
      <c r="L31" s="43"/>
      <c r="M31" s="78"/>
      <c r="N31" s="79"/>
      <c r="O31" s="47"/>
      <c r="P31" s="47"/>
      <c r="Q31" s="47"/>
      <c r="R31" s="47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8"/>
      <c r="AD31" s="48"/>
      <c r="AE31" s="48"/>
      <c r="AF31" s="48"/>
      <c r="AG31" s="48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9"/>
      <c r="AS31" s="49"/>
      <c r="AT31" s="49"/>
      <c r="AU31" s="49"/>
      <c r="AV31" s="49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50"/>
      <c r="BH31" s="50"/>
      <c r="BI31" s="50"/>
      <c r="BJ31" s="50"/>
      <c r="BK31" s="50"/>
      <c r="BL31" s="42"/>
      <c r="BM31" s="42"/>
      <c r="BN31" s="42"/>
      <c r="BO31" s="42"/>
      <c r="BP31" s="51"/>
      <c r="BQ31" s="34"/>
    </row>
    <row r="32" spans="1:69" ht="17.25" customHeight="1" outlineLevel="1" x14ac:dyDescent="0.2">
      <c r="A32" s="34"/>
      <c r="B32" s="35">
        <v>43135</v>
      </c>
      <c r="C32" s="36" t="s">
        <v>73</v>
      </c>
      <c r="D32" s="36" t="s">
        <v>45</v>
      </c>
      <c r="E32" s="80" t="s">
        <v>57</v>
      </c>
      <c r="F32" s="80" t="s">
        <v>57</v>
      </c>
      <c r="G32" s="38">
        <v>0</v>
      </c>
      <c r="H32" s="39">
        <v>0</v>
      </c>
      <c r="I32" s="53"/>
      <c r="J32" s="54"/>
      <c r="K32" s="55"/>
      <c r="L32" s="56"/>
      <c r="M32" s="57"/>
      <c r="N32" s="79"/>
      <c r="O32" s="47"/>
      <c r="P32" s="47"/>
      <c r="Q32" s="47"/>
      <c r="R32" s="47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61"/>
      <c r="AD32" s="61"/>
      <c r="AE32" s="61"/>
      <c r="AF32" s="61"/>
      <c r="AG32" s="61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62"/>
      <c r="AS32" s="62"/>
      <c r="AT32" s="62"/>
      <c r="AU32" s="62"/>
      <c r="AV32" s="62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63"/>
      <c r="BH32" s="63"/>
      <c r="BI32" s="63"/>
      <c r="BJ32" s="63"/>
      <c r="BK32" s="63"/>
      <c r="BL32" s="55"/>
      <c r="BM32" s="55"/>
      <c r="BN32" s="55"/>
      <c r="BO32" s="55"/>
      <c r="BP32" s="64"/>
      <c r="BQ32" s="34"/>
    </row>
    <row r="33" spans="1:69" ht="17.25" customHeight="1" outlineLevel="1" x14ac:dyDescent="0.2">
      <c r="A33" s="34"/>
      <c r="B33" s="35">
        <v>43163</v>
      </c>
      <c r="C33" s="36" t="s">
        <v>74</v>
      </c>
      <c r="D33" s="36" t="s">
        <v>45</v>
      </c>
      <c r="E33" s="80" t="s">
        <v>57</v>
      </c>
      <c r="F33" s="80" t="s">
        <v>57</v>
      </c>
      <c r="G33" s="38">
        <v>0</v>
      </c>
      <c r="H33" s="39">
        <v>0</v>
      </c>
      <c r="I33" s="53"/>
      <c r="J33" s="54"/>
      <c r="K33" s="55"/>
      <c r="L33" s="56"/>
      <c r="M33" s="57"/>
      <c r="N33" s="79"/>
      <c r="O33" s="47"/>
      <c r="P33" s="47"/>
      <c r="Q33" s="47"/>
      <c r="R33" s="47"/>
      <c r="S33" s="42"/>
      <c r="T33" s="42"/>
      <c r="U33" s="42"/>
      <c r="V33" s="42"/>
      <c r="W33" s="55"/>
      <c r="X33" s="55"/>
      <c r="Y33" s="55"/>
      <c r="Z33" s="55"/>
      <c r="AA33" s="55"/>
      <c r="AB33" s="55"/>
      <c r="AC33" s="61"/>
      <c r="AD33" s="61"/>
      <c r="AE33" s="61"/>
      <c r="AF33" s="61"/>
      <c r="AG33" s="61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62"/>
      <c r="AS33" s="62"/>
      <c r="AT33" s="62"/>
      <c r="AU33" s="62"/>
      <c r="AV33" s="62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63"/>
      <c r="BH33" s="63"/>
      <c r="BI33" s="63"/>
      <c r="BJ33" s="63"/>
      <c r="BK33" s="63"/>
      <c r="BL33" s="55"/>
      <c r="BM33" s="55"/>
      <c r="BN33" s="55"/>
      <c r="BO33" s="55"/>
      <c r="BP33" s="64"/>
      <c r="BQ33" s="34"/>
    </row>
    <row r="34" spans="1:69" ht="17.25" customHeight="1" outlineLevel="1" x14ac:dyDescent="0.2">
      <c r="A34" s="34"/>
      <c r="B34" s="35">
        <v>43194</v>
      </c>
      <c r="C34" s="36" t="s">
        <v>75</v>
      </c>
      <c r="D34" s="36" t="s">
        <v>45</v>
      </c>
      <c r="E34" s="80" t="s">
        <v>57</v>
      </c>
      <c r="F34" s="80" t="s">
        <v>57</v>
      </c>
      <c r="G34" s="38">
        <v>0</v>
      </c>
      <c r="H34" s="81">
        <v>0</v>
      </c>
      <c r="I34" s="53"/>
      <c r="J34" s="54"/>
      <c r="K34" s="55"/>
      <c r="L34" s="56"/>
      <c r="M34" s="84"/>
      <c r="N34" s="79"/>
      <c r="O34" s="47"/>
      <c r="P34" s="47"/>
      <c r="Q34" s="47"/>
      <c r="R34" s="47"/>
      <c r="S34" s="42"/>
      <c r="T34" s="42"/>
      <c r="U34" s="42"/>
      <c r="V34" s="42"/>
      <c r="W34" s="55"/>
      <c r="X34" s="55"/>
      <c r="Y34" s="55"/>
      <c r="Z34" s="55"/>
      <c r="AA34" s="55"/>
      <c r="AB34" s="55"/>
      <c r="AC34" s="61"/>
      <c r="AD34" s="61"/>
      <c r="AE34" s="61"/>
      <c r="AF34" s="61"/>
      <c r="AG34" s="61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62"/>
      <c r="AS34" s="62"/>
      <c r="AT34" s="62"/>
      <c r="AU34" s="62"/>
      <c r="AV34" s="62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63"/>
      <c r="BH34" s="63"/>
      <c r="BI34" s="63"/>
      <c r="BJ34" s="63"/>
      <c r="BK34" s="63"/>
      <c r="BL34" s="55"/>
      <c r="BM34" s="55"/>
      <c r="BN34" s="55"/>
      <c r="BO34" s="55"/>
      <c r="BP34" s="64"/>
      <c r="BQ34" s="34"/>
    </row>
    <row r="35" spans="1:69" ht="21" customHeight="1" x14ac:dyDescent="0.2">
      <c r="A35" s="14"/>
      <c r="B35" s="85"/>
      <c r="C35" s="14"/>
      <c r="D35" s="14"/>
      <c r="E35" s="14"/>
      <c r="F35" s="14"/>
      <c r="G35" s="86"/>
      <c r="H35" s="86"/>
      <c r="I35" s="14"/>
      <c r="J35" s="14"/>
      <c r="K35" s="14"/>
      <c r="L35" s="180" t="s">
        <v>76</v>
      </c>
      <c r="M35" s="153"/>
      <c r="N35" s="153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21" customHeight="1" x14ac:dyDescent="0.2">
      <c r="A36" s="14"/>
      <c r="B36" s="149" t="s">
        <v>3</v>
      </c>
      <c r="C36" s="150"/>
      <c r="D36" s="150"/>
      <c r="E36" s="150"/>
      <c r="F36" s="150"/>
      <c r="G36" s="150"/>
      <c r="H36" s="150"/>
      <c r="I36" s="150"/>
      <c r="J36" s="151"/>
      <c r="K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21" customHeight="1" x14ac:dyDescent="0.2">
      <c r="A37" s="14"/>
      <c r="B37" s="152" t="s">
        <v>4</v>
      </c>
      <c r="C37" s="153"/>
      <c r="D37" s="153"/>
      <c r="E37" s="153"/>
      <c r="F37" s="153"/>
      <c r="G37" s="153"/>
      <c r="H37" s="153"/>
      <c r="I37" s="153"/>
      <c r="J37" s="15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21" customHeight="1" x14ac:dyDescent="0.2">
      <c r="A38" s="14"/>
      <c r="B38" s="155"/>
      <c r="C38" s="156"/>
      <c r="D38" s="156"/>
      <c r="E38" s="156"/>
      <c r="F38" s="156"/>
      <c r="G38" s="156"/>
      <c r="H38" s="156"/>
      <c r="I38" s="156"/>
      <c r="J38" s="15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</sheetData>
  <mergeCells count="42">
    <mergeCell ref="L35:N35"/>
    <mergeCell ref="B36:J36"/>
    <mergeCell ref="B37:J38"/>
    <mergeCell ref="B7:B9"/>
    <mergeCell ref="C7:C9"/>
    <mergeCell ref="D7:D9"/>
    <mergeCell ref="E7:E9"/>
    <mergeCell ref="F7:F9"/>
    <mergeCell ref="G7:G9"/>
    <mergeCell ref="H7:H9"/>
    <mergeCell ref="I7:W7"/>
    <mergeCell ref="I8:M8"/>
    <mergeCell ref="N8:R8"/>
    <mergeCell ref="S8:W8"/>
    <mergeCell ref="X7:AL7"/>
    <mergeCell ref="AM7:BA7"/>
    <mergeCell ref="BB7:BP7"/>
    <mergeCell ref="AR8:AV8"/>
    <mergeCell ref="AW8:BA8"/>
    <mergeCell ref="BB8:BF8"/>
    <mergeCell ref="BG8:BK8"/>
    <mergeCell ref="BL8:BP8"/>
    <mergeCell ref="X8:AB8"/>
    <mergeCell ref="AC8:AG8"/>
    <mergeCell ref="AH8:AL8"/>
    <mergeCell ref="AM8:AQ8"/>
    <mergeCell ref="D5:G5"/>
    <mergeCell ref="I5:AB5"/>
    <mergeCell ref="I3:O3"/>
    <mergeCell ref="P3:AB3"/>
    <mergeCell ref="B4:C4"/>
    <mergeCell ref="D4:G4"/>
    <mergeCell ref="I4:O4"/>
    <mergeCell ref="P4:AA4"/>
    <mergeCell ref="B5:C5"/>
    <mergeCell ref="B1:G1"/>
    <mergeCell ref="I1:N1"/>
    <mergeCell ref="O1:AE1"/>
    <mergeCell ref="AH1:BA1"/>
    <mergeCell ref="AH2:BA3"/>
    <mergeCell ref="B3:C3"/>
    <mergeCell ref="D3:G3"/>
  </mergeCells>
  <conditionalFormatting sqref="H11:H17 H19:H3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AH2" r:id="rId1" xr:uid="{00000000-0004-0000-0000-000000000000}"/>
    <hyperlink ref="P3" r:id="rId2" xr:uid="{00000000-0004-0000-0000-000001000000}"/>
    <hyperlink ref="B4" r:id="rId3" xr:uid="{00000000-0004-0000-0000-000002000000}"/>
    <hyperlink ref="D5" r:id="rId4" xr:uid="{00000000-0004-0000-0000-000003000000}"/>
    <hyperlink ref="I5" r:id="rId5" xr:uid="{00000000-0004-0000-0000-000004000000}"/>
    <hyperlink ref="B37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BQ38"/>
  <sheetViews>
    <sheetView showGridLines="0" workbookViewId="0">
      <pane ySplit="9" topLeftCell="A12" activePane="bottomLeft" state="frozen"/>
      <selection pane="bottomLeft" activeCell="B11" sqref="B11"/>
    </sheetView>
  </sheetViews>
  <sheetFormatPr defaultColWidth="12.5703125" defaultRowHeight="15.75" customHeight="1" outlineLevelRow="1" x14ac:dyDescent="0.2"/>
  <cols>
    <col min="1" max="1" width="2.28515625" customWidth="1"/>
    <col min="2" max="2" width="8.5703125" customWidth="1"/>
    <col min="3" max="3" width="32.28515625" customWidth="1"/>
    <col min="4" max="4" width="10.5703125" customWidth="1"/>
    <col min="5" max="5" width="8.7109375" customWidth="1"/>
    <col min="6" max="6" width="8.5703125" customWidth="1"/>
    <col min="7" max="7" width="7.7109375" customWidth="1"/>
    <col min="8" max="8" width="9.5703125" customWidth="1"/>
    <col min="9" max="68" width="3" customWidth="1"/>
    <col min="69" max="69" width="3.42578125" customWidth="1"/>
  </cols>
  <sheetData>
    <row r="1" spans="1:69" ht="41.25" x14ac:dyDescent="0.2">
      <c r="A1" s="1"/>
      <c r="B1" s="187" t="s">
        <v>0</v>
      </c>
      <c r="C1" s="146"/>
      <c r="D1" s="146"/>
      <c r="E1" s="146"/>
      <c r="F1" s="146"/>
      <c r="G1" s="146"/>
      <c r="H1" s="2"/>
      <c r="I1" s="147" t="s">
        <v>1</v>
      </c>
      <c r="J1" s="146"/>
      <c r="K1" s="146"/>
      <c r="L1" s="146"/>
      <c r="M1" s="146"/>
      <c r="N1" s="146"/>
      <c r="O1" s="148" t="s">
        <v>2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12" customHeight="1" x14ac:dyDescent="0.2">
      <c r="A2" s="1"/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7"/>
      <c r="N2" s="7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8"/>
      <c r="AE2" s="8"/>
      <c r="AF2" s="8"/>
      <c r="AG2" s="8"/>
      <c r="AH2" s="8"/>
      <c r="AI2" s="8"/>
      <c r="AJ2" s="8"/>
      <c r="AK2" s="8"/>
      <c r="AL2" s="8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55000000000000004">
      <c r="A3" s="1"/>
      <c r="B3" s="158" t="s">
        <v>5</v>
      </c>
      <c r="C3" s="159"/>
      <c r="D3" s="160" t="s">
        <v>6</v>
      </c>
      <c r="E3" s="161"/>
      <c r="F3" s="161"/>
      <c r="G3" s="159"/>
      <c r="H3" s="87"/>
      <c r="I3" s="164" t="s">
        <v>7</v>
      </c>
      <c r="J3" s="165"/>
      <c r="K3" s="165"/>
      <c r="L3" s="165"/>
      <c r="M3" s="165"/>
      <c r="N3" s="165"/>
      <c r="O3" s="165"/>
      <c r="P3" s="166" t="s">
        <v>8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0"/>
      <c r="AD3" s="8"/>
      <c r="AE3" s="149" t="s">
        <v>3</v>
      </c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 x14ac:dyDescent="0.55000000000000004">
      <c r="A4" s="1"/>
      <c r="B4" s="158" t="s">
        <v>9</v>
      </c>
      <c r="C4" s="159"/>
      <c r="D4" s="188" t="s">
        <v>10</v>
      </c>
      <c r="E4" s="161"/>
      <c r="F4" s="161"/>
      <c r="G4" s="159"/>
      <c r="H4" s="88"/>
      <c r="I4" s="168" t="s">
        <v>11</v>
      </c>
      <c r="J4" s="153"/>
      <c r="K4" s="153"/>
      <c r="L4" s="153"/>
      <c r="M4" s="153"/>
      <c r="N4" s="153"/>
      <c r="O4" s="153"/>
      <c r="P4" s="189">
        <f ca="1">TODAY()</f>
        <v>45909</v>
      </c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2"/>
      <c r="AC4" s="10"/>
      <c r="AD4" s="1"/>
      <c r="AE4" s="152" t="s">
        <v>4</v>
      </c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4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2">
      <c r="A5" s="14"/>
      <c r="B5" s="170" t="s">
        <v>12</v>
      </c>
      <c r="C5" s="159"/>
      <c r="D5" s="190" t="s">
        <v>13</v>
      </c>
      <c r="E5" s="161"/>
      <c r="F5" s="161"/>
      <c r="G5" s="159"/>
      <c r="H5" s="15"/>
      <c r="I5" s="163" t="s">
        <v>77</v>
      </c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59"/>
      <c r="AC5" s="14"/>
      <c r="AD5" s="14"/>
      <c r="AE5" s="155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7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8.25" customHeight="1" x14ac:dyDescent="0.2">
      <c r="A6" s="14"/>
      <c r="B6" s="16"/>
      <c r="C6" s="16"/>
      <c r="D6" s="16"/>
      <c r="E6" s="16"/>
      <c r="F6" s="16"/>
      <c r="G6" s="15"/>
      <c r="H6" s="15"/>
      <c r="I6" s="16"/>
      <c r="J6" s="16"/>
      <c r="K6" s="16"/>
      <c r="L6" s="1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ht="17.25" customHeight="1" x14ac:dyDescent="0.2">
      <c r="A7" s="17"/>
      <c r="B7" s="181" t="s">
        <v>15</v>
      </c>
      <c r="C7" s="181" t="s">
        <v>16</v>
      </c>
      <c r="D7" s="181" t="s">
        <v>17</v>
      </c>
      <c r="E7" s="181" t="s">
        <v>18</v>
      </c>
      <c r="F7" s="181" t="s">
        <v>19</v>
      </c>
      <c r="G7" s="181" t="s">
        <v>20</v>
      </c>
      <c r="H7" s="181" t="s">
        <v>21</v>
      </c>
      <c r="I7" s="184" t="s">
        <v>22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71" t="s">
        <v>23</v>
      </c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72" t="s">
        <v>24</v>
      </c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73" t="s">
        <v>25</v>
      </c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74"/>
      <c r="BQ7" s="14"/>
    </row>
    <row r="8" spans="1:69" ht="17.25" customHeight="1" x14ac:dyDescent="0.2">
      <c r="A8" s="18"/>
      <c r="B8" s="182"/>
      <c r="C8" s="182"/>
      <c r="D8" s="182"/>
      <c r="E8" s="182"/>
      <c r="F8" s="182"/>
      <c r="G8" s="182"/>
      <c r="H8" s="182"/>
      <c r="I8" s="185" t="s">
        <v>26</v>
      </c>
      <c r="J8" s="176"/>
      <c r="K8" s="176"/>
      <c r="L8" s="176"/>
      <c r="M8" s="177"/>
      <c r="N8" s="186" t="s">
        <v>27</v>
      </c>
      <c r="O8" s="176"/>
      <c r="P8" s="176"/>
      <c r="Q8" s="176"/>
      <c r="R8" s="177"/>
      <c r="S8" s="186" t="s">
        <v>28</v>
      </c>
      <c r="T8" s="176"/>
      <c r="U8" s="176"/>
      <c r="V8" s="176"/>
      <c r="W8" s="177"/>
      <c r="X8" s="179" t="s">
        <v>29</v>
      </c>
      <c r="Y8" s="176"/>
      <c r="Z8" s="176"/>
      <c r="AA8" s="176"/>
      <c r="AB8" s="177"/>
      <c r="AC8" s="179" t="s">
        <v>30</v>
      </c>
      <c r="AD8" s="176"/>
      <c r="AE8" s="176"/>
      <c r="AF8" s="176"/>
      <c r="AG8" s="177"/>
      <c r="AH8" s="179" t="s">
        <v>31</v>
      </c>
      <c r="AI8" s="176"/>
      <c r="AJ8" s="176"/>
      <c r="AK8" s="176"/>
      <c r="AL8" s="177"/>
      <c r="AM8" s="175" t="s">
        <v>32</v>
      </c>
      <c r="AN8" s="176"/>
      <c r="AO8" s="176"/>
      <c r="AP8" s="176"/>
      <c r="AQ8" s="177"/>
      <c r="AR8" s="175" t="s">
        <v>33</v>
      </c>
      <c r="AS8" s="176"/>
      <c r="AT8" s="176"/>
      <c r="AU8" s="176"/>
      <c r="AV8" s="177"/>
      <c r="AW8" s="175" t="s">
        <v>34</v>
      </c>
      <c r="AX8" s="176"/>
      <c r="AY8" s="176"/>
      <c r="AZ8" s="176"/>
      <c r="BA8" s="177"/>
      <c r="BB8" s="178" t="s">
        <v>35</v>
      </c>
      <c r="BC8" s="176"/>
      <c r="BD8" s="176"/>
      <c r="BE8" s="176"/>
      <c r="BF8" s="177"/>
      <c r="BG8" s="178" t="s">
        <v>36</v>
      </c>
      <c r="BH8" s="176"/>
      <c r="BI8" s="176"/>
      <c r="BJ8" s="176"/>
      <c r="BK8" s="177"/>
      <c r="BL8" s="178" t="s">
        <v>37</v>
      </c>
      <c r="BM8" s="176"/>
      <c r="BN8" s="176"/>
      <c r="BO8" s="176"/>
      <c r="BP8" s="177"/>
      <c r="BQ8" s="18"/>
    </row>
    <row r="9" spans="1:69" ht="17.25" customHeight="1" x14ac:dyDescent="0.2">
      <c r="A9" s="19"/>
      <c r="B9" s="183"/>
      <c r="C9" s="183"/>
      <c r="D9" s="183"/>
      <c r="E9" s="183"/>
      <c r="F9" s="183"/>
      <c r="G9" s="183"/>
      <c r="H9" s="183"/>
      <c r="I9" s="20" t="s">
        <v>38</v>
      </c>
      <c r="J9" s="21" t="s">
        <v>39</v>
      </c>
      <c r="K9" s="21" t="s">
        <v>40</v>
      </c>
      <c r="L9" s="21" t="s">
        <v>41</v>
      </c>
      <c r="M9" s="21" t="s">
        <v>42</v>
      </c>
      <c r="N9" s="21" t="s">
        <v>38</v>
      </c>
      <c r="O9" s="21" t="s">
        <v>39</v>
      </c>
      <c r="P9" s="21" t="s">
        <v>40</v>
      </c>
      <c r="Q9" s="21" t="s">
        <v>41</v>
      </c>
      <c r="R9" s="21" t="s">
        <v>42</v>
      </c>
      <c r="S9" s="22" t="s">
        <v>38</v>
      </c>
      <c r="T9" s="23" t="s">
        <v>39</v>
      </c>
      <c r="U9" s="20" t="s">
        <v>40</v>
      </c>
      <c r="V9" s="21" t="s">
        <v>41</v>
      </c>
      <c r="W9" s="21" t="s">
        <v>42</v>
      </c>
      <c r="X9" s="24" t="s">
        <v>38</v>
      </c>
      <c r="Y9" s="24" t="s">
        <v>39</v>
      </c>
      <c r="Z9" s="24" t="s">
        <v>40</v>
      </c>
      <c r="AA9" s="24" t="s">
        <v>41</v>
      </c>
      <c r="AB9" s="24" t="s">
        <v>42</v>
      </c>
      <c r="AC9" s="24" t="s">
        <v>38</v>
      </c>
      <c r="AD9" s="24" t="s">
        <v>39</v>
      </c>
      <c r="AE9" s="24" t="s">
        <v>40</v>
      </c>
      <c r="AF9" s="24" t="s">
        <v>41</v>
      </c>
      <c r="AG9" s="24" t="s">
        <v>42</v>
      </c>
      <c r="AH9" s="24" t="s">
        <v>38</v>
      </c>
      <c r="AI9" s="24" t="s">
        <v>39</v>
      </c>
      <c r="AJ9" s="24" t="s">
        <v>40</v>
      </c>
      <c r="AK9" s="24" t="s">
        <v>41</v>
      </c>
      <c r="AL9" s="24" t="s">
        <v>42</v>
      </c>
      <c r="AM9" s="25" t="s">
        <v>38</v>
      </c>
      <c r="AN9" s="25" t="s">
        <v>39</v>
      </c>
      <c r="AO9" s="25" t="s">
        <v>40</v>
      </c>
      <c r="AP9" s="25" t="s">
        <v>41</v>
      </c>
      <c r="AQ9" s="25" t="s">
        <v>42</v>
      </c>
      <c r="AR9" s="25" t="s">
        <v>38</v>
      </c>
      <c r="AS9" s="25" t="s">
        <v>39</v>
      </c>
      <c r="AT9" s="25" t="s">
        <v>40</v>
      </c>
      <c r="AU9" s="25" t="s">
        <v>41</v>
      </c>
      <c r="AV9" s="25" t="s">
        <v>42</v>
      </c>
      <c r="AW9" s="25" t="s">
        <v>38</v>
      </c>
      <c r="AX9" s="25" t="s">
        <v>39</v>
      </c>
      <c r="AY9" s="25" t="s">
        <v>40</v>
      </c>
      <c r="AZ9" s="25" t="s">
        <v>41</v>
      </c>
      <c r="BA9" s="25" t="s">
        <v>42</v>
      </c>
      <c r="BB9" s="26" t="s">
        <v>38</v>
      </c>
      <c r="BC9" s="26" t="s">
        <v>39</v>
      </c>
      <c r="BD9" s="26" t="s">
        <v>40</v>
      </c>
      <c r="BE9" s="26" t="s">
        <v>41</v>
      </c>
      <c r="BF9" s="26" t="s">
        <v>42</v>
      </c>
      <c r="BG9" s="26" t="s">
        <v>38</v>
      </c>
      <c r="BH9" s="26" t="s">
        <v>39</v>
      </c>
      <c r="BI9" s="26" t="s">
        <v>40</v>
      </c>
      <c r="BJ9" s="26" t="s">
        <v>41</v>
      </c>
      <c r="BK9" s="26" t="s">
        <v>42</v>
      </c>
      <c r="BL9" s="26" t="s">
        <v>38</v>
      </c>
      <c r="BM9" s="26" t="s">
        <v>39</v>
      </c>
      <c r="BN9" s="26" t="s">
        <v>40</v>
      </c>
      <c r="BO9" s="26" t="s">
        <v>41</v>
      </c>
      <c r="BP9" s="26" t="s">
        <v>42</v>
      </c>
      <c r="BQ9" s="19"/>
    </row>
    <row r="10" spans="1:69" ht="21" customHeight="1" x14ac:dyDescent="0.2">
      <c r="A10" s="14"/>
      <c r="B10" s="89">
        <v>1</v>
      </c>
      <c r="C10" s="90" t="s">
        <v>43</v>
      </c>
      <c r="D10" s="29"/>
      <c r="E10" s="29"/>
      <c r="F10" s="29"/>
      <c r="G10" s="29"/>
      <c r="H10" s="29"/>
      <c r="I10" s="30"/>
      <c r="J10" s="31"/>
      <c r="K10" s="32"/>
      <c r="L10" s="32"/>
      <c r="M10" s="30"/>
      <c r="N10" s="30"/>
      <c r="O10" s="30"/>
      <c r="P10" s="30"/>
      <c r="Q10" s="30"/>
      <c r="R10" s="30"/>
      <c r="S10" s="30"/>
      <c r="T10" s="33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4"/>
    </row>
    <row r="11" spans="1:69" ht="17.25" customHeight="1" outlineLevel="1" x14ac:dyDescent="0.2">
      <c r="A11" s="34"/>
      <c r="B11" s="91">
        <v>43101</v>
      </c>
      <c r="C11" s="92" t="s">
        <v>44</v>
      </c>
      <c r="D11" s="92" t="s">
        <v>45</v>
      </c>
      <c r="E11" s="37">
        <f ca="1">TODAY()</f>
        <v>45909</v>
      </c>
      <c r="F11" s="37">
        <f ca="1">E11+3</f>
        <v>45912</v>
      </c>
      <c r="G11" s="93">
        <f t="shared" ref="G11:G17" ca="1" si="0">DAYS360(E11,F11)</f>
        <v>3</v>
      </c>
      <c r="H11" s="94">
        <v>1</v>
      </c>
      <c r="I11" s="40"/>
      <c r="J11" s="41"/>
      <c r="K11" s="42"/>
      <c r="L11" s="42"/>
      <c r="M11" s="95"/>
      <c r="N11" s="95"/>
      <c r="O11" s="95"/>
      <c r="P11" s="47"/>
      <c r="Q11" s="47"/>
      <c r="R11" s="47"/>
      <c r="S11" s="43"/>
      <c r="T11" s="78"/>
      <c r="U11" s="96"/>
      <c r="V11" s="42"/>
      <c r="W11" s="42"/>
      <c r="X11" s="42"/>
      <c r="Y11" s="42"/>
      <c r="Z11" s="42"/>
      <c r="AA11" s="42"/>
      <c r="AB11" s="42"/>
      <c r="AC11" s="48"/>
      <c r="AD11" s="48"/>
      <c r="AE11" s="48"/>
      <c r="AF11" s="48"/>
      <c r="AG11" s="48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9"/>
      <c r="AS11" s="49"/>
      <c r="AT11" s="49"/>
      <c r="AU11" s="49"/>
      <c r="AV11" s="49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50"/>
      <c r="BH11" s="50"/>
      <c r="BI11" s="50"/>
      <c r="BJ11" s="50"/>
      <c r="BK11" s="50"/>
      <c r="BL11" s="42"/>
      <c r="BM11" s="42"/>
      <c r="BN11" s="42"/>
      <c r="BO11" s="42"/>
      <c r="BP11" s="51"/>
      <c r="BQ11" s="34"/>
    </row>
    <row r="12" spans="1:69" ht="17.25" customHeight="1" outlineLevel="1" x14ac:dyDescent="0.2">
      <c r="A12" s="34"/>
      <c r="B12" s="97" t="s">
        <v>46</v>
      </c>
      <c r="C12" s="92" t="s">
        <v>47</v>
      </c>
      <c r="D12" s="92" t="s">
        <v>45</v>
      </c>
      <c r="E12" s="37">
        <f ca="1">F11</f>
        <v>45912</v>
      </c>
      <c r="F12" s="37">
        <f ca="1">E12+1</f>
        <v>45913</v>
      </c>
      <c r="G12" s="93">
        <f t="shared" ca="1" si="0"/>
        <v>1</v>
      </c>
      <c r="H12" s="94">
        <v>1</v>
      </c>
      <c r="I12" s="53"/>
      <c r="J12" s="54"/>
      <c r="K12" s="55"/>
      <c r="L12" s="55"/>
      <c r="M12" s="55"/>
      <c r="N12" s="59"/>
      <c r="O12" s="59"/>
      <c r="P12" s="95"/>
      <c r="Q12" s="59"/>
      <c r="R12" s="59"/>
      <c r="S12" s="56"/>
      <c r="T12" s="57"/>
      <c r="U12" s="98"/>
      <c r="V12" s="55"/>
      <c r="W12" s="55"/>
      <c r="X12" s="55"/>
      <c r="Y12" s="55"/>
      <c r="Z12" s="55"/>
      <c r="AA12" s="55"/>
      <c r="AB12" s="55"/>
      <c r="AC12" s="61"/>
      <c r="AD12" s="61"/>
      <c r="AE12" s="61"/>
      <c r="AF12" s="61"/>
      <c r="AG12" s="61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62"/>
      <c r="AS12" s="62"/>
      <c r="AT12" s="62"/>
      <c r="AU12" s="62"/>
      <c r="AV12" s="62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63"/>
      <c r="BH12" s="63"/>
      <c r="BI12" s="63"/>
      <c r="BJ12" s="63"/>
      <c r="BK12" s="63"/>
      <c r="BL12" s="55"/>
      <c r="BM12" s="55"/>
      <c r="BN12" s="55"/>
      <c r="BO12" s="55"/>
      <c r="BP12" s="64"/>
      <c r="BQ12" s="34"/>
    </row>
    <row r="13" spans="1:69" ht="17.25" customHeight="1" outlineLevel="1" x14ac:dyDescent="0.2">
      <c r="A13" s="34"/>
      <c r="B13" s="91">
        <v>43132</v>
      </c>
      <c r="C13" s="92" t="s">
        <v>48</v>
      </c>
      <c r="D13" s="92" t="s">
        <v>45</v>
      </c>
      <c r="E13" s="37">
        <f ca="1">E12</f>
        <v>45912</v>
      </c>
      <c r="F13" s="37">
        <f t="shared" ref="F13:F14" ca="1" si="1">E13+6</f>
        <v>45918</v>
      </c>
      <c r="G13" s="93">
        <f t="shared" ca="1" si="0"/>
        <v>6</v>
      </c>
      <c r="H13" s="94">
        <v>0.9</v>
      </c>
      <c r="I13" s="53"/>
      <c r="J13" s="54"/>
      <c r="K13" s="55"/>
      <c r="L13" s="55"/>
      <c r="M13" s="55"/>
      <c r="N13" s="59"/>
      <c r="O13" s="59"/>
      <c r="P13" s="95"/>
      <c r="Q13" s="95"/>
      <c r="R13" s="95"/>
      <c r="S13" s="99"/>
      <c r="T13" s="100"/>
      <c r="U13" s="101"/>
      <c r="V13" s="55"/>
      <c r="W13" s="55"/>
      <c r="X13" s="55"/>
      <c r="Y13" s="55"/>
      <c r="Z13" s="55"/>
      <c r="AA13" s="55"/>
      <c r="AB13" s="55"/>
      <c r="AC13" s="61"/>
      <c r="AD13" s="61"/>
      <c r="AE13" s="61"/>
      <c r="AF13" s="61"/>
      <c r="AG13" s="61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62"/>
      <c r="AS13" s="62"/>
      <c r="AT13" s="62"/>
      <c r="AU13" s="62"/>
      <c r="AV13" s="62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63"/>
      <c r="BH13" s="63"/>
      <c r="BI13" s="63"/>
      <c r="BJ13" s="63"/>
      <c r="BK13" s="63"/>
      <c r="BL13" s="55"/>
      <c r="BM13" s="55"/>
      <c r="BN13" s="55"/>
      <c r="BO13" s="55"/>
      <c r="BP13" s="64"/>
      <c r="BQ13" s="34"/>
    </row>
    <row r="14" spans="1:69" ht="17.25" customHeight="1" outlineLevel="1" x14ac:dyDescent="0.2">
      <c r="A14" s="34"/>
      <c r="B14" s="91">
        <v>43160</v>
      </c>
      <c r="C14" s="92" t="s">
        <v>49</v>
      </c>
      <c r="D14" s="92" t="s">
        <v>45</v>
      </c>
      <c r="E14" s="37">
        <f ca="1">E13+1</f>
        <v>45913</v>
      </c>
      <c r="F14" s="37">
        <f t="shared" ca="1" si="1"/>
        <v>45919</v>
      </c>
      <c r="G14" s="93">
        <f t="shared" ca="1" si="0"/>
        <v>6</v>
      </c>
      <c r="H14" s="102">
        <v>0.4</v>
      </c>
      <c r="I14" s="53"/>
      <c r="J14" s="54"/>
      <c r="K14" s="55"/>
      <c r="L14" s="55"/>
      <c r="M14" s="55"/>
      <c r="N14" s="59"/>
      <c r="O14" s="59"/>
      <c r="P14" s="59"/>
      <c r="Q14" s="95"/>
      <c r="R14" s="95"/>
      <c r="S14" s="99"/>
      <c r="T14" s="103"/>
      <c r="U14" s="104"/>
      <c r="V14" s="60"/>
      <c r="W14" s="55"/>
      <c r="X14" s="55"/>
      <c r="Y14" s="55"/>
      <c r="Z14" s="55"/>
      <c r="AA14" s="55"/>
      <c r="AB14" s="55"/>
      <c r="AC14" s="61"/>
      <c r="AD14" s="61"/>
      <c r="AE14" s="61"/>
      <c r="AF14" s="61"/>
      <c r="AG14" s="61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62"/>
      <c r="AS14" s="62"/>
      <c r="AT14" s="62"/>
      <c r="AU14" s="62"/>
      <c r="AV14" s="62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63"/>
      <c r="BH14" s="63"/>
      <c r="BI14" s="63"/>
      <c r="BJ14" s="63"/>
      <c r="BK14" s="63"/>
      <c r="BL14" s="55"/>
      <c r="BM14" s="55"/>
      <c r="BN14" s="55"/>
      <c r="BO14" s="55"/>
      <c r="BP14" s="64"/>
      <c r="BQ14" s="34"/>
    </row>
    <row r="15" spans="1:69" ht="17.25" customHeight="1" outlineLevel="1" x14ac:dyDescent="0.2">
      <c r="A15" s="34"/>
      <c r="B15" s="91">
        <v>43191</v>
      </c>
      <c r="C15" s="92" t="s">
        <v>50</v>
      </c>
      <c r="D15" s="92" t="s">
        <v>45</v>
      </c>
      <c r="E15" s="37">
        <f ca="1">E14+2</f>
        <v>45915</v>
      </c>
      <c r="F15" s="37">
        <f ca="1">E15+4</f>
        <v>45919</v>
      </c>
      <c r="G15" s="93">
        <f t="shared" ca="1" si="0"/>
        <v>4</v>
      </c>
      <c r="H15" s="94">
        <v>0.7</v>
      </c>
      <c r="I15" s="53"/>
      <c r="J15" s="54"/>
      <c r="K15" s="55"/>
      <c r="L15" s="55"/>
      <c r="M15" s="55"/>
      <c r="N15" s="59"/>
      <c r="O15" s="59"/>
      <c r="P15" s="59"/>
      <c r="Q15" s="59"/>
      <c r="R15" s="59"/>
      <c r="S15" s="99"/>
      <c r="T15" s="100"/>
      <c r="U15" s="101"/>
      <c r="V15" s="60"/>
      <c r="W15" s="55"/>
      <c r="X15" s="55"/>
      <c r="Y15" s="55"/>
      <c r="Z15" s="55"/>
      <c r="AA15" s="55"/>
      <c r="AB15" s="55"/>
      <c r="AC15" s="61"/>
      <c r="AD15" s="61"/>
      <c r="AE15" s="61"/>
      <c r="AF15" s="61"/>
      <c r="AG15" s="61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62"/>
      <c r="AS15" s="62"/>
      <c r="AT15" s="62"/>
      <c r="AU15" s="62"/>
      <c r="AV15" s="62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63"/>
      <c r="BH15" s="63"/>
      <c r="BI15" s="63"/>
      <c r="BJ15" s="63"/>
      <c r="BK15" s="63"/>
      <c r="BL15" s="55"/>
      <c r="BM15" s="55"/>
      <c r="BN15" s="55"/>
      <c r="BO15" s="55"/>
      <c r="BP15" s="64"/>
      <c r="BQ15" s="34"/>
    </row>
    <row r="16" spans="1:69" ht="17.25" customHeight="1" outlineLevel="1" x14ac:dyDescent="0.2">
      <c r="A16" s="34"/>
      <c r="B16" s="91">
        <v>43221</v>
      </c>
      <c r="C16" s="92" t="s">
        <v>51</v>
      </c>
      <c r="D16" s="92" t="s">
        <v>45</v>
      </c>
      <c r="E16" s="37">
        <f ca="1">E15+1</f>
        <v>45916</v>
      </c>
      <c r="F16" s="37">
        <f ca="1">E16+3</f>
        <v>45919</v>
      </c>
      <c r="G16" s="93">
        <f t="shared" ca="1" si="0"/>
        <v>3</v>
      </c>
      <c r="H16" s="94">
        <v>0.6</v>
      </c>
      <c r="I16" s="53"/>
      <c r="J16" s="54"/>
      <c r="K16" s="55"/>
      <c r="L16" s="55"/>
      <c r="M16" s="55"/>
      <c r="N16" s="59"/>
      <c r="O16" s="59"/>
      <c r="P16" s="59"/>
      <c r="Q16" s="59"/>
      <c r="R16" s="59"/>
      <c r="S16" s="56"/>
      <c r="T16" s="100"/>
      <c r="U16" s="101"/>
      <c r="V16" s="60"/>
      <c r="W16" s="55"/>
      <c r="X16" s="55"/>
      <c r="Y16" s="55"/>
      <c r="Z16" s="55"/>
      <c r="AA16" s="55"/>
      <c r="AB16" s="55"/>
      <c r="AC16" s="61"/>
      <c r="AD16" s="61"/>
      <c r="AE16" s="61"/>
      <c r="AF16" s="61"/>
      <c r="AG16" s="61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62"/>
      <c r="AS16" s="62"/>
      <c r="AT16" s="62"/>
      <c r="AU16" s="62"/>
      <c r="AV16" s="62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63"/>
      <c r="BH16" s="63"/>
      <c r="BI16" s="63"/>
      <c r="BJ16" s="63"/>
      <c r="BK16" s="63"/>
      <c r="BL16" s="55"/>
      <c r="BM16" s="55"/>
      <c r="BN16" s="55"/>
      <c r="BO16" s="55"/>
      <c r="BP16" s="64"/>
      <c r="BQ16" s="34"/>
    </row>
    <row r="17" spans="1:69" ht="17.25" customHeight="1" outlineLevel="1" x14ac:dyDescent="0.2">
      <c r="A17" s="34"/>
      <c r="B17" s="91">
        <v>43252</v>
      </c>
      <c r="C17" s="92" t="s">
        <v>52</v>
      </c>
      <c r="D17" s="92" t="s">
        <v>45</v>
      </c>
      <c r="E17" s="37">
        <f ca="1">F16+1</f>
        <v>45920</v>
      </c>
      <c r="F17" s="37">
        <f ca="1">E17+1</f>
        <v>45921</v>
      </c>
      <c r="G17" s="93">
        <f t="shared" ca="1" si="0"/>
        <v>1</v>
      </c>
      <c r="H17" s="94">
        <v>0</v>
      </c>
      <c r="I17" s="65"/>
      <c r="J17" s="66"/>
      <c r="K17" s="67"/>
      <c r="L17" s="67"/>
      <c r="M17" s="67"/>
      <c r="N17" s="71"/>
      <c r="O17" s="71"/>
      <c r="P17" s="71"/>
      <c r="Q17" s="71"/>
      <c r="R17" s="71"/>
      <c r="S17" s="68"/>
      <c r="T17" s="69"/>
      <c r="U17" s="105"/>
      <c r="V17" s="67"/>
      <c r="W17" s="60"/>
      <c r="X17" s="67"/>
      <c r="Y17" s="67"/>
      <c r="Z17" s="67"/>
      <c r="AA17" s="67"/>
      <c r="AB17" s="67"/>
      <c r="AC17" s="73"/>
      <c r="AD17" s="73"/>
      <c r="AE17" s="73"/>
      <c r="AF17" s="73"/>
      <c r="AG17" s="73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74"/>
      <c r="AS17" s="74"/>
      <c r="AT17" s="74"/>
      <c r="AU17" s="74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75"/>
      <c r="BH17" s="75"/>
      <c r="BI17" s="75"/>
      <c r="BJ17" s="75"/>
      <c r="BK17" s="75"/>
      <c r="BL17" s="67"/>
      <c r="BM17" s="67"/>
      <c r="BN17" s="67"/>
      <c r="BO17" s="67"/>
      <c r="BP17" s="76"/>
      <c r="BQ17" s="34"/>
    </row>
    <row r="18" spans="1:69" ht="21" customHeight="1" x14ac:dyDescent="0.2">
      <c r="A18" s="14"/>
      <c r="B18" s="89">
        <v>2</v>
      </c>
      <c r="C18" s="90" t="s">
        <v>53</v>
      </c>
      <c r="D18" s="29"/>
      <c r="E18" s="77"/>
      <c r="F18" s="77"/>
      <c r="G18" s="29"/>
      <c r="H18" s="29"/>
      <c r="I18" s="30"/>
      <c r="J18" s="31"/>
      <c r="K18" s="32"/>
      <c r="L18" s="32"/>
      <c r="M18" s="30"/>
      <c r="N18" s="30"/>
      <c r="O18" s="30"/>
      <c r="P18" s="30"/>
      <c r="Q18" s="30"/>
      <c r="R18" s="30"/>
      <c r="S18" s="30"/>
      <c r="T18" s="33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4"/>
    </row>
    <row r="19" spans="1:69" ht="17.25" customHeight="1" outlineLevel="1" x14ac:dyDescent="0.2">
      <c r="A19" s="34"/>
      <c r="B19" s="91">
        <v>43102</v>
      </c>
      <c r="C19" s="92" t="s">
        <v>54</v>
      </c>
      <c r="D19" s="92" t="s">
        <v>45</v>
      </c>
      <c r="E19" s="37">
        <f ca="1">F17+1</f>
        <v>45922</v>
      </c>
      <c r="F19" s="37">
        <f ca="1">E19+4</f>
        <v>45926</v>
      </c>
      <c r="G19" s="93">
        <v>4</v>
      </c>
      <c r="H19" s="94">
        <v>0.22</v>
      </c>
      <c r="I19" s="40"/>
      <c r="J19" s="41"/>
      <c r="K19" s="42"/>
      <c r="L19" s="42"/>
      <c r="M19" s="42"/>
      <c r="N19" s="47"/>
      <c r="O19" s="47"/>
      <c r="P19" s="47"/>
      <c r="Q19" s="47"/>
      <c r="R19" s="47"/>
      <c r="S19" s="43"/>
      <c r="T19" s="78"/>
      <c r="U19" s="96"/>
      <c r="V19" s="42"/>
      <c r="W19" s="42"/>
      <c r="X19" s="95"/>
      <c r="Y19" s="106"/>
      <c r="Z19" s="60"/>
      <c r="AA19" s="60"/>
      <c r="AB19" s="42"/>
      <c r="AC19" s="48"/>
      <c r="AD19" s="48"/>
      <c r="AE19" s="48"/>
      <c r="AF19" s="48"/>
      <c r="AG19" s="48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9"/>
      <c r="AS19" s="49"/>
      <c r="AT19" s="49"/>
      <c r="AU19" s="49"/>
      <c r="AV19" s="49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50"/>
      <c r="BH19" s="50"/>
      <c r="BI19" s="50"/>
      <c r="BJ19" s="50"/>
      <c r="BK19" s="50"/>
      <c r="BL19" s="42"/>
      <c r="BM19" s="42"/>
      <c r="BN19" s="42"/>
      <c r="BO19" s="42"/>
      <c r="BP19" s="51"/>
      <c r="BQ19" s="34"/>
    </row>
    <row r="20" spans="1:69" ht="17.25" customHeight="1" outlineLevel="1" x14ac:dyDescent="0.2">
      <c r="A20" s="34"/>
      <c r="B20" s="91">
        <v>43133</v>
      </c>
      <c r="C20" s="92" t="s">
        <v>55</v>
      </c>
      <c r="D20" s="92" t="s">
        <v>45</v>
      </c>
      <c r="E20" s="37">
        <f ca="1">F19+1</f>
        <v>45927</v>
      </c>
      <c r="F20" s="37">
        <f ca="1">E20+3</f>
        <v>45930</v>
      </c>
      <c r="G20" s="93">
        <v>3</v>
      </c>
      <c r="H20" s="94">
        <v>0</v>
      </c>
      <c r="I20" s="53"/>
      <c r="J20" s="54"/>
      <c r="K20" s="55"/>
      <c r="L20" s="55"/>
      <c r="M20" s="55"/>
      <c r="N20" s="59"/>
      <c r="O20" s="59"/>
      <c r="P20" s="59"/>
      <c r="Q20" s="59"/>
      <c r="R20" s="59"/>
      <c r="S20" s="56"/>
      <c r="T20" s="57"/>
      <c r="U20" s="98"/>
      <c r="V20" s="55"/>
      <c r="W20" s="55"/>
      <c r="X20" s="55"/>
      <c r="Y20" s="55"/>
      <c r="Z20" s="55"/>
      <c r="AA20" s="55"/>
      <c r="AB20" s="60"/>
      <c r="AC20" s="60"/>
      <c r="AD20" s="60"/>
      <c r="AE20" s="48"/>
      <c r="AF20" s="48"/>
      <c r="AG20" s="48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62"/>
      <c r="AS20" s="62"/>
      <c r="AT20" s="62"/>
      <c r="AU20" s="62"/>
      <c r="AV20" s="62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63"/>
      <c r="BH20" s="63"/>
      <c r="BI20" s="63"/>
      <c r="BJ20" s="63"/>
      <c r="BK20" s="63"/>
      <c r="BL20" s="55"/>
      <c r="BM20" s="55"/>
      <c r="BN20" s="55"/>
      <c r="BO20" s="55"/>
      <c r="BP20" s="64"/>
      <c r="BQ20" s="34"/>
    </row>
    <row r="21" spans="1:69" ht="17.25" customHeight="1" outlineLevel="1" x14ac:dyDescent="0.2">
      <c r="A21" s="34"/>
      <c r="B21" s="91">
        <v>43161</v>
      </c>
      <c r="C21" s="92" t="s">
        <v>56</v>
      </c>
      <c r="D21" s="92" t="s">
        <v>45</v>
      </c>
      <c r="E21" s="107" t="s">
        <v>57</v>
      </c>
      <c r="F21" s="107" t="s">
        <v>57</v>
      </c>
      <c r="G21" s="93">
        <v>0</v>
      </c>
      <c r="H21" s="94">
        <v>0</v>
      </c>
      <c r="I21" s="53"/>
      <c r="J21" s="54"/>
      <c r="K21" s="55"/>
      <c r="L21" s="55"/>
      <c r="M21" s="55"/>
      <c r="N21" s="59"/>
      <c r="O21" s="59"/>
      <c r="P21" s="59"/>
      <c r="Q21" s="59"/>
      <c r="R21" s="59"/>
      <c r="S21" s="56"/>
      <c r="T21" s="57"/>
      <c r="U21" s="98"/>
      <c r="V21" s="55"/>
      <c r="W21" s="55"/>
      <c r="X21" s="55"/>
      <c r="Y21" s="55"/>
      <c r="Z21" s="55"/>
      <c r="AA21" s="55"/>
      <c r="AB21" s="55"/>
      <c r="AC21" s="61"/>
      <c r="AD21" s="61"/>
      <c r="AE21" s="61"/>
      <c r="AF21" s="61"/>
      <c r="AG21" s="61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62"/>
      <c r="AS21" s="62"/>
      <c r="AT21" s="62"/>
      <c r="AU21" s="62"/>
      <c r="AV21" s="62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63"/>
      <c r="BH21" s="63"/>
      <c r="BI21" s="63"/>
      <c r="BJ21" s="63"/>
      <c r="BK21" s="63"/>
      <c r="BL21" s="55"/>
      <c r="BM21" s="55"/>
      <c r="BN21" s="55"/>
      <c r="BO21" s="55"/>
      <c r="BP21" s="64"/>
      <c r="BQ21" s="34"/>
    </row>
    <row r="22" spans="1:69" ht="17.25" customHeight="1" outlineLevel="1" x14ac:dyDescent="0.2">
      <c r="A22" s="34"/>
      <c r="B22" s="91">
        <v>43192</v>
      </c>
      <c r="C22" s="92" t="s">
        <v>58</v>
      </c>
      <c r="D22" s="92" t="s">
        <v>45</v>
      </c>
      <c r="E22" s="107" t="s">
        <v>57</v>
      </c>
      <c r="F22" s="107" t="s">
        <v>57</v>
      </c>
      <c r="G22" s="93">
        <v>0</v>
      </c>
      <c r="H22" s="102">
        <v>0</v>
      </c>
      <c r="I22" s="53"/>
      <c r="J22" s="54"/>
      <c r="K22" s="55"/>
      <c r="L22" s="55"/>
      <c r="M22" s="55"/>
      <c r="N22" s="59"/>
      <c r="O22" s="59"/>
      <c r="P22" s="59"/>
      <c r="Q22" s="59"/>
      <c r="R22" s="59"/>
      <c r="S22" s="56"/>
      <c r="T22" s="57"/>
      <c r="U22" s="98"/>
      <c r="V22" s="55"/>
      <c r="W22" s="55"/>
      <c r="X22" s="55"/>
      <c r="Y22" s="55"/>
      <c r="Z22" s="55"/>
      <c r="AA22" s="55"/>
      <c r="AB22" s="55"/>
      <c r="AC22" s="61"/>
      <c r="AD22" s="61"/>
      <c r="AE22" s="61"/>
      <c r="AF22" s="61"/>
      <c r="AG22" s="61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62"/>
      <c r="AS22" s="62"/>
      <c r="AT22" s="62"/>
      <c r="AU22" s="62"/>
      <c r="AV22" s="62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63"/>
      <c r="BH22" s="63"/>
      <c r="BI22" s="63"/>
      <c r="BJ22" s="63"/>
      <c r="BK22" s="63"/>
      <c r="BL22" s="55"/>
      <c r="BM22" s="55"/>
      <c r="BN22" s="55"/>
      <c r="BO22" s="55"/>
      <c r="BP22" s="64"/>
      <c r="BQ22" s="34"/>
    </row>
    <row r="23" spans="1:69" ht="21" customHeight="1" x14ac:dyDescent="0.2">
      <c r="A23" s="14"/>
      <c r="B23" s="89">
        <v>3</v>
      </c>
      <c r="C23" s="90" t="s">
        <v>43</v>
      </c>
      <c r="D23" s="29"/>
      <c r="E23" s="77"/>
      <c r="F23" s="77"/>
      <c r="G23" s="29"/>
      <c r="H23" s="29"/>
      <c r="I23" s="30"/>
      <c r="J23" s="31"/>
      <c r="K23" s="32"/>
      <c r="L23" s="32"/>
      <c r="M23" s="30"/>
      <c r="N23" s="30"/>
      <c r="O23" s="30"/>
      <c r="P23" s="30"/>
      <c r="Q23" s="30"/>
      <c r="R23" s="30"/>
      <c r="S23" s="30"/>
      <c r="T23" s="33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14"/>
    </row>
    <row r="24" spans="1:69" ht="17.25" customHeight="1" outlineLevel="1" x14ac:dyDescent="0.2">
      <c r="A24" s="34"/>
      <c r="B24" s="108" t="s">
        <v>59</v>
      </c>
      <c r="C24" s="92" t="s">
        <v>60</v>
      </c>
      <c r="D24" s="92" t="s">
        <v>45</v>
      </c>
      <c r="E24" s="107" t="s">
        <v>57</v>
      </c>
      <c r="F24" s="107" t="s">
        <v>57</v>
      </c>
      <c r="G24" s="93">
        <v>0</v>
      </c>
      <c r="H24" s="94">
        <v>0</v>
      </c>
      <c r="I24" s="40"/>
      <c r="J24" s="41"/>
      <c r="K24" s="42"/>
      <c r="L24" s="42"/>
      <c r="M24" s="42"/>
      <c r="N24" s="59"/>
      <c r="O24" s="59"/>
      <c r="P24" s="59"/>
      <c r="Q24" s="59"/>
      <c r="R24" s="59"/>
      <c r="S24" s="43"/>
      <c r="T24" s="78"/>
      <c r="U24" s="96"/>
      <c r="V24" s="42"/>
      <c r="W24" s="42"/>
      <c r="X24" s="42"/>
      <c r="Y24" s="42"/>
      <c r="Z24" s="42"/>
      <c r="AA24" s="42"/>
      <c r="AB24" s="42"/>
      <c r="AC24" s="48"/>
      <c r="AD24" s="48"/>
      <c r="AE24" s="48"/>
      <c r="AF24" s="48"/>
      <c r="AG24" s="48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9"/>
      <c r="AS24" s="49"/>
      <c r="AT24" s="49"/>
      <c r="AU24" s="49"/>
      <c r="AV24" s="49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50"/>
      <c r="BH24" s="50"/>
      <c r="BI24" s="50"/>
      <c r="BJ24" s="50"/>
      <c r="BK24" s="50"/>
      <c r="BL24" s="42"/>
      <c r="BM24" s="42"/>
      <c r="BN24" s="42"/>
      <c r="BO24" s="42"/>
      <c r="BP24" s="51"/>
      <c r="BQ24" s="34"/>
    </row>
    <row r="25" spans="1:69" ht="17.25" customHeight="1" outlineLevel="1" x14ac:dyDescent="0.2">
      <c r="A25" s="34"/>
      <c r="B25" s="108" t="s">
        <v>61</v>
      </c>
      <c r="C25" s="92" t="s">
        <v>62</v>
      </c>
      <c r="D25" s="92" t="s">
        <v>45</v>
      </c>
      <c r="E25" s="107" t="s">
        <v>57</v>
      </c>
      <c r="F25" s="107" t="s">
        <v>57</v>
      </c>
      <c r="G25" s="93">
        <v>0</v>
      </c>
      <c r="H25" s="94">
        <v>0</v>
      </c>
      <c r="I25" s="53"/>
      <c r="J25" s="54"/>
      <c r="K25" s="55"/>
      <c r="L25" s="55"/>
      <c r="M25" s="55"/>
      <c r="N25" s="59"/>
      <c r="O25" s="59"/>
      <c r="P25" s="59"/>
      <c r="Q25" s="59"/>
      <c r="R25" s="59"/>
      <c r="S25" s="56"/>
      <c r="T25" s="57"/>
      <c r="U25" s="98"/>
      <c r="V25" s="55"/>
      <c r="W25" s="55"/>
      <c r="X25" s="55"/>
      <c r="Y25" s="55"/>
      <c r="Z25" s="55"/>
      <c r="AA25" s="55"/>
      <c r="AB25" s="55"/>
      <c r="AC25" s="61"/>
      <c r="AD25" s="61"/>
      <c r="AE25" s="61"/>
      <c r="AF25" s="61"/>
      <c r="AG25" s="61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62"/>
      <c r="AS25" s="62"/>
      <c r="AT25" s="62"/>
      <c r="AU25" s="62"/>
      <c r="AV25" s="62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63"/>
      <c r="BH25" s="63"/>
      <c r="BI25" s="63"/>
      <c r="BJ25" s="63"/>
      <c r="BK25" s="63"/>
      <c r="BL25" s="55"/>
      <c r="BM25" s="55"/>
      <c r="BN25" s="55"/>
      <c r="BO25" s="55"/>
      <c r="BP25" s="64"/>
      <c r="BQ25" s="34"/>
    </row>
    <row r="26" spans="1:69" ht="17.25" customHeight="1" outlineLevel="1" x14ac:dyDescent="0.2">
      <c r="A26" s="34"/>
      <c r="B26" s="109" t="s">
        <v>63</v>
      </c>
      <c r="C26" s="92" t="s">
        <v>64</v>
      </c>
      <c r="D26" s="92" t="s">
        <v>45</v>
      </c>
      <c r="E26" s="107" t="s">
        <v>57</v>
      </c>
      <c r="F26" s="107" t="s">
        <v>57</v>
      </c>
      <c r="G26" s="93">
        <v>0</v>
      </c>
      <c r="H26" s="94">
        <v>0</v>
      </c>
      <c r="I26" s="53"/>
      <c r="J26" s="54"/>
      <c r="K26" s="55"/>
      <c r="L26" s="55"/>
      <c r="M26" s="55"/>
      <c r="N26" s="59"/>
      <c r="O26" s="59"/>
      <c r="P26" s="59"/>
      <c r="Q26" s="59"/>
      <c r="R26" s="59"/>
      <c r="S26" s="43"/>
      <c r="T26" s="78"/>
      <c r="U26" s="96"/>
      <c r="V26" s="42"/>
      <c r="W26" s="55"/>
      <c r="X26" s="55"/>
      <c r="Y26" s="55"/>
      <c r="Z26" s="55"/>
      <c r="AA26" s="55"/>
      <c r="AB26" s="55"/>
      <c r="AC26" s="61"/>
      <c r="AD26" s="61"/>
      <c r="AE26" s="61"/>
      <c r="AF26" s="61"/>
      <c r="AG26" s="61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62"/>
      <c r="AS26" s="62"/>
      <c r="AT26" s="62"/>
      <c r="AU26" s="62"/>
      <c r="AV26" s="62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63"/>
      <c r="BH26" s="63"/>
      <c r="BI26" s="63"/>
      <c r="BJ26" s="63"/>
      <c r="BK26" s="63"/>
      <c r="BL26" s="55"/>
      <c r="BM26" s="55"/>
      <c r="BN26" s="55"/>
      <c r="BO26" s="55"/>
      <c r="BP26" s="64"/>
      <c r="BQ26" s="34"/>
    </row>
    <row r="27" spans="1:69" ht="17.25" customHeight="1" outlineLevel="1" x14ac:dyDescent="0.2">
      <c r="A27" s="34"/>
      <c r="B27" s="109" t="s">
        <v>65</v>
      </c>
      <c r="C27" s="92" t="s">
        <v>66</v>
      </c>
      <c r="D27" s="92" t="s">
        <v>45</v>
      </c>
      <c r="E27" s="107" t="s">
        <v>57</v>
      </c>
      <c r="F27" s="107" t="s">
        <v>57</v>
      </c>
      <c r="G27" s="93">
        <v>0</v>
      </c>
      <c r="H27" s="102">
        <v>0</v>
      </c>
      <c r="I27" s="53"/>
      <c r="J27" s="54"/>
      <c r="K27" s="55"/>
      <c r="L27" s="55"/>
      <c r="M27" s="55"/>
      <c r="N27" s="59"/>
      <c r="O27" s="59"/>
      <c r="P27" s="59"/>
      <c r="Q27" s="59"/>
      <c r="R27" s="59"/>
      <c r="S27" s="43"/>
      <c r="T27" s="78"/>
      <c r="U27" s="96"/>
      <c r="V27" s="42"/>
      <c r="W27" s="55"/>
      <c r="X27" s="55"/>
      <c r="Y27" s="55"/>
      <c r="Z27" s="55"/>
      <c r="AA27" s="55"/>
      <c r="AB27" s="55"/>
      <c r="AC27" s="61"/>
      <c r="AD27" s="61"/>
      <c r="AE27" s="61"/>
      <c r="AF27" s="61"/>
      <c r="AG27" s="61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62"/>
      <c r="AS27" s="62"/>
      <c r="AT27" s="62"/>
      <c r="AU27" s="62"/>
      <c r="AV27" s="62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63"/>
      <c r="BH27" s="63"/>
      <c r="BI27" s="63"/>
      <c r="BJ27" s="63"/>
      <c r="BK27" s="63"/>
      <c r="BL27" s="55"/>
      <c r="BM27" s="55"/>
      <c r="BN27" s="55"/>
      <c r="BO27" s="55"/>
      <c r="BP27" s="64"/>
      <c r="BQ27" s="34"/>
    </row>
    <row r="28" spans="1:69" ht="17.25" customHeight="1" outlineLevel="1" x14ac:dyDescent="0.2">
      <c r="A28" s="34"/>
      <c r="B28" s="108" t="s">
        <v>67</v>
      </c>
      <c r="C28" s="92" t="s">
        <v>68</v>
      </c>
      <c r="D28" s="92" t="s">
        <v>45</v>
      </c>
      <c r="E28" s="107" t="s">
        <v>57</v>
      </c>
      <c r="F28" s="107" t="s">
        <v>57</v>
      </c>
      <c r="G28" s="93">
        <v>0</v>
      </c>
      <c r="H28" s="94">
        <v>0</v>
      </c>
      <c r="I28" s="53"/>
      <c r="J28" s="54"/>
      <c r="K28" s="55"/>
      <c r="L28" s="55"/>
      <c r="M28" s="55"/>
      <c r="N28" s="59"/>
      <c r="O28" s="59"/>
      <c r="P28" s="59"/>
      <c r="Q28" s="59"/>
      <c r="R28" s="59"/>
      <c r="S28" s="43"/>
      <c r="T28" s="78"/>
      <c r="U28" s="96"/>
      <c r="V28" s="42"/>
      <c r="W28" s="55"/>
      <c r="X28" s="55"/>
      <c r="Y28" s="55"/>
      <c r="Z28" s="55"/>
      <c r="AA28" s="55"/>
      <c r="AB28" s="55"/>
      <c r="AC28" s="61"/>
      <c r="AD28" s="61"/>
      <c r="AE28" s="61"/>
      <c r="AF28" s="61"/>
      <c r="AG28" s="61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62"/>
      <c r="AS28" s="62"/>
      <c r="AT28" s="62"/>
      <c r="AU28" s="62"/>
      <c r="AV28" s="62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63"/>
      <c r="BH28" s="63"/>
      <c r="BI28" s="63"/>
      <c r="BJ28" s="63"/>
      <c r="BK28" s="63"/>
      <c r="BL28" s="55"/>
      <c r="BM28" s="55"/>
      <c r="BN28" s="55"/>
      <c r="BO28" s="55"/>
      <c r="BP28" s="64"/>
      <c r="BQ28" s="34"/>
    </row>
    <row r="29" spans="1:69" ht="17.25" customHeight="1" outlineLevel="1" x14ac:dyDescent="0.2">
      <c r="A29" s="34"/>
      <c r="B29" s="109" t="s">
        <v>69</v>
      </c>
      <c r="C29" s="92" t="s">
        <v>70</v>
      </c>
      <c r="D29" s="92" t="s">
        <v>45</v>
      </c>
      <c r="E29" s="107" t="s">
        <v>57</v>
      </c>
      <c r="F29" s="107" t="s">
        <v>57</v>
      </c>
      <c r="G29" s="93">
        <v>0</v>
      </c>
      <c r="H29" s="94">
        <v>0</v>
      </c>
      <c r="I29" s="53"/>
      <c r="J29" s="54"/>
      <c r="K29" s="55"/>
      <c r="L29" s="55"/>
      <c r="M29" s="55"/>
      <c r="N29" s="59"/>
      <c r="O29" s="59"/>
      <c r="P29" s="59"/>
      <c r="Q29" s="59"/>
      <c r="R29" s="59"/>
      <c r="S29" s="43"/>
      <c r="T29" s="78"/>
      <c r="U29" s="96"/>
      <c r="V29" s="42"/>
      <c r="W29" s="55"/>
      <c r="X29" s="55"/>
      <c r="Y29" s="55"/>
      <c r="Z29" s="55"/>
      <c r="AA29" s="55"/>
      <c r="AB29" s="55"/>
      <c r="AC29" s="61"/>
      <c r="AD29" s="61"/>
      <c r="AE29" s="61"/>
      <c r="AF29" s="61"/>
      <c r="AG29" s="61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62"/>
      <c r="AS29" s="62"/>
      <c r="AT29" s="62"/>
      <c r="AU29" s="62"/>
      <c r="AV29" s="62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63"/>
      <c r="BH29" s="63"/>
      <c r="BI29" s="63"/>
      <c r="BJ29" s="63"/>
      <c r="BK29" s="63"/>
      <c r="BL29" s="55"/>
      <c r="BM29" s="55"/>
      <c r="BN29" s="55"/>
      <c r="BO29" s="55"/>
      <c r="BP29" s="64"/>
      <c r="BQ29" s="34"/>
    </row>
    <row r="30" spans="1:69" ht="21" customHeight="1" x14ac:dyDescent="0.2">
      <c r="A30" s="14"/>
      <c r="B30" s="89">
        <v>4</v>
      </c>
      <c r="C30" s="90" t="s">
        <v>71</v>
      </c>
      <c r="D30" s="29"/>
      <c r="E30" s="77"/>
      <c r="F30" s="77"/>
      <c r="G30" s="29"/>
      <c r="H30" s="29"/>
      <c r="I30" s="30"/>
      <c r="J30" s="31"/>
      <c r="K30" s="32"/>
      <c r="L30" s="32"/>
      <c r="M30" s="30"/>
      <c r="N30" s="30"/>
      <c r="O30" s="30"/>
      <c r="P30" s="30"/>
      <c r="Q30" s="30"/>
      <c r="R30" s="30"/>
      <c r="S30" s="30"/>
      <c r="T30" s="33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14"/>
    </row>
    <row r="31" spans="1:69" ht="17.25" customHeight="1" outlineLevel="1" x14ac:dyDescent="0.2">
      <c r="A31" s="34"/>
      <c r="B31" s="91">
        <v>43104</v>
      </c>
      <c r="C31" s="92" t="s">
        <v>72</v>
      </c>
      <c r="D31" s="92" t="s">
        <v>45</v>
      </c>
      <c r="E31" s="107" t="s">
        <v>57</v>
      </c>
      <c r="F31" s="107" t="s">
        <v>57</v>
      </c>
      <c r="G31" s="93">
        <v>0</v>
      </c>
      <c r="H31" s="94">
        <v>0</v>
      </c>
      <c r="I31" s="40"/>
      <c r="J31" s="41"/>
      <c r="K31" s="42"/>
      <c r="L31" s="42"/>
      <c r="M31" s="42"/>
      <c r="N31" s="47"/>
      <c r="O31" s="47"/>
      <c r="P31" s="47"/>
      <c r="Q31" s="47"/>
      <c r="R31" s="47"/>
      <c r="S31" s="43"/>
      <c r="T31" s="78"/>
      <c r="U31" s="96"/>
      <c r="V31" s="42"/>
      <c r="W31" s="42"/>
      <c r="X31" s="42"/>
      <c r="Y31" s="42"/>
      <c r="Z31" s="42"/>
      <c r="AA31" s="42"/>
      <c r="AB31" s="42"/>
      <c r="AC31" s="48"/>
      <c r="AD31" s="48"/>
      <c r="AE31" s="48"/>
      <c r="AF31" s="48"/>
      <c r="AG31" s="48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9"/>
      <c r="AS31" s="49"/>
      <c r="AT31" s="49"/>
      <c r="AU31" s="49"/>
      <c r="AV31" s="49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50"/>
      <c r="BH31" s="50"/>
      <c r="BI31" s="50"/>
      <c r="BJ31" s="50"/>
      <c r="BK31" s="50"/>
      <c r="BL31" s="42"/>
      <c r="BM31" s="42"/>
      <c r="BN31" s="42"/>
      <c r="BO31" s="42"/>
      <c r="BP31" s="51"/>
      <c r="BQ31" s="34"/>
    </row>
    <row r="32" spans="1:69" ht="17.25" customHeight="1" outlineLevel="1" x14ac:dyDescent="0.2">
      <c r="A32" s="34"/>
      <c r="B32" s="91">
        <v>43135</v>
      </c>
      <c r="C32" s="92" t="s">
        <v>73</v>
      </c>
      <c r="D32" s="92" t="s">
        <v>45</v>
      </c>
      <c r="E32" s="107" t="s">
        <v>57</v>
      </c>
      <c r="F32" s="107" t="s">
        <v>57</v>
      </c>
      <c r="G32" s="93">
        <v>0</v>
      </c>
      <c r="H32" s="94">
        <v>0</v>
      </c>
      <c r="I32" s="53"/>
      <c r="J32" s="54"/>
      <c r="K32" s="55"/>
      <c r="L32" s="55"/>
      <c r="M32" s="55"/>
      <c r="N32" s="47"/>
      <c r="O32" s="47"/>
      <c r="P32" s="47"/>
      <c r="Q32" s="47"/>
      <c r="R32" s="47"/>
      <c r="S32" s="56"/>
      <c r="T32" s="57"/>
      <c r="U32" s="98"/>
      <c r="V32" s="55"/>
      <c r="W32" s="55"/>
      <c r="X32" s="55"/>
      <c r="Y32" s="55"/>
      <c r="Z32" s="55"/>
      <c r="AA32" s="55"/>
      <c r="AB32" s="55"/>
      <c r="AC32" s="61"/>
      <c r="AD32" s="61"/>
      <c r="AE32" s="61"/>
      <c r="AF32" s="61"/>
      <c r="AG32" s="61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62"/>
      <c r="AS32" s="62"/>
      <c r="AT32" s="62"/>
      <c r="AU32" s="62"/>
      <c r="AV32" s="62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63"/>
      <c r="BH32" s="63"/>
      <c r="BI32" s="63"/>
      <c r="BJ32" s="63"/>
      <c r="BK32" s="63"/>
      <c r="BL32" s="55"/>
      <c r="BM32" s="55"/>
      <c r="BN32" s="55"/>
      <c r="BO32" s="55"/>
      <c r="BP32" s="64"/>
      <c r="BQ32" s="34"/>
    </row>
    <row r="33" spans="1:69" ht="17.25" customHeight="1" outlineLevel="1" x14ac:dyDescent="0.2">
      <c r="A33" s="34"/>
      <c r="B33" s="91">
        <v>43163</v>
      </c>
      <c r="C33" s="92" t="s">
        <v>74</v>
      </c>
      <c r="D33" s="92" t="s">
        <v>45</v>
      </c>
      <c r="E33" s="107" t="s">
        <v>57</v>
      </c>
      <c r="F33" s="107" t="s">
        <v>57</v>
      </c>
      <c r="G33" s="93">
        <v>0</v>
      </c>
      <c r="H33" s="94">
        <v>0</v>
      </c>
      <c r="I33" s="53"/>
      <c r="J33" s="54"/>
      <c r="K33" s="55"/>
      <c r="L33" s="55"/>
      <c r="M33" s="55"/>
      <c r="N33" s="47"/>
      <c r="O33" s="47"/>
      <c r="P33" s="47"/>
      <c r="Q33" s="47"/>
      <c r="R33" s="47"/>
      <c r="S33" s="43"/>
      <c r="T33" s="78"/>
      <c r="U33" s="96"/>
      <c r="V33" s="42"/>
      <c r="W33" s="55"/>
      <c r="X33" s="55"/>
      <c r="Y33" s="55"/>
      <c r="Z33" s="55"/>
      <c r="AA33" s="55"/>
      <c r="AB33" s="55"/>
      <c r="AC33" s="61"/>
      <c r="AD33" s="61"/>
      <c r="AE33" s="61"/>
      <c r="AF33" s="61"/>
      <c r="AG33" s="61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62"/>
      <c r="AS33" s="62"/>
      <c r="AT33" s="62"/>
      <c r="AU33" s="62"/>
      <c r="AV33" s="62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63"/>
      <c r="BH33" s="63"/>
      <c r="BI33" s="63"/>
      <c r="BJ33" s="63"/>
      <c r="BK33" s="63"/>
      <c r="BL33" s="55"/>
      <c r="BM33" s="55"/>
      <c r="BN33" s="55"/>
      <c r="BO33" s="55"/>
      <c r="BP33" s="64"/>
      <c r="BQ33" s="34"/>
    </row>
    <row r="34" spans="1:69" ht="17.25" customHeight="1" outlineLevel="1" x14ac:dyDescent="0.2">
      <c r="A34" s="34"/>
      <c r="B34" s="91">
        <v>43194</v>
      </c>
      <c r="C34" s="92" t="s">
        <v>75</v>
      </c>
      <c r="D34" s="92" t="s">
        <v>45</v>
      </c>
      <c r="E34" s="107" t="s">
        <v>57</v>
      </c>
      <c r="F34" s="107" t="s">
        <v>57</v>
      </c>
      <c r="G34" s="93">
        <v>0</v>
      </c>
      <c r="H34" s="102">
        <v>0</v>
      </c>
      <c r="I34" s="53"/>
      <c r="J34" s="54"/>
      <c r="K34" s="55"/>
      <c r="L34" s="55"/>
      <c r="M34" s="55"/>
      <c r="N34" s="47"/>
      <c r="O34" s="47"/>
      <c r="P34" s="47"/>
      <c r="Q34" s="47"/>
      <c r="R34" s="47"/>
      <c r="S34" s="43"/>
      <c r="T34" s="110"/>
      <c r="U34" s="96"/>
      <c r="V34" s="42"/>
      <c r="W34" s="55"/>
      <c r="X34" s="55"/>
      <c r="Y34" s="55"/>
      <c r="Z34" s="55"/>
      <c r="AA34" s="55"/>
      <c r="AB34" s="55"/>
      <c r="AC34" s="61"/>
      <c r="AD34" s="61"/>
      <c r="AE34" s="61"/>
      <c r="AF34" s="61"/>
      <c r="AG34" s="61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62"/>
      <c r="AS34" s="62"/>
      <c r="AT34" s="62"/>
      <c r="AU34" s="62"/>
      <c r="AV34" s="62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63"/>
      <c r="BH34" s="63"/>
      <c r="BI34" s="63"/>
      <c r="BJ34" s="63"/>
      <c r="BK34" s="63"/>
      <c r="BL34" s="55"/>
      <c r="BM34" s="55"/>
      <c r="BN34" s="55"/>
      <c r="BO34" s="55"/>
      <c r="BP34" s="64"/>
      <c r="BQ34" s="34"/>
    </row>
    <row r="35" spans="1:69" ht="21" customHeight="1" x14ac:dyDescent="0.2">
      <c r="A35" s="14"/>
      <c r="B35" s="14"/>
      <c r="C35" s="14"/>
      <c r="D35" s="14"/>
      <c r="E35" s="14"/>
      <c r="F35" s="14"/>
      <c r="G35" s="86"/>
      <c r="H35" s="8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80" t="s">
        <v>76</v>
      </c>
      <c r="T35" s="153"/>
      <c r="U35" s="153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21" customHeight="1" x14ac:dyDescent="0.2">
      <c r="A36" s="14"/>
      <c r="B36" s="149" t="s">
        <v>3</v>
      </c>
      <c r="C36" s="150"/>
      <c r="D36" s="150"/>
      <c r="E36" s="150"/>
      <c r="F36" s="150"/>
      <c r="G36" s="150"/>
      <c r="H36" s="150"/>
      <c r="I36" s="150"/>
      <c r="J36" s="151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21" customHeight="1" x14ac:dyDescent="0.2">
      <c r="A37" s="14"/>
      <c r="B37" s="152" t="s">
        <v>4</v>
      </c>
      <c r="C37" s="153"/>
      <c r="D37" s="153"/>
      <c r="E37" s="153"/>
      <c r="F37" s="153"/>
      <c r="G37" s="153"/>
      <c r="H37" s="153"/>
      <c r="I37" s="153"/>
      <c r="J37" s="15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21" customHeight="1" x14ac:dyDescent="0.2">
      <c r="A38" s="14"/>
      <c r="B38" s="155"/>
      <c r="C38" s="156"/>
      <c r="D38" s="156"/>
      <c r="E38" s="156"/>
      <c r="F38" s="156"/>
      <c r="G38" s="156"/>
      <c r="H38" s="156"/>
      <c r="I38" s="156"/>
      <c r="J38" s="15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</sheetData>
  <mergeCells count="42">
    <mergeCell ref="B37:J38"/>
    <mergeCell ref="D5:G5"/>
    <mergeCell ref="I5:AB5"/>
    <mergeCell ref="B7:B9"/>
    <mergeCell ref="C7:C9"/>
    <mergeCell ref="D7:D9"/>
    <mergeCell ref="E7:E9"/>
    <mergeCell ref="F7:F9"/>
    <mergeCell ref="S8:W8"/>
    <mergeCell ref="X8:AB8"/>
    <mergeCell ref="X7:AL7"/>
    <mergeCell ref="BB7:BP7"/>
    <mergeCell ref="I8:M8"/>
    <mergeCell ref="N8:R8"/>
    <mergeCell ref="S35:U35"/>
    <mergeCell ref="B36:J36"/>
    <mergeCell ref="BB8:BF8"/>
    <mergeCell ref="BG8:BK8"/>
    <mergeCell ref="BL8:BP8"/>
    <mergeCell ref="AC8:AG8"/>
    <mergeCell ref="AH8:AL8"/>
    <mergeCell ref="AM8:AQ8"/>
    <mergeCell ref="AR8:AV8"/>
    <mergeCell ref="AW8:BA8"/>
    <mergeCell ref="G7:G9"/>
    <mergeCell ref="H7:H9"/>
    <mergeCell ref="I7:W7"/>
    <mergeCell ref="AM7:BA7"/>
    <mergeCell ref="B4:C4"/>
    <mergeCell ref="D4:G4"/>
    <mergeCell ref="I4:O4"/>
    <mergeCell ref="P4:AA4"/>
    <mergeCell ref="AE4:AX5"/>
    <mergeCell ref="B5:C5"/>
    <mergeCell ref="B1:G1"/>
    <mergeCell ref="I1:N1"/>
    <mergeCell ref="O1:AL1"/>
    <mergeCell ref="D3:G3"/>
    <mergeCell ref="I3:O3"/>
    <mergeCell ref="P3:AB3"/>
    <mergeCell ref="AE3:AX3"/>
    <mergeCell ref="B3:C3"/>
  </mergeCells>
  <conditionalFormatting sqref="H11:H17 H19:H3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P3" r:id="rId1" xr:uid="{00000000-0004-0000-0100-000000000000}"/>
    <hyperlink ref="B4" r:id="rId2" xr:uid="{00000000-0004-0000-0100-000001000000}"/>
    <hyperlink ref="AE4" r:id="rId3" xr:uid="{00000000-0004-0000-0100-000002000000}"/>
    <hyperlink ref="D5" r:id="rId4" xr:uid="{00000000-0004-0000-0100-000003000000}"/>
    <hyperlink ref="I5" r:id="rId5" xr:uid="{00000000-0004-0000-0100-000004000000}"/>
    <hyperlink ref="B37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D2AB-5041-42DD-8775-3FF43C7395F6}">
  <dimension ref="C2:G4"/>
  <sheetViews>
    <sheetView tabSelected="1" workbookViewId="0">
      <selection activeCell="G2" sqref="G2"/>
    </sheetView>
  </sheetViews>
  <sheetFormatPr defaultRowHeight="12.75" x14ac:dyDescent="0.2"/>
  <sheetData>
    <row r="2" spans="3:7" x14ac:dyDescent="0.2">
      <c r="C2" t="s">
        <v>278</v>
      </c>
      <c r="D2" t="s">
        <v>279</v>
      </c>
      <c r="E2" t="s">
        <v>280</v>
      </c>
      <c r="F2" t="s">
        <v>281</v>
      </c>
      <c r="G2" t="s">
        <v>282</v>
      </c>
    </row>
    <row r="3" spans="3:7" x14ac:dyDescent="0.2">
      <c r="C3" s="142" t="s">
        <v>283</v>
      </c>
      <c r="D3" t="s">
        <v>285</v>
      </c>
    </row>
    <row r="4" spans="3:7" x14ac:dyDescent="0.2">
      <c r="C4" s="142" t="s">
        <v>284</v>
      </c>
      <c r="D4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207B-940E-426A-9583-1E9EC9B48CE0}">
  <sheetPr>
    <tabColor rgb="FF3D85C6"/>
    <outlinePr summaryBelow="0" summaryRight="0"/>
  </sheetPr>
  <dimension ref="A1:BB104"/>
  <sheetViews>
    <sheetView showGridLines="0" zoomScale="89" workbookViewId="0">
      <pane xSplit="6" topLeftCell="G1" activePane="topRight" state="frozen"/>
      <selection pane="topRight" activeCell="BF7" sqref="BF7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  <col min="42" max="42" width="3.7109375" style="144" bestFit="1" customWidth="1"/>
    <col min="43" max="48" width="3.28515625" style="144" bestFit="1" customWidth="1"/>
    <col min="49" max="49" width="3.28515625" style="144" customWidth="1"/>
    <col min="50" max="54" width="3.28515625" style="144" bestFit="1" customWidth="1"/>
  </cols>
  <sheetData>
    <row r="1" spans="1:54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  <c r="AP1" s="191" t="s">
        <v>240</v>
      </c>
      <c r="AQ1" s="191" t="s">
        <v>241</v>
      </c>
      <c r="AR1" s="191" t="s">
        <v>242</v>
      </c>
      <c r="AS1" s="191" t="s">
        <v>243</v>
      </c>
      <c r="AT1" s="191" t="s">
        <v>244</v>
      </c>
      <c r="AU1" s="191" t="s">
        <v>245</v>
      </c>
      <c r="AV1" s="191" t="s">
        <v>246</v>
      </c>
      <c r="AW1" s="191" t="s">
        <v>247</v>
      </c>
      <c r="AX1" s="191" t="s">
        <v>248</v>
      </c>
      <c r="AY1" s="191" t="s">
        <v>249</v>
      </c>
      <c r="AZ1" s="191" t="s">
        <v>250</v>
      </c>
      <c r="BA1" s="191" t="s">
        <v>251</v>
      </c>
      <c r="BB1" s="191" t="s">
        <v>252</v>
      </c>
    </row>
    <row r="2" spans="1:54" ht="31.5" customHeight="1" x14ac:dyDescent="0.2">
      <c r="A2" s="194"/>
      <c r="B2" s="128">
        <f>WORKDAY($F$3,ROUNDUP(($E$3-$E$4)/$C$2,0)+$E$4,Holiday!$A$1:$A$30)</f>
        <v>47422</v>
      </c>
      <c r="C2" s="129">
        <v>1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</row>
    <row r="3" spans="1:54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SUM(E4:E103)</f>
        <v>996</v>
      </c>
      <c r="F3" s="126">
        <f>Setting!$B$2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  <c r="AP3" s="125">
        <f>WORKDAY(AO3,22,Holiday!$A$1:$A$30)</f>
        <v>47136</v>
      </c>
      <c r="AQ3" s="125">
        <f>WORKDAY(AP3,22,Holiday!$A$1:$A$30)</f>
        <v>47168</v>
      </c>
      <c r="AR3" s="125">
        <f>WORKDAY(AQ3,22,Holiday!$A$1:$A$30)</f>
        <v>47198</v>
      </c>
      <c r="AS3" s="125">
        <f>WORKDAY(AR3,22,Holiday!$A$1:$A$30)</f>
        <v>47228</v>
      </c>
      <c r="AT3" s="125">
        <f>WORKDAY(AS3,22,Holiday!$A$1:$A$30)</f>
        <v>47260</v>
      </c>
      <c r="AU3" s="125">
        <f>WORKDAY(AT3,22,Holiday!$A$1:$A$30)</f>
        <v>47290</v>
      </c>
      <c r="AV3" s="125">
        <f>WORKDAY(AU3,22,Holiday!$A$1:$A$30)</f>
        <v>47322</v>
      </c>
      <c r="AW3" s="125">
        <f>WORKDAY(AV3,22,Holiday!$A$1:$A$30)</f>
        <v>47352</v>
      </c>
      <c r="AX3" s="125">
        <f>WORKDAY(AW3,22,Holiday!$A$1:$A$30)</f>
        <v>47382</v>
      </c>
      <c r="AY3" s="125">
        <f>WORKDAY(AX3,22,Holiday!$A$1:$A$30)</f>
        <v>47414</v>
      </c>
      <c r="AZ3" s="125">
        <f>WORKDAY(AY3,22,Holiday!$A$1:$A$30)</f>
        <v>47444</v>
      </c>
      <c r="BA3" s="125">
        <f>WORKDAY(AZ3,22,Holiday!$A$1:$A$30)</f>
        <v>47476</v>
      </c>
      <c r="BB3" s="125">
        <f>WORKDAY(BA3,22,Holiday!$A$1:$A$30)</f>
        <v>47506</v>
      </c>
    </row>
    <row r="4" spans="1:54" ht="12.75" x14ac:dyDescent="0.2">
      <c r="A4" s="119"/>
      <c r="B4" s="116" t="s">
        <v>217</v>
      </c>
      <c r="C4" s="116" t="s">
        <v>78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  <c r="AP4" s="113">
        <f>IF(OR(AND($F3&lt;=AP$3, $F4 &gt;= AP$3), AND($F4&lt;AP$3, WORKDAY($F4, 22,Holiday!$A$1:$A$30)&gt;AP$3)), 1, 0)+IF(AND((AP$3-$B$2)&gt;=0,(AP$3-$B$2)&lt;30), 2,0)</f>
        <v>0</v>
      </c>
      <c r="AQ4" s="113">
        <f>IF(OR(AND($F3&lt;=AQ$3, $F4 &gt;= AQ$3), AND($F4&lt;AQ$3, WORKDAY($F4, 22,Holiday!$A$1:$A$30)&gt;AQ$3)), 1, 0)+IF(AND((AQ$3-$B$2)&gt;=0,(AQ$3-$B$2)&lt;30), 2,0)</f>
        <v>0</v>
      </c>
      <c r="AR4" s="113">
        <f>IF(OR(AND($F3&lt;=AR$3, $F4 &gt;= AR$3), AND($F4&lt;AR$3, WORKDAY($F4, 22,Holiday!$A$1:$A$30)&gt;AR$3)), 1, 0)+IF(AND((AR$3-$B$2)&gt;=0,(AR$3-$B$2)&lt;30), 2,0)</f>
        <v>0</v>
      </c>
      <c r="AS4" s="113">
        <f>IF(OR(AND($F3&lt;=AS$3, $F4 &gt;= AS$3), AND($F4&lt;AS$3, WORKDAY($F4, 22,Holiday!$A$1:$A$30)&gt;AS$3)), 1, 0)+IF(AND((AS$3-$B$2)&gt;=0,(AS$3-$B$2)&lt;30), 2,0)</f>
        <v>0</v>
      </c>
      <c r="AT4" s="113">
        <f>IF(OR(AND($F3&lt;=AT$3, $F4 &gt;= AT$3), AND($F4&lt;AT$3, WORKDAY($F4, 22,Holiday!$A$1:$A$30)&gt;AT$3)), 1, 0)+IF(AND((AT$3-$B$2)&gt;=0,(AT$3-$B$2)&lt;30), 2,0)</f>
        <v>0</v>
      </c>
      <c r="AU4" s="113">
        <f>IF(OR(AND($F3&lt;=AU$3, $F4 &gt;= AU$3), AND($F4&lt;AU$3, WORKDAY($F4, 22,Holiday!$A$1:$A$30)&gt;AU$3)), 1, 0)+IF(AND((AU$3-$B$2)&gt;=0,(AU$3-$B$2)&lt;30), 2,0)</f>
        <v>0</v>
      </c>
      <c r="AV4" s="113">
        <f>IF(OR(AND($F3&lt;=AV$3, $F4 &gt;= AV$3), AND($F4&lt;AV$3, WORKDAY($F4, 22,Holiday!$A$1:$A$30)&gt;AV$3)), 1, 0)+IF(AND((AV$3-$B$2)&gt;=0,(AV$3-$B$2)&lt;30), 2,0)</f>
        <v>0</v>
      </c>
      <c r="AW4" s="113">
        <f>IF(OR(AND($F3&lt;=AW$3, $F4 &gt;= AW$3), AND($F4&lt;AW$3, WORKDAY($F4, 22,Holiday!$A$1:$A$30)&gt;AW$3)), 1, 0)+IF(AND((AW$3-$B$2)&gt;=0,(AW$3-$B$2)&lt;30), 2,0)</f>
        <v>0</v>
      </c>
      <c r="AX4" s="113">
        <f>IF(OR(AND($F3&lt;=AX$3, $F4 &gt;= AX$3), AND($F4&lt;AX$3, WORKDAY($F4, 22,Holiday!$A$1:$A$30)&gt;AX$3)), 1, 0)+IF(AND((AX$3-$B$2)&gt;=0,(AX$3-$B$2)&lt;30), 2,0)</f>
        <v>0</v>
      </c>
      <c r="AY4" s="113">
        <f>IF(OR(AND($F3&lt;=AY$3, $F4 &gt;= AY$3), AND($F4&lt;AY$3, WORKDAY($F4, 22,Holiday!$A$1:$A$30)&gt;AY$3)), 1, 0)+IF(AND((AY$3-$B$2)&gt;=0,(AY$3-$B$2)&lt;30), 2,0)</f>
        <v>0</v>
      </c>
      <c r="AZ4" s="113">
        <f>IF(OR(AND($F3&lt;=AZ$3, $F4 &gt;= AZ$3), AND($F4&lt;AZ$3, WORKDAY($F4, 22,Holiday!$A$1:$A$30)&gt;AZ$3)), 1, 0)+IF(AND((AZ$3-$B$2)&gt;=0,(AZ$3-$B$2)&lt;30), 2,0)</f>
        <v>2</v>
      </c>
      <c r="BA4" s="113">
        <f>IF(OR(AND($F3&lt;=BA$3, $F4 &gt;= BA$3), AND($F4&lt;BA$3, WORKDAY($F4, 22,Holiday!$A$1:$A$30)&gt;BA$3)), 1, 0)+IF(AND((BA$3-$B$2)&gt;=0,(BA$3-$B$2)&lt;30), 2,0)</f>
        <v>0</v>
      </c>
      <c r="BB4" s="113">
        <f>IF(OR(AND($F3&lt;=BB$3, $F4 &gt;= BB$3), AND($F4&lt;BB$3, WORKDAY($F4, 22,Holiday!$A$1:$A$30)&gt;BB$3)), 1, 0)+IF(AND((BB$3-$B$2)&gt;=0,(BB$3-$B$2)&lt;30), 2,0)</f>
        <v>0</v>
      </c>
    </row>
    <row r="5" spans="1:54" ht="15" x14ac:dyDescent="0.2">
      <c r="A5" s="85"/>
      <c r="B5" t="s">
        <v>115</v>
      </c>
      <c r="C5" s="112" t="s">
        <v>78</v>
      </c>
      <c r="D5" s="86">
        <v>10</v>
      </c>
      <c r="E5" s="86">
        <f>ROUNDUP(D5*(1+$D$2),0)</f>
        <v>15</v>
      </c>
      <c r="F5" s="122">
        <f>WORKDAY(F4,E5,Holiday!A1:A30)</f>
        <v>46072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  <c r="AP5" s="113">
        <f>IF(OR(AND($F4&lt;=AP$3, $F5 &gt;= AP$3), AND($F5&lt;AP$3, WORKDAY($F5, 22,Holiday!$A$1:$A$30)&gt;AP$3)), 1, 0)+IF(AND((AP$3-$B$2)&gt;=0,(AP$3-$B$2)&lt;30), 2,0)</f>
        <v>0</v>
      </c>
      <c r="AQ5" s="113">
        <f>IF(OR(AND($F4&lt;=AQ$3, $F5 &gt;= AQ$3), AND($F5&lt;AQ$3, WORKDAY($F5, 22,Holiday!$A$1:$A$30)&gt;AQ$3)), 1, 0)+IF(AND((AQ$3-$B$2)&gt;=0,(AQ$3-$B$2)&lt;30), 2,0)</f>
        <v>0</v>
      </c>
      <c r="AR5" s="113">
        <f>IF(OR(AND($F4&lt;=AR$3, $F5 &gt;= AR$3), AND($F5&lt;AR$3, WORKDAY($F5, 22,Holiday!$A$1:$A$30)&gt;AR$3)), 1, 0)+IF(AND((AR$3-$B$2)&gt;=0,(AR$3-$B$2)&lt;30), 2,0)</f>
        <v>0</v>
      </c>
      <c r="AS5" s="113">
        <f>IF(OR(AND($F4&lt;=AS$3, $F5 &gt;= AS$3), AND($F5&lt;AS$3, WORKDAY($F5, 22,Holiday!$A$1:$A$30)&gt;AS$3)), 1, 0)+IF(AND((AS$3-$B$2)&gt;=0,(AS$3-$B$2)&lt;30), 2,0)</f>
        <v>0</v>
      </c>
      <c r="AT5" s="113">
        <f>IF(OR(AND($F4&lt;=AT$3, $F5 &gt;= AT$3), AND($F5&lt;AT$3, WORKDAY($F5, 22,Holiday!$A$1:$A$30)&gt;AT$3)), 1, 0)+IF(AND((AT$3-$B$2)&gt;=0,(AT$3-$B$2)&lt;30), 2,0)</f>
        <v>0</v>
      </c>
      <c r="AU5" s="113">
        <f>IF(OR(AND($F4&lt;=AU$3, $F5 &gt;= AU$3), AND($F5&lt;AU$3, WORKDAY($F5, 22,Holiday!$A$1:$A$30)&gt;AU$3)), 1, 0)+IF(AND((AU$3-$B$2)&gt;=0,(AU$3-$B$2)&lt;30), 2,0)</f>
        <v>0</v>
      </c>
      <c r="AV5" s="113">
        <f>IF(OR(AND($F4&lt;=AV$3, $F5 &gt;= AV$3), AND($F5&lt;AV$3, WORKDAY($F5, 22,Holiday!$A$1:$A$30)&gt;AV$3)), 1, 0)+IF(AND((AV$3-$B$2)&gt;=0,(AV$3-$B$2)&lt;30), 2,0)</f>
        <v>0</v>
      </c>
      <c r="AW5" s="113">
        <f>IF(OR(AND($F4&lt;=AW$3, $F5 &gt;= AW$3), AND($F5&lt;AW$3, WORKDAY($F5, 22,Holiday!$A$1:$A$30)&gt;AW$3)), 1, 0)+IF(AND((AW$3-$B$2)&gt;=0,(AW$3-$B$2)&lt;30), 2,0)</f>
        <v>0</v>
      </c>
      <c r="AX5" s="113">
        <f>IF(OR(AND($F4&lt;=AX$3, $F5 &gt;= AX$3), AND($F5&lt;AX$3, WORKDAY($F5, 22,Holiday!$A$1:$A$30)&gt;AX$3)), 1, 0)+IF(AND((AX$3-$B$2)&gt;=0,(AX$3-$B$2)&lt;30), 2,0)</f>
        <v>0</v>
      </c>
      <c r="AY5" s="113">
        <f>IF(OR(AND($F4&lt;=AY$3, $F5 &gt;= AY$3), AND($F5&lt;AY$3, WORKDAY($F5, 22,Holiday!$A$1:$A$30)&gt;AY$3)), 1, 0)+IF(AND((AY$3-$B$2)&gt;=0,(AY$3-$B$2)&lt;30), 2,0)</f>
        <v>0</v>
      </c>
      <c r="AZ5" s="113">
        <f>IF(OR(AND($F4&lt;=AZ$3, $F5 &gt;= AZ$3), AND($F5&lt;AZ$3, WORKDAY($F5, 22,Holiday!$A$1:$A$30)&gt;AZ$3)), 1, 0)+IF(AND((AZ$3-$B$2)&gt;=0,(AZ$3-$B$2)&lt;30), 2,0)</f>
        <v>2</v>
      </c>
      <c r="BA5" s="113">
        <f>IF(OR(AND($F4&lt;=BA$3, $F5 &gt;= BA$3), AND($F5&lt;BA$3, WORKDAY($F5, 22,Holiday!$A$1:$A$30)&gt;BA$3)), 1, 0)+IF(AND((BA$3-$B$2)&gt;=0,(BA$3-$B$2)&lt;30), 2,0)</f>
        <v>0</v>
      </c>
      <c r="BB5" s="113">
        <f>IF(OR(AND($F4&lt;=BB$3, $F5 &gt;= BB$3), AND($F5&lt;BB$3, WORKDAY($F5, 22,Holiday!$A$1:$A$30)&gt;BB$3)), 1, 0)+IF(AND((BB$3-$B$2)&gt;=0,(BB$3-$B$2)&lt;30), 2,0)</f>
        <v>0</v>
      </c>
    </row>
    <row r="6" spans="1:54" ht="15" x14ac:dyDescent="0.2">
      <c r="B6" t="s">
        <v>192</v>
      </c>
      <c r="C6" s="112" t="s">
        <v>78</v>
      </c>
      <c r="D6" s="86">
        <v>10</v>
      </c>
      <c r="E6" s="86">
        <f t="shared" ref="E6:E69" si="0">ROUNDUP(D6*(1+$D$2),0)</f>
        <v>15</v>
      </c>
      <c r="F6" s="122">
        <f>WORKDAY(F5,E6,Holiday!A2:A31)</f>
        <v>46093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  <c r="AP6" s="113">
        <f>IF(OR(AND($F5&lt;=AP$3, $F6 &gt;= AP$3), AND($F6&lt;AP$3, WORKDAY($F6, 22,Holiday!$A$1:$A$30)&gt;AP$3)), 1, 0)+IF(AND((AP$3-$B$2)&gt;=0,(AP$3-$B$2)&lt;30), 2,0)</f>
        <v>0</v>
      </c>
      <c r="AQ6" s="113">
        <f>IF(OR(AND($F5&lt;=AQ$3, $F6 &gt;= AQ$3), AND($F6&lt;AQ$3, WORKDAY($F6, 22,Holiday!$A$1:$A$30)&gt;AQ$3)), 1, 0)+IF(AND((AQ$3-$B$2)&gt;=0,(AQ$3-$B$2)&lt;30), 2,0)</f>
        <v>0</v>
      </c>
      <c r="AR6" s="113">
        <f>IF(OR(AND($F5&lt;=AR$3, $F6 &gt;= AR$3), AND($F6&lt;AR$3, WORKDAY($F6, 22,Holiday!$A$1:$A$30)&gt;AR$3)), 1, 0)+IF(AND((AR$3-$B$2)&gt;=0,(AR$3-$B$2)&lt;30), 2,0)</f>
        <v>0</v>
      </c>
      <c r="AS6" s="113">
        <f>IF(OR(AND($F5&lt;=AS$3, $F6 &gt;= AS$3), AND($F6&lt;AS$3, WORKDAY($F6, 22,Holiday!$A$1:$A$30)&gt;AS$3)), 1, 0)+IF(AND((AS$3-$B$2)&gt;=0,(AS$3-$B$2)&lt;30), 2,0)</f>
        <v>0</v>
      </c>
      <c r="AT6" s="113">
        <f>IF(OR(AND($F5&lt;=AT$3, $F6 &gt;= AT$3), AND($F6&lt;AT$3, WORKDAY($F6, 22,Holiday!$A$1:$A$30)&gt;AT$3)), 1, 0)+IF(AND((AT$3-$B$2)&gt;=0,(AT$3-$B$2)&lt;30), 2,0)</f>
        <v>0</v>
      </c>
      <c r="AU6" s="113">
        <f>IF(OR(AND($F5&lt;=AU$3, $F6 &gt;= AU$3), AND($F6&lt;AU$3, WORKDAY($F6, 22,Holiday!$A$1:$A$30)&gt;AU$3)), 1, 0)+IF(AND((AU$3-$B$2)&gt;=0,(AU$3-$B$2)&lt;30), 2,0)</f>
        <v>0</v>
      </c>
      <c r="AV6" s="113">
        <f>IF(OR(AND($F5&lt;=AV$3, $F6 &gt;= AV$3), AND($F6&lt;AV$3, WORKDAY($F6, 22,Holiday!$A$1:$A$30)&gt;AV$3)), 1, 0)+IF(AND((AV$3-$B$2)&gt;=0,(AV$3-$B$2)&lt;30), 2,0)</f>
        <v>0</v>
      </c>
      <c r="AW6" s="113">
        <f>IF(OR(AND($F5&lt;=AW$3, $F6 &gt;= AW$3), AND($F6&lt;AW$3, WORKDAY($F6, 22,Holiday!$A$1:$A$30)&gt;AW$3)), 1, 0)+IF(AND((AW$3-$B$2)&gt;=0,(AW$3-$B$2)&lt;30), 2,0)</f>
        <v>0</v>
      </c>
      <c r="AX6" s="113">
        <f>IF(OR(AND($F5&lt;=AX$3, $F6 &gt;= AX$3), AND($F6&lt;AX$3, WORKDAY($F6, 22,Holiday!$A$1:$A$30)&gt;AX$3)), 1, 0)+IF(AND((AX$3-$B$2)&gt;=0,(AX$3-$B$2)&lt;30), 2,0)</f>
        <v>0</v>
      </c>
      <c r="AY6" s="113">
        <f>IF(OR(AND($F5&lt;=AY$3, $F6 &gt;= AY$3), AND($F6&lt;AY$3, WORKDAY($F6, 22,Holiday!$A$1:$A$30)&gt;AY$3)), 1, 0)+IF(AND((AY$3-$B$2)&gt;=0,(AY$3-$B$2)&lt;30), 2,0)</f>
        <v>0</v>
      </c>
      <c r="AZ6" s="113">
        <f>IF(OR(AND($F5&lt;=AZ$3, $F6 &gt;= AZ$3), AND($F6&lt;AZ$3, WORKDAY($F6, 22,Holiday!$A$1:$A$30)&gt;AZ$3)), 1, 0)+IF(AND((AZ$3-$B$2)&gt;=0,(AZ$3-$B$2)&lt;30), 2,0)</f>
        <v>2</v>
      </c>
      <c r="BA6" s="113">
        <f>IF(OR(AND($F5&lt;=BA$3, $F6 &gt;= BA$3), AND($F6&lt;BA$3, WORKDAY($F6, 22,Holiday!$A$1:$A$30)&gt;BA$3)), 1, 0)+IF(AND((BA$3-$B$2)&gt;=0,(BA$3-$B$2)&lt;30), 2,0)</f>
        <v>0</v>
      </c>
      <c r="BB6" s="113">
        <f>IF(OR(AND($F5&lt;=BB$3, $F6 &gt;= BB$3), AND($F6&lt;BB$3, WORKDAY($F6, 22,Holiday!$A$1:$A$30)&gt;BB$3)), 1, 0)+IF(AND((BB$3-$B$2)&gt;=0,(BB$3-$B$2)&lt;30), 2,0)</f>
        <v>0</v>
      </c>
    </row>
    <row r="7" spans="1:54" ht="15" x14ac:dyDescent="0.2">
      <c r="B7" t="s">
        <v>188</v>
      </c>
      <c r="C7" s="112" t="s">
        <v>78</v>
      </c>
      <c r="D7" s="86">
        <v>10</v>
      </c>
      <c r="E7" s="86">
        <f t="shared" si="0"/>
        <v>15</v>
      </c>
      <c r="F7" s="122">
        <f>WORKDAY(F6,E7,Holiday!A3:A32)</f>
        <v>46114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  <c r="AP7" s="113">
        <f>IF(OR(AND($F6&lt;=AP$3, $F7 &gt;= AP$3), AND($F7&lt;AP$3, WORKDAY($F7, 22,Holiday!$A$1:$A$30)&gt;AP$3)), 1, 0)+IF(AND((AP$3-$B$2)&gt;=0,(AP$3-$B$2)&lt;30), 2,0)</f>
        <v>0</v>
      </c>
      <c r="AQ7" s="113">
        <f>IF(OR(AND($F6&lt;=AQ$3, $F7 &gt;= AQ$3), AND($F7&lt;AQ$3, WORKDAY($F7, 22,Holiday!$A$1:$A$30)&gt;AQ$3)), 1, 0)+IF(AND((AQ$3-$B$2)&gt;=0,(AQ$3-$B$2)&lt;30), 2,0)</f>
        <v>0</v>
      </c>
      <c r="AR7" s="113">
        <f>IF(OR(AND($F6&lt;=AR$3, $F7 &gt;= AR$3), AND($F7&lt;AR$3, WORKDAY($F7, 22,Holiday!$A$1:$A$30)&gt;AR$3)), 1, 0)+IF(AND((AR$3-$B$2)&gt;=0,(AR$3-$B$2)&lt;30), 2,0)</f>
        <v>0</v>
      </c>
      <c r="AS7" s="113">
        <f>IF(OR(AND($F6&lt;=AS$3, $F7 &gt;= AS$3), AND($F7&lt;AS$3, WORKDAY($F7, 22,Holiday!$A$1:$A$30)&gt;AS$3)), 1, 0)+IF(AND((AS$3-$B$2)&gt;=0,(AS$3-$B$2)&lt;30), 2,0)</f>
        <v>0</v>
      </c>
      <c r="AT7" s="113">
        <f>IF(OR(AND($F6&lt;=AT$3, $F7 &gt;= AT$3), AND($F7&lt;AT$3, WORKDAY($F7, 22,Holiday!$A$1:$A$30)&gt;AT$3)), 1, 0)+IF(AND((AT$3-$B$2)&gt;=0,(AT$3-$B$2)&lt;30), 2,0)</f>
        <v>0</v>
      </c>
      <c r="AU7" s="113">
        <f>IF(OR(AND($F6&lt;=AU$3, $F7 &gt;= AU$3), AND($F7&lt;AU$3, WORKDAY($F7, 22,Holiday!$A$1:$A$30)&gt;AU$3)), 1, 0)+IF(AND((AU$3-$B$2)&gt;=0,(AU$3-$B$2)&lt;30), 2,0)</f>
        <v>0</v>
      </c>
      <c r="AV7" s="113">
        <f>IF(OR(AND($F6&lt;=AV$3, $F7 &gt;= AV$3), AND($F7&lt;AV$3, WORKDAY($F7, 22,Holiday!$A$1:$A$30)&gt;AV$3)), 1, 0)+IF(AND((AV$3-$B$2)&gt;=0,(AV$3-$B$2)&lt;30), 2,0)</f>
        <v>0</v>
      </c>
      <c r="AW7" s="113">
        <f>IF(OR(AND($F6&lt;=AW$3, $F7 &gt;= AW$3), AND($F7&lt;AW$3, WORKDAY($F7, 22,Holiday!$A$1:$A$30)&gt;AW$3)), 1, 0)+IF(AND((AW$3-$B$2)&gt;=0,(AW$3-$B$2)&lt;30), 2,0)</f>
        <v>0</v>
      </c>
      <c r="AX7" s="113">
        <f>IF(OR(AND($F6&lt;=AX$3, $F7 &gt;= AX$3), AND($F7&lt;AX$3, WORKDAY($F7, 22,Holiday!$A$1:$A$30)&gt;AX$3)), 1, 0)+IF(AND((AX$3-$B$2)&gt;=0,(AX$3-$B$2)&lt;30), 2,0)</f>
        <v>0</v>
      </c>
      <c r="AY7" s="113">
        <f>IF(OR(AND($F6&lt;=AY$3, $F7 &gt;= AY$3), AND($F7&lt;AY$3, WORKDAY($F7, 22,Holiday!$A$1:$A$30)&gt;AY$3)), 1, 0)+IF(AND((AY$3-$B$2)&gt;=0,(AY$3-$B$2)&lt;30), 2,0)</f>
        <v>0</v>
      </c>
      <c r="AZ7" s="113">
        <f>IF(OR(AND($F6&lt;=AZ$3, $F7 &gt;= AZ$3), AND($F7&lt;AZ$3, WORKDAY($F7, 22,Holiday!$A$1:$A$30)&gt;AZ$3)), 1, 0)+IF(AND((AZ$3-$B$2)&gt;=0,(AZ$3-$B$2)&lt;30), 2,0)</f>
        <v>2</v>
      </c>
      <c r="BA7" s="113">
        <f>IF(OR(AND($F6&lt;=BA$3, $F7 &gt;= BA$3), AND($F7&lt;BA$3, WORKDAY($F7, 22,Holiday!$A$1:$A$30)&gt;BA$3)), 1, 0)+IF(AND((BA$3-$B$2)&gt;=0,(BA$3-$B$2)&lt;30), 2,0)</f>
        <v>0</v>
      </c>
      <c r="BB7" s="113">
        <f>IF(OR(AND($F6&lt;=BB$3, $F7 &gt;= BB$3), AND($F7&lt;BB$3, WORKDAY($F7, 22,Holiday!$A$1:$A$30)&gt;BB$3)), 1, 0)+IF(AND((BB$3-$B$2)&gt;=0,(BB$3-$B$2)&lt;30), 2,0)</f>
        <v>0</v>
      </c>
    </row>
    <row r="8" spans="1:54" ht="15" x14ac:dyDescent="0.2">
      <c r="B8" t="s">
        <v>120</v>
      </c>
      <c r="C8" s="112" t="s">
        <v>78</v>
      </c>
      <c r="D8" s="86">
        <v>10</v>
      </c>
      <c r="E8" s="86">
        <f t="shared" si="0"/>
        <v>15</v>
      </c>
      <c r="F8" s="122">
        <f>WORKDAY(F7,E8,Holiday!A4:A33)</f>
        <v>46135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  <c r="AP8" s="113">
        <f>IF(OR(AND($F7&lt;=AP$3, $F8 &gt;= AP$3), AND($F8&lt;AP$3, WORKDAY($F8, 22,Holiday!$A$1:$A$30)&gt;AP$3)), 1, 0)+IF(AND((AP$3-$B$2)&gt;=0,(AP$3-$B$2)&lt;30), 2,0)</f>
        <v>0</v>
      </c>
      <c r="AQ8" s="113">
        <f>IF(OR(AND($F7&lt;=AQ$3, $F8 &gt;= AQ$3), AND($F8&lt;AQ$3, WORKDAY($F8, 22,Holiday!$A$1:$A$30)&gt;AQ$3)), 1, 0)+IF(AND((AQ$3-$B$2)&gt;=0,(AQ$3-$B$2)&lt;30), 2,0)</f>
        <v>0</v>
      </c>
      <c r="AR8" s="113">
        <f>IF(OR(AND($F7&lt;=AR$3, $F8 &gt;= AR$3), AND($F8&lt;AR$3, WORKDAY($F8, 22,Holiday!$A$1:$A$30)&gt;AR$3)), 1, 0)+IF(AND((AR$3-$B$2)&gt;=0,(AR$3-$B$2)&lt;30), 2,0)</f>
        <v>0</v>
      </c>
      <c r="AS8" s="113">
        <f>IF(OR(AND($F7&lt;=AS$3, $F8 &gt;= AS$3), AND($F8&lt;AS$3, WORKDAY($F8, 22,Holiday!$A$1:$A$30)&gt;AS$3)), 1, 0)+IF(AND((AS$3-$B$2)&gt;=0,(AS$3-$B$2)&lt;30), 2,0)</f>
        <v>0</v>
      </c>
      <c r="AT8" s="113">
        <f>IF(OR(AND($F7&lt;=AT$3, $F8 &gt;= AT$3), AND($F8&lt;AT$3, WORKDAY($F8, 22,Holiday!$A$1:$A$30)&gt;AT$3)), 1, 0)+IF(AND((AT$3-$B$2)&gt;=0,(AT$3-$B$2)&lt;30), 2,0)</f>
        <v>0</v>
      </c>
      <c r="AU8" s="113">
        <f>IF(OR(AND($F7&lt;=AU$3, $F8 &gt;= AU$3), AND($F8&lt;AU$3, WORKDAY($F8, 22,Holiday!$A$1:$A$30)&gt;AU$3)), 1, 0)+IF(AND((AU$3-$B$2)&gt;=0,(AU$3-$B$2)&lt;30), 2,0)</f>
        <v>0</v>
      </c>
      <c r="AV8" s="113">
        <f>IF(OR(AND($F7&lt;=AV$3, $F8 &gt;= AV$3), AND($F8&lt;AV$3, WORKDAY($F8, 22,Holiday!$A$1:$A$30)&gt;AV$3)), 1, 0)+IF(AND((AV$3-$B$2)&gt;=0,(AV$3-$B$2)&lt;30), 2,0)</f>
        <v>0</v>
      </c>
      <c r="AW8" s="113">
        <f>IF(OR(AND($F7&lt;=AW$3, $F8 &gt;= AW$3), AND($F8&lt;AW$3, WORKDAY($F8, 22,Holiday!$A$1:$A$30)&gt;AW$3)), 1, 0)+IF(AND((AW$3-$B$2)&gt;=0,(AW$3-$B$2)&lt;30), 2,0)</f>
        <v>0</v>
      </c>
      <c r="AX8" s="113">
        <f>IF(OR(AND($F7&lt;=AX$3, $F8 &gt;= AX$3), AND($F8&lt;AX$3, WORKDAY($F8, 22,Holiday!$A$1:$A$30)&gt;AX$3)), 1, 0)+IF(AND((AX$3-$B$2)&gt;=0,(AX$3-$B$2)&lt;30), 2,0)</f>
        <v>0</v>
      </c>
      <c r="AY8" s="113">
        <f>IF(OR(AND($F7&lt;=AY$3, $F8 &gt;= AY$3), AND($F8&lt;AY$3, WORKDAY($F8, 22,Holiday!$A$1:$A$30)&gt;AY$3)), 1, 0)+IF(AND((AY$3-$B$2)&gt;=0,(AY$3-$B$2)&lt;30), 2,0)</f>
        <v>0</v>
      </c>
      <c r="AZ8" s="113">
        <f>IF(OR(AND($F7&lt;=AZ$3, $F8 &gt;= AZ$3), AND($F8&lt;AZ$3, WORKDAY($F8, 22,Holiday!$A$1:$A$30)&gt;AZ$3)), 1, 0)+IF(AND((AZ$3-$B$2)&gt;=0,(AZ$3-$B$2)&lt;30), 2,0)</f>
        <v>2</v>
      </c>
      <c r="BA8" s="113">
        <f>IF(OR(AND($F7&lt;=BA$3, $F8 &gt;= BA$3), AND($F8&lt;BA$3, WORKDAY($F8, 22,Holiday!$A$1:$A$30)&gt;BA$3)), 1, 0)+IF(AND((BA$3-$B$2)&gt;=0,(BA$3-$B$2)&lt;30), 2,0)</f>
        <v>0</v>
      </c>
      <c r="BB8" s="113">
        <f>IF(OR(AND($F7&lt;=BB$3, $F8 &gt;= BB$3), AND($F8&lt;BB$3, WORKDAY($F8, 22,Holiday!$A$1:$A$30)&gt;BB$3)), 1, 0)+IF(AND((BB$3-$B$2)&gt;=0,(BB$3-$B$2)&lt;30), 2,0)</f>
        <v>0</v>
      </c>
    </row>
    <row r="9" spans="1:54" ht="15" x14ac:dyDescent="0.2">
      <c r="B9" t="s">
        <v>119</v>
      </c>
      <c r="C9" s="112" t="s">
        <v>78</v>
      </c>
      <c r="D9" s="86">
        <v>10</v>
      </c>
      <c r="E9" s="86">
        <f t="shared" si="0"/>
        <v>15</v>
      </c>
      <c r="F9" s="122">
        <f>WORKDAY(F8,E9,Holiday!A5:A34)</f>
        <v>46157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1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  <c r="AP9" s="113">
        <f>IF(OR(AND($F8&lt;=AP$3, $F9 &gt;= AP$3), AND($F9&lt;AP$3, WORKDAY($F9, 22,Holiday!$A$1:$A$30)&gt;AP$3)), 1, 0)+IF(AND((AP$3-$B$2)&gt;=0,(AP$3-$B$2)&lt;30), 2,0)</f>
        <v>0</v>
      </c>
      <c r="AQ9" s="113">
        <f>IF(OR(AND($F8&lt;=AQ$3, $F9 &gt;= AQ$3), AND($F9&lt;AQ$3, WORKDAY($F9, 22,Holiday!$A$1:$A$30)&gt;AQ$3)), 1, 0)+IF(AND((AQ$3-$B$2)&gt;=0,(AQ$3-$B$2)&lt;30), 2,0)</f>
        <v>0</v>
      </c>
      <c r="AR9" s="113">
        <f>IF(OR(AND($F8&lt;=AR$3, $F9 &gt;= AR$3), AND($F9&lt;AR$3, WORKDAY($F9, 22,Holiday!$A$1:$A$30)&gt;AR$3)), 1, 0)+IF(AND((AR$3-$B$2)&gt;=0,(AR$3-$B$2)&lt;30), 2,0)</f>
        <v>0</v>
      </c>
      <c r="AS9" s="113">
        <f>IF(OR(AND($F8&lt;=AS$3, $F9 &gt;= AS$3), AND($F9&lt;AS$3, WORKDAY($F9, 22,Holiday!$A$1:$A$30)&gt;AS$3)), 1, 0)+IF(AND((AS$3-$B$2)&gt;=0,(AS$3-$B$2)&lt;30), 2,0)</f>
        <v>0</v>
      </c>
      <c r="AT9" s="113">
        <f>IF(OR(AND($F8&lt;=AT$3, $F9 &gt;= AT$3), AND($F9&lt;AT$3, WORKDAY($F9, 22,Holiday!$A$1:$A$30)&gt;AT$3)), 1, 0)+IF(AND((AT$3-$B$2)&gt;=0,(AT$3-$B$2)&lt;30), 2,0)</f>
        <v>0</v>
      </c>
      <c r="AU9" s="113">
        <f>IF(OR(AND($F8&lt;=AU$3, $F9 &gt;= AU$3), AND($F9&lt;AU$3, WORKDAY($F9, 22,Holiday!$A$1:$A$30)&gt;AU$3)), 1, 0)+IF(AND((AU$3-$B$2)&gt;=0,(AU$3-$B$2)&lt;30), 2,0)</f>
        <v>0</v>
      </c>
      <c r="AV9" s="113">
        <f>IF(OR(AND($F8&lt;=AV$3, $F9 &gt;= AV$3), AND($F9&lt;AV$3, WORKDAY($F9, 22,Holiday!$A$1:$A$30)&gt;AV$3)), 1, 0)+IF(AND((AV$3-$B$2)&gt;=0,(AV$3-$B$2)&lt;30), 2,0)</f>
        <v>0</v>
      </c>
      <c r="AW9" s="113">
        <f>IF(OR(AND($F8&lt;=AW$3, $F9 &gt;= AW$3), AND($F9&lt;AW$3, WORKDAY($F9, 22,Holiday!$A$1:$A$30)&gt;AW$3)), 1, 0)+IF(AND((AW$3-$B$2)&gt;=0,(AW$3-$B$2)&lt;30), 2,0)</f>
        <v>0</v>
      </c>
      <c r="AX9" s="113">
        <f>IF(OR(AND($F8&lt;=AX$3, $F9 &gt;= AX$3), AND($F9&lt;AX$3, WORKDAY($F9, 22,Holiday!$A$1:$A$30)&gt;AX$3)), 1, 0)+IF(AND((AX$3-$B$2)&gt;=0,(AX$3-$B$2)&lt;30), 2,0)</f>
        <v>0</v>
      </c>
      <c r="AY9" s="113">
        <f>IF(OR(AND($F8&lt;=AY$3, $F9 &gt;= AY$3), AND($F9&lt;AY$3, WORKDAY($F9, 22,Holiday!$A$1:$A$30)&gt;AY$3)), 1, 0)+IF(AND((AY$3-$B$2)&gt;=0,(AY$3-$B$2)&lt;30), 2,0)</f>
        <v>0</v>
      </c>
      <c r="AZ9" s="113">
        <f>IF(OR(AND($F8&lt;=AZ$3, $F9 &gt;= AZ$3), AND($F9&lt;AZ$3, WORKDAY($F9, 22,Holiday!$A$1:$A$30)&gt;AZ$3)), 1, 0)+IF(AND((AZ$3-$B$2)&gt;=0,(AZ$3-$B$2)&lt;30), 2,0)</f>
        <v>2</v>
      </c>
      <c r="BA9" s="113">
        <f>IF(OR(AND($F8&lt;=BA$3, $F9 &gt;= BA$3), AND($F9&lt;BA$3, WORKDAY($F9, 22,Holiday!$A$1:$A$30)&gt;BA$3)), 1, 0)+IF(AND((BA$3-$B$2)&gt;=0,(BA$3-$B$2)&lt;30), 2,0)</f>
        <v>0</v>
      </c>
      <c r="BB9" s="113">
        <f>IF(OR(AND($F8&lt;=BB$3, $F9 &gt;= BB$3), AND($F9&lt;BB$3, WORKDAY($F9, 22,Holiday!$A$1:$A$30)&gt;BB$3)), 1, 0)+IF(AND((BB$3-$B$2)&gt;=0,(BB$3-$B$2)&lt;30), 2,0)</f>
        <v>0</v>
      </c>
    </row>
    <row r="10" spans="1:54" ht="15" x14ac:dyDescent="0.2">
      <c r="B10" t="s">
        <v>212</v>
      </c>
      <c r="C10" s="112" t="s">
        <v>78</v>
      </c>
      <c r="D10" s="86">
        <v>10</v>
      </c>
      <c r="E10" s="86">
        <f t="shared" si="0"/>
        <v>15</v>
      </c>
      <c r="F10" s="122">
        <f>WORKDAY(F9,E10,Holiday!A6:A35)</f>
        <v>46178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  <c r="AP10" s="113">
        <f>IF(OR(AND($F9&lt;=AP$3, $F10 &gt;= AP$3), AND($F10&lt;AP$3, WORKDAY($F10, 22,Holiday!$A$1:$A$30)&gt;AP$3)), 1, 0)+IF(AND((AP$3-$B$2)&gt;=0,(AP$3-$B$2)&lt;30), 2,0)</f>
        <v>0</v>
      </c>
      <c r="AQ10" s="113">
        <f>IF(OR(AND($F9&lt;=AQ$3, $F10 &gt;= AQ$3), AND($F10&lt;AQ$3, WORKDAY($F10, 22,Holiday!$A$1:$A$30)&gt;AQ$3)), 1, 0)+IF(AND((AQ$3-$B$2)&gt;=0,(AQ$3-$B$2)&lt;30), 2,0)</f>
        <v>0</v>
      </c>
      <c r="AR10" s="113">
        <f>IF(OR(AND($F9&lt;=AR$3, $F10 &gt;= AR$3), AND($F10&lt;AR$3, WORKDAY($F10, 22,Holiday!$A$1:$A$30)&gt;AR$3)), 1, 0)+IF(AND((AR$3-$B$2)&gt;=0,(AR$3-$B$2)&lt;30), 2,0)</f>
        <v>0</v>
      </c>
      <c r="AS10" s="113">
        <f>IF(OR(AND($F9&lt;=AS$3, $F10 &gt;= AS$3), AND($F10&lt;AS$3, WORKDAY($F10, 22,Holiday!$A$1:$A$30)&gt;AS$3)), 1, 0)+IF(AND((AS$3-$B$2)&gt;=0,(AS$3-$B$2)&lt;30), 2,0)</f>
        <v>0</v>
      </c>
      <c r="AT10" s="113">
        <f>IF(OR(AND($F9&lt;=AT$3, $F10 &gt;= AT$3), AND($F10&lt;AT$3, WORKDAY($F10, 22,Holiday!$A$1:$A$30)&gt;AT$3)), 1, 0)+IF(AND((AT$3-$B$2)&gt;=0,(AT$3-$B$2)&lt;30), 2,0)</f>
        <v>0</v>
      </c>
      <c r="AU10" s="113">
        <f>IF(OR(AND($F9&lt;=AU$3, $F10 &gt;= AU$3), AND($F10&lt;AU$3, WORKDAY($F10, 22,Holiday!$A$1:$A$30)&gt;AU$3)), 1, 0)+IF(AND((AU$3-$B$2)&gt;=0,(AU$3-$B$2)&lt;30), 2,0)</f>
        <v>0</v>
      </c>
      <c r="AV10" s="113">
        <f>IF(OR(AND($F9&lt;=AV$3, $F10 &gt;= AV$3), AND($F10&lt;AV$3, WORKDAY($F10, 22,Holiday!$A$1:$A$30)&gt;AV$3)), 1, 0)+IF(AND((AV$3-$B$2)&gt;=0,(AV$3-$B$2)&lt;30), 2,0)</f>
        <v>0</v>
      </c>
      <c r="AW10" s="113">
        <f>IF(OR(AND($F9&lt;=AW$3, $F10 &gt;= AW$3), AND($F10&lt;AW$3, WORKDAY($F10, 22,Holiday!$A$1:$A$30)&gt;AW$3)), 1, 0)+IF(AND((AW$3-$B$2)&gt;=0,(AW$3-$B$2)&lt;30), 2,0)</f>
        <v>0</v>
      </c>
      <c r="AX10" s="113">
        <f>IF(OR(AND($F9&lt;=AX$3, $F10 &gt;= AX$3), AND($F10&lt;AX$3, WORKDAY($F10, 22,Holiday!$A$1:$A$30)&gt;AX$3)), 1, 0)+IF(AND((AX$3-$B$2)&gt;=0,(AX$3-$B$2)&lt;30), 2,0)</f>
        <v>0</v>
      </c>
      <c r="AY10" s="113">
        <f>IF(OR(AND($F9&lt;=AY$3, $F10 &gt;= AY$3), AND($F10&lt;AY$3, WORKDAY($F10, 22,Holiday!$A$1:$A$30)&gt;AY$3)), 1, 0)+IF(AND((AY$3-$B$2)&gt;=0,(AY$3-$B$2)&lt;30), 2,0)</f>
        <v>0</v>
      </c>
      <c r="AZ10" s="113">
        <f>IF(OR(AND($F9&lt;=AZ$3, $F10 &gt;= AZ$3), AND($F10&lt;AZ$3, WORKDAY($F10, 22,Holiday!$A$1:$A$30)&gt;AZ$3)), 1, 0)+IF(AND((AZ$3-$B$2)&gt;=0,(AZ$3-$B$2)&lt;30), 2,0)</f>
        <v>2</v>
      </c>
      <c r="BA10" s="113">
        <f>IF(OR(AND($F9&lt;=BA$3, $F10 &gt;= BA$3), AND($F10&lt;BA$3, WORKDAY($F10, 22,Holiday!$A$1:$A$30)&gt;BA$3)), 1, 0)+IF(AND((BA$3-$B$2)&gt;=0,(BA$3-$B$2)&lt;30), 2,0)</f>
        <v>0</v>
      </c>
      <c r="BB10" s="113">
        <f>IF(OR(AND($F9&lt;=BB$3, $F10 &gt;= BB$3), AND($F10&lt;BB$3, WORKDAY($F10, 22,Holiday!$A$1:$A$30)&gt;BB$3)), 1, 0)+IF(AND((BB$3-$B$2)&gt;=0,(BB$3-$B$2)&lt;30), 2,0)</f>
        <v>0</v>
      </c>
    </row>
    <row r="11" spans="1:54" ht="15" x14ac:dyDescent="0.2">
      <c r="B11" t="s">
        <v>191</v>
      </c>
      <c r="C11" s="112" t="s">
        <v>78</v>
      </c>
      <c r="D11" s="86">
        <v>10</v>
      </c>
      <c r="E11" s="86">
        <f t="shared" si="0"/>
        <v>15</v>
      </c>
      <c r="F11" s="122">
        <f>WORKDAY(F10,E11,Holiday!A7:A36)</f>
        <v>46199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  <c r="AP11" s="113">
        <f>IF(OR(AND($F10&lt;=AP$3, $F11 &gt;= AP$3), AND($F11&lt;AP$3, WORKDAY($F11, 22,Holiday!$A$1:$A$30)&gt;AP$3)), 1, 0)+IF(AND((AP$3-$B$2)&gt;=0,(AP$3-$B$2)&lt;30), 2,0)</f>
        <v>0</v>
      </c>
      <c r="AQ11" s="113">
        <f>IF(OR(AND($F10&lt;=AQ$3, $F11 &gt;= AQ$3), AND($F11&lt;AQ$3, WORKDAY($F11, 22,Holiday!$A$1:$A$30)&gt;AQ$3)), 1, 0)+IF(AND((AQ$3-$B$2)&gt;=0,(AQ$3-$B$2)&lt;30), 2,0)</f>
        <v>0</v>
      </c>
      <c r="AR11" s="113">
        <f>IF(OR(AND($F10&lt;=AR$3, $F11 &gt;= AR$3), AND($F11&lt;AR$3, WORKDAY($F11, 22,Holiday!$A$1:$A$30)&gt;AR$3)), 1, 0)+IF(AND((AR$3-$B$2)&gt;=0,(AR$3-$B$2)&lt;30), 2,0)</f>
        <v>0</v>
      </c>
      <c r="AS11" s="113">
        <f>IF(OR(AND($F10&lt;=AS$3, $F11 &gt;= AS$3), AND($F11&lt;AS$3, WORKDAY($F11, 22,Holiday!$A$1:$A$30)&gt;AS$3)), 1, 0)+IF(AND((AS$3-$B$2)&gt;=0,(AS$3-$B$2)&lt;30), 2,0)</f>
        <v>0</v>
      </c>
      <c r="AT11" s="113">
        <f>IF(OR(AND($F10&lt;=AT$3, $F11 &gt;= AT$3), AND($F11&lt;AT$3, WORKDAY($F11, 22,Holiday!$A$1:$A$30)&gt;AT$3)), 1, 0)+IF(AND((AT$3-$B$2)&gt;=0,(AT$3-$B$2)&lt;30), 2,0)</f>
        <v>0</v>
      </c>
      <c r="AU11" s="113">
        <f>IF(OR(AND($F10&lt;=AU$3, $F11 &gt;= AU$3), AND($F11&lt;AU$3, WORKDAY($F11, 22,Holiday!$A$1:$A$30)&gt;AU$3)), 1, 0)+IF(AND((AU$3-$B$2)&gt;=0,(AU$3-$B$2)&lt;30), 2,0)</f>
        <v>0</v>
      </c>
      <c r="AV11" s="113">
        <f>IF(OR(AND($F10&lt;=AV$3, $F11 &gt;= AV$3), AND($F11&lt;AV$3, WORKDAY($F11, 22,Holiday!$A$1:$A$30)&gt;AV$3)), 1, 0)+IF(AND((AV$3-$B$2)&gt;=0,(AV$3-$B$2)&lt;30), 2,0)</f>
        <v>0</v>
      </c>
      <c r="AW11" s="113">
        <f>IF(OR(AND($F10&lt;=AW$3, $F11 &gt;= AW$3), AND($F11&lt;AW$3, WORKDAY($F11, 22,Holiday!$A$1:$A$30)&gt;AW$3)), 1, 0)+IF(AND((AW$3-$B$2)&gt;=0,(AW$3-$B$2)&lt;30), 2,0)</f>
        <v>0</v>
      </c>
      <c r="AX11" s="113">
        <f>IF(OR(AND($F10&lt;=AX$3, $F11 &gt;= AX$3), AND($F11&lt;AX$3, WORKDAY($F11, 22,Holiday!$A$1:$A$30)&gt;AX$3)), 1, 0)+IF(AND((AX$3-$B$2)&gt;=0,(AX$3-$B$2)&lt;30), 2,0)</f>
        <v>0</v>
      </c>
      <c r="AY11" s="113">
        <f>IF(OR(AND($F10&lt;=AY$3, $F11 &gt;= AY$3), AND($F11&lt;AY$3, WORKDAY($F11, 22,Holiday!$A$1:$A$30)&gt;AY$3)), 1, 0)+IF(AND((AY$3-$B$2)&gt;=0,(AY$3-$B$2)&lt;30), 2,0)</f>
        <v>0</v>
      </c>
      <c r="AZ11" s="113">
        <f>IF(OR(AND($F10&lt;=AZ$3, $F11 &gt;= AZ$3), AND($F11&lt;AZ$3, WORKDAY($F11, 22,Holiday!$A$1:$A$30)&gt;AZ$3)), 1, 0)+IF(AND((AZ$3-$B$2)&gt;=0,(AZ$3-$B$2)&lt;30), 2,0)</f>
        <v>2</v>
      </c>
      <c r="BA11" s="113">
        <f>IF(OR(AND($F10&lt;=BA$3, $F11 &gt;= BA$3), AND($F11&lt;BA$3, WORKDAY($F11, 22,Holiday!$A$1:$A$30)&gt;BA$3)), 1, 0)+IF(AND((BA$3-$B$2)&gt;=0,(BA$3-$B$2)&lt;30), 2,0)</f>
        <v>0</v>
      </c>
      <c r="BB11" s="113">
        <f>IF(OR(AND($F10&lt;=BB$3, $F11 &gt;= BB$3), AND($F11&lt;BB$3, WORKDAY($F11, 22,Holiday!$A$1:$A$30)&gt;BB$3)), 1, 0)+IF(AND((BB$3-$B$2)&gt;=0,(BB$3-$B$2)&lt;30), 2,0)</f>
        <v>0</v>
      </c>
    </row>
    <row r="12" spans="1:54" ht="15" x14ac:dyDescent="0.2">
      <c r="B12" t="s">
        <v>190</v>
      </c>
      <c r="C12" s="112" t="s">
        <v>78</v>
      </c>
      <c r="D12" s="86">
        <v>10</v>
      </c>
      <c r="E12" s="86">
        <f t="shared" si="0"/>
        <v>15</v>
      </c>
      <c r="F12" s="122">
        <f>WORKDAY(F11,E12,Holiday!A8:A37)</f>
        <v>46220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  <c r="AP12" s="113">
        <f>IF(OR(AND($F11&lt;=AP$3, $F12 &gt;= AP$3), AND($F12&lt;AP$3, WORKDAY($F12, 22,Holiday!$A$1:$A$30)&gt;AP$3)), 1, 0)+IF(AND((AP$3-$B$2)&gt;=0,(AP$3-$B$2)&lt;30), 2,0)</f>
        <v>0</v>
      </c>
      <c r="AQ12" s="113">
        <f>IF(OR(AND($F11&lt;=AQ$3, $F12 &gt;= AQ$3), AND($F12&lt;AQ$3, WORKDAY($F12, 22,Holiday!$A$1:$A$30)&gt;AQ$3)), 1, 0)+IF(AND((AQ$3-$B$2)&gt;=0,(AQ$3-$B$2)&lt;30), 2,0)</f>
        <v>0</v>
      </c>
      <c r="AR12" s="113">
        <f>IF(OR(AND($F11&lt;=AR$3, $F12 &gt;= AR$3), AND($F12&lt;AR$3, WORKDAY($F12, 22,Holiday!$A$1:$A$30)&gt;AR$3)), 1, 0)+IF(AND((AR$3-$B$2)&gt;=0,(AR$3-$B$2)&lt;30), 2,0)</f>
        <v>0</v>
      </c>
      <c r="AS12" s="113">
        <f>IF(OR(AND($F11&lt;=AS$3, $F12 &gt;= AS$3), AND($F12&lt;AS$3, WORKDAY($F12, 22,Holiday!$A$1:$A$30)&gt;AS$3)), 1, 0)+IF(AND((AS$3-$B$2)&gt;=0,(AS$3-$B$2)&lt;30), 2,0)</f>
        <v>0</v>
      </c>
      <c r="AT12" s="113">
        <f>IF(OR(AND($F11&lt;=AT$3, $F12 &gt;= AT$3), AND($F12&lt;AT$3, WORKDAY($F12, 22,Holiday!$A$1:$A$30)&gt;AT$3)), 1, 0)+IF(AND((AT$3-$B$2)&gt;=0,(AT$3-$B$2)&lt;30), 2,0)</f>
        <v>0</v>
      </c>
      <c r="AU12" s="113">
        <f>IF(OR(AND($F11&lt;=AU$3, $F12 &gt;= AU$3), AND($F12&lt;AU$3, WORKDAY($F12, 22,Holiday!$A$1:$A$30)&gt;AU$3)), 1, 0)+IF(AND((AU$3-$B$2)&gt;=0,(AU$3-$B$2)&lt;30), 2,0)</f>
        <v>0</v>
      </c>
      <c r="AV12" s="113">
        <f>IF(OR(AND($F11&lt;=AV$3, $F12 &gt;= AV$3), AND($F12&lt;AV$3, WORKDAY($F12, 22,Holiday!$A$1:$A$30)&gt;AV$3)), 1, 0)+IF(AND((AV$3-$B$2)&gt;=0,(AV$3-$B$2)&lt;30), 2,0)</f>
        <v>0</v>
      </c>
      <c r="AW12" s="113">
        <f>IF(OR(AND($F11&lt;=AW$3, $F12 &gt;= AW$3), AND($F12&lt;AW$3, WORKDAY($F12, 22,Holiday!$A$1:$A$30)&gt;AW$3)), 1, 0)+IF(AND((AW$3-$B$2)&gt;=0,(AW$3-$B$2)&lt;30), 2,0)</f>
        <v>0</v>
      </c>
      <c r="AX12" s="113">
        <f>IF(OR(AND($F11&lt;=AX$3, $F12 &gt;= AX$3), AND($F12&lt;AX$3, WORKDAY($F12, 22,Holiday!$A$1:$A$30)&gt;AX$3)), 1, 0)+IF(AND((AX$3-$B$2)&gt;=0,(AX$3-$B$2)&lt;30), 2,0)</f>
        <v>0</v>
      </c>
      <c r="AY12" s="113">
        <f>IF(OR(AND($F11&lt;=AY$3, $F12 &gt;= AY$3), AND($F12&lt;AY$3, WORKDAY($F12, 22,Holiday!$A$1:$A$30)&gt;AY$3)), 1, 0)+IF(AND((AY$3-$B$2)&gt;=0,(AY$3-$B$2)&lt;30), 2,0)</f>
        <v>0</v>
      </c>
      <c r="AZ12" s="113">
        <f>IF(OR(AND($F11&lt;=AZ$3, $F12 &gt;= AZ$3), AND($F12&lt;AZ$3, WORKDAY($F12, 22,Holiday!$A$1:$A$30)&gt;AZ$3)), 1, 0)+IF(AND((AZ$3-$B$2)&gt;=0,(AZ$3-$B$2)&lt;30), 2,0)</f>
        <v>2</v>
      </c>
      <c r="BA12" s="113">
        <f>IF(OR(AND($F11&lt;=BA$3, $F12 &gt;= BA$3), AND($F12&lt;BA$3, WORKDAY($F12, 22,Holiday!$A$1:$A$30)&gt;BA$3)), 1, 0)+IF(AND((BA$3-$B$2)&gt;=0,(BA$3-$B$2)&lt;30), 2,0)</f>
        <v>0</v>
      </c>
      <c r="BB12" s="113">
        <f>IF(OR(AND($F11&lt;=BB$3, $F12 &gt;= BB$3), AND($F12&lt;BB$3, WORKDAY($F12, 22,Holiday!$A$1:$A$30)&gt;BB$3)), 1, 0)+IF(AND((BB$3-$B$2)&gt;=0,(BB$3-$B$2)&lt;30), 2,0)</f>
        <v>0</v>
      </c>
    </row>
    <row r="13" spans="1:54" ht="15" x14ac:dyDescent="0.2">
      <c r="B13" t="s">
        <v>117</v>
      </c>
      <c r="C13" s="112" t="s">
        <v>78</v>
      </c>
      <c r="D13" s="86">
        <v>10</v>
      </c>
      <c r="E13" s="86">
        <f t="shared" si="0"/>
        <v>15</v>
      </c>
      <c r="F13" s="122">
        <f>WORKDAY(F12,E13,Holiday!A9:A38)</f>
        <v>46241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  <c r="AP13" s="113">
        <f>IF(OR(AND($F12&lt;=AP$3, $F13 &gt;= AP$3), AND($F13&lt;AP$3, WORKDAY($F13, 22,Holiday!$A$1:$A$30)&gt;AP$3)), 1, 0)+IF(AND((AP$3-$B$2)&gt;=0,(AP$3-$B$2)&lt;30), 2,0)</f>
        <v>0</v>
      </c>
      <c r="AQ13" s="113">
        <f>IF(OR(AND($F12&lt;=AQ$3, $F13 &gt;= AQ$3), AND($F13&lt;AQ$3, WORKDAY($F13, 22,Holiday!$A$1:$A$30)&gt;AQ$3)), 1, 0)+IF(AND((AQ$3-$B$2)&gt;=0,(AQ$3-$B$2)&lt;30), 2,0)</f>
        <v>0</v>
      </c>
      <c r="AR13" s="113">
        <f>IF(OR(AND($F12&lt;=AR$3, $F13 &gt;= AR$3), AND($F13&lt;AR$3, WORKDAY($F13, 22,Holiday!$A$1:$A$30)&gt;AR$3)), 1, 0)+IF(AND((AR$3-$B$2)&gt;=0,(AR$3-$B$2)&lt;30), 2,0)</f>
        <v>0</v>
      </c>
      <c r="AS13" s="113">
        <f>IF(OR(AND($F12&lt;=AS$3, $F13 &gt;= AS$3), AND($F13&lt;AS$3, WORKDAY($F13, 22,Holiday!$A$1:$A$30)&gt;AS$3)), 1, 0)+IF(AND((AS$3-$B$2)&gt;=0,(AS$3-$B$2)&lt;30), 2,0)</f>
        <v>0</v>
      </c>
      <c r="AT13" s="113">
        <f>IF(OR(AND($F12&lt;=AT$3, $F13 &gt;= AT$3), AND($F13&lt;AT$3, WORKDAY($F13, 22,Holiday!$A$1:$A$30)&gt;AT$3)), 1, 0)+IF(AND((AT$3-$B$2)&gt;=0,(AT$3-$B$2)&lt;30), 2,0)</f>
        <v>0</v>
      </c>
      <c r="AU13" s="113">
        <f>IF(OR(AND($F12&lt;=AU$3, $F13 &gt;= AU$3), AND($F13&lt;AU$3, WORKDAY($F13, 22,Holiday!$A$1:$A$30)&gt;AU$3)), 1, 0)+IF(AND((AU$3-$B$2)&gt;=0,(AU$3-$B$2)&lt;30), 2,0)</f>
        <v>0</v>
      </c>
      <c r="AV13" s="113">
        <f>IF(OR(AND($F12&lt;=AV$3, $F13 &gt;= AV$3), AND($F13&lt;AV$3, WORKDAY($F13, 22,Holiday!$A$1:$A$30)&gt;AV$3)), 1, 0)+IF(AND((AV$3-$B$2)&gt;=0,(AV$3-$B$2)&lt;30), 2,0)</f>
        <v>0</v>
      </c>
      <c r="AW13" s="113">
        <f>IF(OR(AND($F12&lt;=AW$3, $F13 &gt;= AW$3), AND($F13&lt;AW$3, WORKDAY($F13, 22,Holiday!$A$1:$A$30)&gt;AW$3)), 1, 0)+IF(AND((AW$3-$B$2)&gt;=0,(AW$3-$B$2)&lt;30), 2,0)</f>
        <v>0</v>
      </c>
      <c r="AX13" s="113">
        <f>IF(OR(AND($F12&lt;=AX$3, $F13 &gt;= AX$3), AND($F13&lt;AX$3, WORKDAY($F13, 22,Holiday!$A$1:$A$30)&gt;AX$3)), 1, 0)+IF(AND((AX$3-$B$2)&gt;=0,(AX$3-$B$2)&lt;30), 2,0)</f>
        <v>0</v>
      </c>
      <c r="AY13" s="113">
        <f>IF(OR(AND($F12&lt;=AY$3, $F13 &gt;= AY$3), AND($F13&lt;AY$3, WORKDAY($F13, 22,Holiday!$A$1:$A$30)&gt;AY$3)), 1, 0)+IF(AND((AY$3-$B$2)&gt;=0,(AY$3-$B$2)&lt;30), 2,0)</f>
        <v>0</v>
      </c>
      <c r="AZ13" s="113">
        <f>IF(OR(AND($F12&lt;=AZ$3, $F13 &gt;= AZ$3), AND($F13&lt;AZ$3, WORKDAY($F13, 22,Holiday!$A$1:$A$30)&gt;AZ$3)), 1, 0)+IF(AND((AZ$3-$B$2)&gt;=0,(AZ$3-$B$2)&lt;30), 2,0)</f>
        <v>2</v>
      </c>
      <c r="BA13" s="113">
        <f>IF(OR(AND($F12&lt;=BA$3, $F13 &gt;= BA$3), AND($F13&lt;BA$3, WORKDAY($F13, 22,Holiday!$A$1:$A$30)&gt;BA$3)), 1, 0)+IF(AND((BA$3-$B$2)&gt;=0,(BA$3-$B$2)&lt;30), 2,0)</f>
        <v>0</v>
      </c>
      <c r="BB13" s="113">
        <f>IF(OR(AND($F12&lt;=BB$3, $F13 &gt;= BB$3), AND($F13&lt;BB$3, WORKDAY($F13, 22,Holiday!$A$1:$A$30)&gt;BB$3)), 1, 0)+IF(AND((BB$3-$B$2)&gt;=0,(BB$3-$B$2)&lt;30), 2,0)</f>
        <v>0</v>
      </c>
    </row>
    <row r="14" spans="1:54" ht="15" x14ac:dyDescent="0.2">
      <c r="B14" t="s">
        <v>193</v>
      </c>
      <c r="C14" s="112" t="s">
        <v>78</v>
      </c>
      <c r="D14" s="86">
        <v>10</v>
      </c>
      <c r="E14" s="86">
        <f t="shared" si="0"/>
        <v>15</v>
      </c>
      <c r="F14" s="122">
        <f>WORKDAY(F13,E14,Holiday!A10:A39)</f>
        <v>46262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  <c r="AP14" s="113">
        <f>IF(OR(AND($F13&lt;=AP$3, $F14 &gt;= AP$3), AND($F14&lt;AP$3, WORKDAY($F14, 22,Holiday!$A$1:$A$30)&gt;AP$3)), 1, 0)+IF(AND((AP$3-$B$2)&gt;=0,(AP$3-$B$2)&lt;30), 2,0)</f>
        <v>0</v>
      </c>
      <c r="AQ14" s="113">
        <f>IF(OR(AND($F13&lt;=AQ$3, $F14 &gt;= AQ$3), AND($F14&lt;AQ$3, WORKDAY($F14, 22,Holiday!$A$1:$A$30)&gt;AQ$3)), 1, 0)+IF(AND((AQ$3-$B$2)&gt;=0,(AQ$3-$B$2)&lt;30), 2,0)</f>
        <v>0</v>
      </c>
      <c r="AR14" s="113">
        <f>IF(OR(AND($F13&lt;=AR$3, $F14 &gt;= AR$3), AND($F14&lt;AR$3, WORKDAY($F14, 22,Holiday!$A$1:$A$30)&gt;AR$3)), 1, 0)+IF(AND((AR$3-$B$2)&gt;=0,(AR$3-$B$2)&lt;30), 2,0)</f>
        <v>0</v>
      </c>
      <c r="AS14" s="113">
        <f>IF(OR(AND($F13&lt;=AS$3, $F14 &gt;= AS$3), AND($F14&lt;AS$3, WORKDAY($F14, 22,Holiday!$A$1:$A$30)&gt;AS$3)), 1, 0)+IF(AND((AS$3-$B$2)&gt;=0,(AS$3-$B$2)&lt;30), 2,0)</f>
        <v>0</v>
      </c>
      <c r="AT14" s="113">
        <f>IF(OR(AND($F13&lt;=AT$3, $F14 &gt;= AT$3), AND($F14&lt;AT$3, WORKDAY($F14, 22,Holiday!$A$1:$A$30)&gt;AT$3)), 1, 0)+IF(AND((AT$3-$B$2)&gt;=0,(AT$3-$B$2)&lt;30), 2,0)</f>
        <v>0</v>
      </c>
      <c r="AU14" s="113">
        <f>IF(OR(AND($F13&lt;=AU$3, $F14 &gt;= AU$3), AND($F14&lt;AU$3, WORKDAY($F14, 22,Holiday!$A$1:$A$30)&gt;AU$3)), 1, 0)+IF(AND((AU$3-$B$2)&gt;=0,(AU$3-$B$2)&lt;30), 2,0)</f>
        <v>0</v>
      </c>
      <c r="AV14" s="113">
        <f>IF(OR(AND($F13&lt;=AV$3, $F14 &gt;= AV$3), AND($F14&lt;AV$3, WORKDAY($F14, 22,Holiday!$A$1:$A$30)&gt;AV$3)), 1, 0)+IF(AND((AV$3-$B$2)&gt;=0,(AV$3-$B$2)&lt;30), 2,0)</f>
        <v>0</v>
      </c>
      <c r="AW14" s="113">
        <f>IF(OR(AND($F13&lt;=AW$3, $F14 &gt;= AW$3), AND($F14&lt;AW$3, WORKDAY($F14, 22,Holiday!$A$1:$A$30)&gt;AW$3)), 1, 0)+IF(AND((AW$3-$B$2)&gt;=0,(AW$3-$B$2)&lt;30), 2,0)</f>
        <v>0</v>
      </c>
      <c r="AX14" s="113">
        <f>IF(OR(AND($F13&lt;=AX$3, $F14 &gt;= AX$3), AND($F14&lt;AX$3, WORKDAY($F14, 22,Holiday!$A$1:$A$30)&gt;AX$3)), 1, 0)+IF(AND((AX$3-$B$2)&gt;=0,(AX$3-$B$2)&lt;30), 2,0)</f>
        <v>0</v>
      </c>
      <c r="AY14" s="113">
        <f>IF(OR(AND($F13&lt;=AY$3, $F14 &gt;= AY$3), AND($F14&lt;AY$3, WORKDAY($F14, 22,Holiday!$A$1:$A$30)&gt;AY$3)), 1, 0)+IF(AND((AY$3-$B$2)&gt;=0,(AY$3-$B$2)&lt;30), 2,0)</f>
        <v>0</v>
      </c>
      <c r="AZ14" s="113">
        <f>IF(OR(AND($F13&lt;=AZ$3, $F14 &gt;= AZ$3), AND($F14&lt;AZ$3, WORKDAY($F14, 22,Holiday!$A$1:$A$30)&gt;AZ$3)), 1, 0)+IF(AND((AZ$3-$B$2)&gt;=0,(AZ$3-$B$2)&lt;30), 2,0)</f>
        <v>2</v>
      </c>
      <c r="BA14" s="113">
        <f>IF(OR(AND($F13&lt;=BA$3, $F14 &gt;= BA$3), AND($F14&lt;BA$3, WORKDAY($F14, 22,Holiday!$A$1:$A$30)&gt;BA$3)), 1, 0)+IF(AND((BA$3-$B$2)&gt;=0,(BA$3-$B$2)&lt;30), 2,0)</f>
        <v>0</v>
      </c>
      <c r="BB14" s="113">
        <f>IF(OR(AND($F13&lt;=BB$3, $F14 &gt;= BB$3), AND($F14&lt;BB$3, WORKDAY($F14, 22,Holiday!$A$1:$A$30)&gt;BB$3)), 1, 0)+IF(AND((BB$3-$B$2)&gt;=0,(BB$3-$B$2)&lt;30), 2,0)</f>
        <v>0</v>
      </c>
    </row>
    <row r="15" spans="1:54" ht="15" x14ac:dyDescent="0.2">
      <c r="B15" t="s">
        <v>197</v>
      </c>
      <c r="C15" s="112" t="s">
        <v>78</v>
      </c>
      <c r="D15" s="86">
        <v>10</v>
      </c>
      <c r="E15" s="86">
        <f t="shared" si="0"/>
        <v>15</v>
      </c>
      <c r="F15" s="122">
        <f>WORKDAY(F14,E15,Holiday!A11:A40)</f>
        <v>46283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  <c r="AP15" s="113">
        <f>IF(OR(AND($F14&lt;=AP$3, $F15 &gt;= AP$3), AND($F15&lt;AP$3, WORKDAY($F15, 22,Holiday!$A$1:$A$30)&gt;AP$3)), 1, 0)+IF(AND((AP$3-$B$2)&gt;=0,(AP$3-$B$2)&lt;30), 2,0)</f>
        <v>0</v>
      </c>
      <c r="AQ15" s="113">
        <f>IF(OR(AND($F14&lt;=AQ$3, $F15 &gt;= AQ$3), AND($F15&lt;AQ$3, WORKDAY($F15, 22,Holiday!$A$1:$A$30)&gt;AQ$3)), 1, 0)+IF(AND((AQ$3-$B$2)&gt;=0,(AQ$3-$B$2)&lt;30), 2,0)</f>
        <v>0</v>
      </c>
      <c r="AR15" s="113">
        <f>IF(OR(AND($F14&lt;=AR$3, $F15 &gt;= AR$3), AND($F15&lt;AR$3, WORKDAY($F15, 22,Holiday!$A$1:$A$30)&gt;AR$3)), 1, 0)+IF(AND((AR$3-$B$2)&gt;=0,(AR$3-$B$2)&lt;30), 2,0)</f>
        <v>0</v>
      </c>
      <c r="AS15" s="113">
        <f>IF(OR(AND($F14&lt;=AS$3, $F15 &gt;= AS$3), AND($F15&lt;AS$3, WORKDAY($F15, 22,Holiday!$A$1:$A$30)&gt;AS$3)), 1, 0)+IF(AND((AS$3-$B$2)&gt;=0,(AS$3-$B$2)&lt;30), 2,0)</f>
        <v>0</v>
      </c>
      <c r="AT15" s="113">
        <f>IF(OR(AND($F14&lt;=AT$3, $F15 &gt;= AT$3), AND($F15&lt;AT$3, WORKDAY($F15, 22,Holiday!$A$1:$A$30)&gt;AT$3)), 1, 0)+IF(AND((AT$3-$B$2)&gt;=0,(AT$3-$B$2)&lt;30), 2,0)</f>
        <v>0</v>
      </c>
      <c r="AU15" s="113">
        <f>IF(OR(AND($F14&lt;=AU$3, $F15 &gt;= AU$3), AND($F15&lt;AU$3, WORKDAY($F15, 22,Holiday!$A$1:$A$30)&gt;AU$3)), 1, 0)+IF(AND((AU$3-$B$2)&gt;=0,(AU$3-$B$2)&lt;30), 2,0)</f>
        <v>0</v>
      </c>
      <c r="AV15" s="113">
        <f>IF(OR(AND($F14&lt;=AV$3, $F15 &gt;= AV$3), AND($F15&lt;AV$3, WORKDAY($F15, 22,Holiday!$A$1:$A$30)&gt;AV$3)), 1, 0)+IF(AND((AV$3-$B$2)&gt;=0,(AV$3-$B$2)&lt;30), 2,0)</f>
        <v>0</v>
      </c>
      <c r="AW15" s="113">
        <f>IF(OR(AND($F14&lt;=AW$3, $F15 &gt;= AW$3), AND($F15&lt;AW$3, WORKDAY($F15, 22,Holiday!$A$1:$A$30)&gt;AW$3)), 1, 0)+IF(AND((AW$3-$B$2)&gt;=0,(AW$3-$B$2)&lt;30), 2,0)</f>
        <v>0</v>
      </c>
      <c r="AX15" s="113">
        <f>IF(OR(AND($F14&lt;=AX$3, $F15 &gt;= AX$3), AND($F15&lt;AX$3, WORKDAY($F15, 22,Holiday!$A$1:$A$30)&gt;AX$3)), 1, 0)+IF(AND((AX$3-$B$2)&gt;=0,(AX$3-$B$2)&lt;30), 2,0)</f>
        <v>0</v>
      </c>
      <c r="AY15" s="113">
        <f>IF(OR(AND($F14&lt;=AY$3, $F15 &gt;= AY$3), AND($F15&lt;AY$3, WORKDAY($F15, 22,Holiday!$A$1:$A$30)&gt;AY$3)), 1, 0)+IF(AND((AY$3-$B$2)&gt;=0,(AY$3-$B$2)&lt;30), 2,0)</f>
        <v>0</v>
      </c>
      <c r="AZ15" s="113">
        <f>IF(OR(AND($F14&lt;=AZ$3, $F15 &gt;= AZ$3), AND($F15&lt;AZ$3, WORKDAY($F15, 22,Holiday!$A$1:$A$30)&gt;AZ$3)), 1, 0)+IF(AND((AZ$3-$B$2)&gt;=0,(AZ$3-$B$2)&lt;30), 2,0)</f>
        <v>2</v>
      </c>
      <c r="BA15" s="113">
        <f>IF(OR(AND($F14&lt;=BA$3, $F15 &gt;= BA$3), AND($F15&lt;BA$3, WORKDAY($F15, 22,Holiday!$A$1:$A$30)&gt;BA$3)), 1, 0)+IF(AND((BA$3-$B$2)&gt;=0,(BA$3-$B$2)&lt;30), 2,0)</f>
        <v>0</v>
      </c>
      <c r="BB15" s="113">
        <f>IF(OR(AND($F14&lt;=BB$3, $F15 &gt;= BB$3), AND($F15&lt;BB$3, WORKDAY($F15, 22,Holiday!$A$1:$A$30)&gt;BB$3)), 1, 0)+IF(AND((BB$3-$B$2)&gt;=0,(BB$3-$B$2)&lt;30), 2,0)</f>
        <v>0</v>
      </c>
    </row>
    <row r="16" spans="1:54" ht="15" x14ac:dyDescent="0.2">
      <c r="B16" t="s">
        <v>118</v>
      </c>
      <c r="C16" s="112" t="s">
        <v>78</v>
      </c>
      <c r="D16" s="86">
        <v>10</v>
      </c>
      <c r="E16" s="86">
        <f t="shared" si="0"/>
        <v>15</v>
      </c>
      <c r="F16" s="122">
        <f>WORKDAY(F15,E16,Holiday!A12:A41)</f>
        <v>46304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1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  <c r="AP16" s="113">
        <f>IF(OR(AND($F15&lt;=AP$3, $F16 &gt;= AP$3), AND($F16&lt;AP$3, WORKDAY($F16, 22,Holiday!$A$1:$A$30)&gt;AP$3)), 1, 0)+IF(AND((AP$3-$B$2)&gt;=0,(AP$3-$B$2)&lt;30), 2,0)</f>
        <v>0</v>
      </c>
      <c r="AQ16" s="113">
        <f>IF(OR(AND($F15&lt;=AQ$3, $F16 &gt;= AQ$3), AND($F16&lt;AQ$3, WORKDAY($F16, 22,Holiday!$A$1:$A$30)&gt;AQ$3)), 1, 0)+IF(AND((AQ$3-$B$2)&gt;=0,(AQ$3-$B$2)&lt;30), 2,0)</f>
        <v>0</v>
      </c>
      <c r="AR16" s="113">
        <f>IF(OR(AND($F15&lt;=AR$3, $F16 &gt;= AR$3), AND($F16&lt;AR$3, WORKDAY($F16, 22,Holiday!$A$1:$A$30)&gt;AR$3)), 1, 0)+IF(AND((AR$3-$B$2)&gt;=0,(AR$3-$B$2)&lt;30), 2,0)</f>
        <v>0</v>
      </c>
      <c r="AS16" s="113">
        <f>IF(OR(AND($F15&lt;=AS$3, $F16 &gt;= AS$3), AND($F16&lt;AS$3, WORKDAY($F16, 22,Holiday!$A$1:$A$30)&gt;AS$3)), 1, 0)+IF(AND((AS$3-$B$2)&gt;=0,(AS$3-$B$2)&lt;30), 2,0)</f>
        <v>0</v>
      </c>
      <c r="AT16" s="113">
        <f>IF(OR(AND($F15&lt;=AT$3, $F16 &gt;= AT$3), AND($F16&lt;AT$3, WORKDAY($F16, 22,Holiday!$A$1:$A$30)&gt;AT$3)), 1, 0)+IF(AND((AT$3-$B$2)&gt;=0,(AT$3-$B$2)&lt;30), 2,0)</f>
        <v>0</v>
      </c>
      <c r="AU16" s="113">
        <f>IF(OR(AND($F15&lt;=AU$3, $F16 &gt;= AU$3), AND($F16&lt;AU$3, WORKDAY($F16, 22,Holiday!$A$1:$A$30)&gt;AU$3)), 1, 0)+IF(AND((AU$3-$B$2)&gt;=0,(AU$3-$B$2)&lt;30), 2,0)</f>
        <v>0</v>
      </c>
      <c r="AV16" s="113">
        <f>IF(OR(AND($F15&lt;=AV$3, $F16 &gt;= AV$3), AND($F16&lt;AV$3, WORKDAY($F16, 22,Holiday!$A$1:$A$30)&gt;AV$3)), 1, 0)+IF(AND((AV$3-$B$2)&gt;=0,(AV$3-$B$2)&lt;30), 2,0)</f>
        <v>0</v>
      </c>
      <c r="AW16" s="113">
        <f>IF(OR(AND($F15&lt;=AW$3, $F16 &gt;= AW$3), AND($F16&lt;AW$3, WORKDAY($F16, 22,Holiday!$A$1:$A$30)&gt;AW$3)), 1, 0)+IF(AND((AW$3-$B$2)&gt;=0,(AW$3-$B$2)&lt;30), 2,0)</f>
        <v>0</v>
      </c>
      <c r="AX16" s="113">
        <f>IF(OR(AND($F15&lt;=AX$3, $F16 &gt;= AX$3), AND($F16&lt;AX$3, WORKDAY($F16, 22,Holiday!$A$1:$A$30)&gt;AX$3)), 1, 0)+IF(AND((AX$3-$B$2)&gt;=0,(AX$3-$B$2)&lt;30), 2,0)</f>
        <v>0</v>
      </c>
      <c r="AY16" s="113">
        <f>IF(OR(AND($F15&lt;=AY$3, $F16 &gt;= AY$3), AND($F16&lt;AY$3, WORKDAY($F16, 22,Holiday!$A$1:$A$30)&gt;AY$3)), 1, 0)+IF(AND((AY$3-$B$2)&gt;=0,(AY$3-$B$2)&lt;30), 2,0)</f>
        <v>0</v>
      </c>
      <c r="AZ16" s="113">
        <f>IF(OR(AND($F15&lt;=AZ$3, $F16 &gt;= AZ$3), AND($F16&lt;AZ$3, WORKDAY($F16, 22,Holiday!$A$1:$A$30)&gt;AZ$3)), 1, 0)+IF(AND((AZ$3-$B$2)&gt;=0,(AZ$3-$B$2)&lt;30), 2,0)</f>
        <v>2</v>
      </c>
      <c r="BA16" s="113">
        <f>IF(OR(AND($F15&lt;=BA$3, $F16 &gt;= BA$3), AND($F16&lt;BA$3, WORKDAY($F16, 22,Holiday!$A$1:$A$30)&gt;BA$3)), 1, 0)+IF(AND((BA$3-$B$2)&gt;=0,(BA$3-$B$2)&lt;30), 2,0)</f>
        <v>0</v>
      </c>
      <c r="BB16" s="113">
        <f>IF(OR(AND($F15&lt;=BB$3, $F16 &gt;= BB$3), AND($F16&lt;BB$3, WORKDAY($F16, 22,Holiday!$A$1:$A$30)&gt;BB$3)), 1, 0)+IF(AND((BB$3-$B$2)&gt;=0,(BB$3-$B$2)&lt;30), 2,0)</f>
        <v>0</v>
      </c>
    </row>
    <row r="17" spans="2:54" ht="15" x14ac:dyDescent="0.2">
      <c r="B17" t="s">
        <v>194</v>
      </c>
      <c r="C17" s="112" t="s">
        <v>78</v>
      </c>
      <c r="D17" s="86">
        <v>10</v>
      </c>
      <c r="E17" s="86">
        <f t="shared" si="0"/>
        <v>15</v>
      </c>
      <c r="F17" s="122">
        <f>WORKDAY(F16,E17,Holiday!A13:A42)</f>
        <v>46325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1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  <c r="AP17" s="113">
        <f>IF(OR(AND($F16&lt;=AP$3, $F17 &gt;= AP$3), AND($F17&lt;AP$3, WORKDAY($F17, 22,Holiday!$A$1:$A$30)&gt;AP$3)), 1, 0)+IF(AND((AP$3-$B$2)&gt;=0,(AP$3-$B$2)&lt;30), 2,0)</f>
        <v>0</v>
      </c>
      <c r="AQ17" s="113">
        <f>IF(OR(AND($F16&lt;=AQ$3, $F17 &gt;= AQ$3), AND($F17&lt;AQ$3, WORKDAY($F17, 22,Holiday!$A$1:$A$30)&gt;AQ$3)), 1, 0)+IF(AND((AQ$3-$B$2)&gt;=0,(AQ$3-$B$2)&lt;30), 2,0)</f>
        <v>0</v>
      </c>
      <c r="AR17" s="113">
        <f>IF(OR(AND($F16&lt;=AR$3, $F17 &gt;= AR$3), AND($F17&lt;AR$3, WORKDAY($F17, 22,Holiday!$A$1:$A$30)&gt;AR$3)), 1, 0)+IF(AND((AR$3-$B$2)&gt;=0,(AR$3-$B$2)&lt;30), 2,0)</f>
        <v>0</v>
      </c>
      <c r="AS17" s="113">
        <f>IF(OR(AND($F16&lt;=AS$3, $F17 &gt;= AS$3), AND($F17&lt;AS$3, WORKDAY($F17, 22,Holiday!$A$1:$A$30)&gt;AS$3)), 1, 0)+IF(AND((AS$3-$B$2)&gt;=0,(AS$3-$B$2)&lt;30), 2,0)</f>
        <v>0</v>
      </c>
      <c r="AT17" s="113">
        <f>IF(OR(AND($F16&lt;=AT$3, $F17 &gt;= AT$3), AND($F17&lt;AT$3, WORKDAY($F17, 22,Holiday!$A$1:$A$30)&gt;AT$3)), 1, 0)+IF(AND((AT$3-$B$2)&gt;=0,(AT$3-$B$2)&lt;30), 2,0)</f>
        <v>0</v>
      </c>
      <c r="AU17" s="113">
        <f>IF(OR(AND($F16&lt;=AU$3, $F17 &gt;= AU$3), AND($F17&lt;AU$3, WORKDAY($F17, 22,Holiday!$A$1:$A$30)&gt;AU$3)), 1, 0)+IF(AND((AU$3-$B$2)&gt;=0,(AU$3-$B$2)&lt;30), 2,0)</f>
        <v>0</v>
      </c>
      <c r="AV17" s="113">
        <f>IF(OR(AND($F16&lt;=AV$3, $F17 &gt;= AV$3), AND($F17&lt;AV$3, WORKDAY($F17, 22,Holiday!$A$1:$A$30)&gt;AV$3)), 1, 0)+IF(AND((AV$3-$B$2)&gt;=0,(AV$3-$B$2)&lt;30), 2,0)</f>
        <v>0</v>
      </c>
      <c r="AW17" s="113">
        <f>IF(OR(AND($F16&lt;=AW$3, $F17 &gt;= AW$3), AND($F17&lt;AW$3, WORKDAY($F17, 22,Holiday!$A$1:$A$30)&gt;AW$3)), 1, 0)+IF(AND((AW$3-$B$2)&gt;=0,(AW$3-$B$2)&lt;30), 2,0)</f>
        <v>0</v>
      </c>
      <c r="AX17" s="113">
        <f>IF(OR(AND($F16&lt;=AX$3, $F17 &gt;= AX$3), AND($F17&lt;AX$3, WORKDAY($F17, 22,Holiday!$A$1:$A$30)&gt;AX$3)), 1, 0)+IF(AND((AX$3-$B$2)&gt;=0,(AX$3-$B$2)&lt;30), 2,0)</f>
        <v>0</v>
      </c>
      <c r="AY17" s="113">
        <f>IF(OR(AND($F16&lt;=AY$3, $F17 &gt;= AY$3), AND($F17&lt;AY$3, WORKDAY($F17, 22,Holiday!$A$1:$A$30)&gt;AY$3)), 1, 0)+IF(AND((AY$3-$B$2)&gt;=0,(AY$3-$B$2)&lt;30), 2,0)</f>
        <v>0</v>
      </c>
      <c r="AZ17" s="113">
        <f>IF(OR(AND($F16&lt;=AZ$3, $F17 &gt;= AZ$3), AND($F17&lt;AZ$3, WORKDAY($F17, 22,Holiday!$A$1:$A$30)&gt;AZ$3)), 1, 0)+IF(AND((AZ$3-$B$2)&gt;=0,(AZ$3-$B$2)&lt;30), 2,0)</f>
        <v>2</v>
      </c>
      <c r="BA17" s="113">
        <f>IF(OR(AND($F16&lt;=BA$3, $F17 &gt;= BA$3), AND($F17&lt;BA$3, WORKDAY($F17, 22,Holiday!$A$1:$A$30)&gt;BA$3)), 1, 0)+IF(AND((BA$3-$B$2)&gt;=0,(BA$3-$B$2)&lt;30), 2,0)</f>
        <v>0</v>
      </c>
      <c r="BB17" s="113">
        <f>IF(OR(AND($F16&lt;=BB$3, $F17 &gt;= BB$3), AND($F17&lt;BB$3, WORKDAY($F17, 22,Holiday!$A$1:$A$30)&gt;BB$3)), 1, 0)+IF(AND((BB$3-$B$2)&gt;=0,(BB$3-$B$2)&lt;30), 2,0)</f>
        <v>0</v>
      </c>
    </row>
    <row r="18" spans="2:54" ht="15" x14ac:dyDescent="0.2">
      <c r="B18" t="s">
        <v>187</v>
      </c>
      <c r="C18" s="112" t="s">
        <v>78</v>
      </c>
      <c r="D18" s="86">
        <v>10</v>
      </c>
      <c r="E18" s="86">
        <f t="shared" si="0"/>
        <v>15</v>
      </c>
      <c r="F18" s="122">
        <f>WORKDAY(F17,E18,Holiday!A14:A43)</f>
        <v>46346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1</v>
      </c>
      <c r="Q18" s="113">
        <f>IF(OR(AND($F17&lt;=Q$3, $F18 &gt;= Q$3), AND($F18&lt;Q$3, WORKDAY($F18, 22,Holiday!$A$1:$A$30)&gt;Q$3)), 1, 0)+IF(AND((Q$3-$B$2)&gt;=0,(Q$3-$B$2)&lt;30), 2,0)</f>
        <v>1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  <c r="AP18" s="113">
        <f>IF(OR(AND($F17&lt;=AP$3, $F18 &gt;= AP$3), AND($F18&lt;AP$3, WORKDAY($F18, 22,Holiday!$A$1:$A$30)&gt;AP$3)), 1, 0)+IF(AND((AP$3-$B$2)&gt;=0,(AP$3-$B$2)&lt;30), 2,0)</f>
        <v>0</v>
      </c>
      <c r="AQ18" s="113">
        <f>IF(OR(AND($F17&lt;=AQ$3, $F18 &gt;= AQ$3), AND($F18&lt;AQ$3, WORKDAY($F18, 22,Holiday!$A$1:$A$30)&gt;AQ$3)), 1, 0)+IF(AND((AQ$3-$B$2)&gt;=0,(AQ$3-$B$2)&lt;30), 2,0)</f>
        <v>0</v>
      </c>
      <c r="AR18" s="113">
        <f>IF(OR(AND($F17&lt;=AR$3, $F18 &gt;= AR$3), AND($F18&lt;AR$3, WORKDAY($F18, 22,Holiday!$A$1:$A$30)&gt;AR$3)), 1, 0)+IF(AND((AR$3-$B$2)&gt;=0,(AR$3-$B$2)&lt;30), 2,0)</f>
        <v>0</v>
      </c>
      <c r="AS18" s="113">
        <f>IF(OR(AND($F17&lt;=AS$3, $F18 &gt;= AS$3), AND($F18&lt;AS$3, WORKDAY($F18, 22,Holiday!$A$1:$A$30)&gt;AS$3)), 1, 0)+IF(AND((AS$3-$B$2)&gt;=0,(AS$3-$B$2)&lt;30), 2,0)</f>
        <v>0</v>
      </c>
      <c r="AT18" s="113">
        <f>IF(OR(AND($F17&lt;=AT$3, $F18 &gt;= AT$3), AND($F18&lt;AT$3, WORKDAY($F18, 22,Holiday!$A$1:$A$30)&gt;AT$3)), 1, 0)+IF(AND((AT$3-$B$2)&gt;=0,(AT$3-$B$2)&lt;30), 2,0)</f>
        <v>0</v>
      </c>
      <c r="AU18" s="113">
        <f>IF(OR(AND($F17&lt;=AU$3, $F18 &gt;= AU$3), AND($F18&lt;AU$3, WORKDAY($F18, 22,Holiday!$A$1:$A$30)&gt;AU$3)), 1, 0)+IF(AND((AU$3-$B$2)&gt;=0,(AU$3-$B$2)&lt;30), 2,0)</f>
        <v>0</v>
      </c>
      <c r="AV18" s="113">
        <f>IF(OR(AND($F17&lt;=AV$3, $F18 &gt;= AV$3), AND($F18&lt;AV$3, WORKDAY($F18, 22,Holiday!$A$1:$A$30)&gt;AV$3)), 1, 0)+IF(AND((AV$3-$B$2)&gt;=0,(AV$3-$B$2)&lt;30), 2,0)</f>
        <v>0</v>
      </c>
      <c r="AW18" s="113">
        <f>IF(OR(AND($F17&lt;=AW$3, $F18 &gt;= AW$3), AND($F18&lt;AW$3, WORKDAY($F18, 22,Holiday!$A$1:$A$30)&gt;AW$3)), 1, 0)+IF(AND((AW$3-$B$2)&gt;=0,(AW$3-$B$2)&lt;30), 2,0)</f>
        <v>0</v>
      </c>
      <c r="AX18" s="113">
        <f>IF(OR(AND($F17&lt;=AX$3, $F18 &gt;= AX$3), AND($F18&lt;AX$3, WORKDAY($F18, 22,Holiday!$A$1:$A$30)&gt;AX$3)), 1, 0)+IF(AND((AX$3-$B$2)&gt;=0,(AX$3-$B$2)&lt;30), 2,0)</f>
        <v>0</v>
      </c>
      <c r="AY18" s="113">
        <f>IF(OR(AND($F17&lt;=AY$3, $F18 &gt;= AY$3), AND($F18&lt;AY$3, WORKDAY($F18, 22,Holiday!$A$1:$A$30)&gt;AY$3)), 1, 0)+IF(AND((AY$3-$B$2)&gt;=0,(AY$3-$B$2)&lt;30), 2,0)</f>
        <v>0</v>
      </c>
      <c r="AZ18" s="113">
        <f>IF(OR(AND($F17&lt;=AZ$3, $F18 &gt;= AZ$3), AND($F18&lt;AZ$3, WORKDAY($F18, 22,Holiday!$A$1:$A$30)&gt;AZ$3)), 1, 0)+IF(AND((AZ$3-$B$2)&gt;=0,(AZ$3-$B$2)&lt;30), 2,0)</f>
        <v>2</v>
      </c>
      <c r="BA18" s="113">
        <f>IF(OR(AND($F17&lt;=BA$3, $F18 &gt;= BA$3), AND($F18&lt;BA$3, WORKDAY($F18, 22,Holiday!$A$1:$A$30)&gt;BA$3)), 1, 0)+IF(AND((BA$3-$B$2)&gt;=0,(BA$3-$B$2)&lt;30), 2,0)</f>
        <v>0</v>
      </c>
      <c r="BB18" s="113">
        <f>IF(OR(AND($F17&lt;=BB$3, $F18 &gt;= BB$3), AND($F18&lt;BB$3, WORKDAY($F18, 22,Holiday!$A$1:$A$30)&gt;BB$3)), 1, 0)+IF(AND((BB$3-$B$2)&gt;=0,(BB$3-$B$2)&lt;30), 2,0)</f>
        <v>0</v>
      </c>
    </row>
    <row r="19" spans="2:54" ht="15" x14ac:dyDescent="0.2">
      <c r="B19" t="s">
        <v>122</v>
      </c>
      <c r="C19" s="112" t="s">
        <v>78</v>
      </c>
      <c r="D19" s="111">
        <v>5</v>
      </c>
      <c r="E19" s="86">
        <f t="shared" si="0"/>
        <v>8</v>
      </c>
      <c r="F19" s="122">
        <f>WORKDAY(F18,E19,Holiday!A15:A44)</f>
        <v>46358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1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  <c r="AP19" s="113">
        <f>IF(OR(AND($F18&lt;=AP$3, $F19 &gt;= AP$3), AND($F19&lt;AP$3, WORKDAY($F19, 22,Holiday!$A$1:$A$30)&gt;AP$3)), 1, 0)+IF(AND((AP$3-$B$2)&gt;=0,(AP$3-$B$2)&lt;30), 2,0)</f>
        <v>0</v>
      </c>
      <c r="AQ19" s="113">
        <f>IF(OR(AND($F18&lt;=AQ$3, $F19 &gt;= AQ$3), AND($F19&lt;AQ$3, WORKDAY($F19, 22,Holiday!$A$1:$A$30)&gt;AQ$3)), 1, 0)+IF(AND((AQ$3-$B$2)&gt;=0,(AQ$3-$B$2)&lt;30), 2,0)</f>
        <v>0</v>
      </c>
      <c r="AR19" s="113">
        <f>IF(OR(AND($F18&lt;=AR$3, $F19 &gt;= AR$3), AND($F19&lt;AR$3, WORKDAY($F19, 22,Holiday!$A$1:$A$30)&gt;AR$3)), 1, 0)+IF(AND((AR$3-$B$2)&gt;=0,(AR$3-$B$2)&lt;30), 2,0)</f>
        <v>0</v>
      </c>
      <c r="AS19" s="113">
        <f>IF(OR(AND($F18&lt;=AS$3, $F19 &gt;= AS$3), AND($F19&lt;AS$3, WORKDAY($F19, 22,Holiday!$A$1:$A$30)&gt;AS$3)), 1, 0)+IF(AND((AS$3-$B$2)&gt;=0,(AS$3-$B$2)&lt;30), 2,0)</f>
        <v>0</v>
      </c>
      <c r="AT19" s="113">
        <f>IF(OR(AND($F18&lt;=AT$3, $F19 &gt;= AT$3), AND($F19&lt;AT$3, WORKDAY($F19, 22,Holiday!$A$1:$A$30)&gt;AT$3)), 1, 0)+IF(AND((AT$3-$B$2)&gt;=0,(AT$3-$B$2)&lt;30), 2,0)</f>
        <v>0</v>
      </c>
      <c r="AU19" s="113">
        <f>IF(OR(AND($F18&lt;=AU$3, $F19 &gt;= AU$3), AND($F19&lt;AU$3, WORKDAY($F19, 22,Holiday!$A$1:$A$30)&gt;AU$3)), 1, 0)+IF(AND((AU$3-$B$2)&gt;=0,(AU$3-$B$2)&lt;30), 2,0)</f>
        <v>0</v>
      </c>
      <c r="AV19" s="113">
        <f>IF(OR(AND($F18&lt;=AV$3, $F19 &gt;= AV$3), AND($F19&lt;AV$3, WORKDAY($F19, 22,Holiday!$A$1:$A$30)&gt;AV$3)), 1, 0)+IF(AND((AV$3-$B$2)&gt;=0,(AV$3-$B$2)&lt;30), 2,0)</f>
        <v>0</v>
      </c>
      <c r="AW19" s="113">
        <f>IF(OR(AND($F18&lt;=AW$3, $F19 &gt;= AW$3), AND($F19&lt;AW$3, WORKDAY($F19, 22,Holiday!$A$1:$A$30)&gt;AW$3)), 1, 0)+IF(AND((AW$3-$B$2)&gt;=0,(AW$3-$B$2)&lt;30), 2,0)</f>
        <v>0</v>
      </c>
      <c r="AX19" s="113">
        <f>IF(OR(AND($F18&lt;=AX$3, $F19 &gt;= AX$3), AND($F19&lt;AX$3, WORKDAY($F19, 22,Holiday!$A$1:$A$30)&gt;AX$3)), 1, 0)+IF(AND((AX$3-$B$2)&gt;=0,(AX$3-$B$2)&lt;30), 2,0)</f>
        <v>0</v>
      </c>
      <c r="AY19" s="113">
        <f>IF(OR(AND($F18&lt;=AY$3, $F19 &gt;= AY$3), AND($F19&lt;AY$3, WORKDAY($F19, 22,Holiday!$A$1:$A$30)&gt;AY$3)), 1, 0)+IF(AND((AY$3-$B$2)&gt;=0,(AY$3-$B$2)&lt;30), 2,0)</f>
        <v>0</v>
      </c>
      <c r="AZ19" s="113">
        <f>IF(OR(AND($F18&lt;=AZ$3, $F19 &gt;= AZ$3), AND($F19&lt;AZ$3, WORKDAY($F19, 22,Holiday!$A$1:$A$30)&gt;AZ$3)), 1, 0)+IF(AND((AZ$3-$B$2)&gt;=0,(AZ$3-$B$2)&lt;30), 2,0)</f>
        <v>2</v>
      </c>
      <c r="BA19" s="113">
        <f>IF(OR(AND($F18&lt;=BA$3, $F19 &gt;= BA$3), AND($F19&lt;BA$3, WORKDAY($F19, 22,Holiday!$A$1:$A$30)&gt;BA$3)), 1, 0)+IF(AND((BA$3-$B$2)&gt;=0,(BA$3-$B$2)&lt;30), 2,0)</f>
        <v>0</v>
      </c>
      <c r="BB19" s="113">
        <f>IF(OR(AND($F18&lt;=BB$3, $F19 &gt;= BB$3), AND($F19&lt;BB$3, WORKDAY($F19, 22,Holiday!$A$1:$A$30)&gt;BB$3)), 1, 0)+IF(AND((BB$3-$B$2)&gt;=0,(BB$3-$B$2)&lt;30), 2,0)</f>
        <v>0</v>
      </c>
    </row>
    <row r="20" spans="2:54" ht="15" x14ac:dyDescent="0.2">
      <c r="B20" t="s">
        <v>138</v>
      </c>
      <c r="C20" s="112" t="s">
        <v>78</v>
      </c>
      <c r="D20" s="111">
        <v>5</v>
      </c>
      <c r="E20" s="86">
        <f t="shared" si="0"/>
        <v>8</v>
      </c>
      <c r="F20" s="122">
        <f>WORKDAY(F19,E20,Holiday!A16:A45)</f>
        <v>46370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1</v>
      </c>
      <c r="R20" s="113">
        <f>IF(OR(AND($F19&lt;=R$3, $F20 &gt;= R$3), AND($F20&lt;R$3, WORKDAY($F20, 22,Holiday!$A$1:$A$30)&gt;R$3)), 1, 0)+IF(AND((R$3-$B$2)&gt;=0,(R$3-$B$2)&lt;30), 2,0)</f>
        <v>1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  <c r="AP20" s="113">
        <f>IF(OR(AND($F19&lt;=AP$3, $F20 &gt;= AP$3), AND($F20&lt;AP$3, WORKDAY($F20, 22,Holiday!$A$1:$A$30)&gt;AP$3)), 1, 0)+IF(AND((AP$3-$B$2)&gt;=0,(AP$3-$B$2)&lt;30), 2,0)</f>
        <v>0</v>
      </c>
      <c r="AQ20" s="113">
        <f>IF(OR(AND($F19&lt;=AQ$3, $F20 &gt;= AQ$3), AND($F20&lt;AQ$3, WORKDAY($F20, 22,Holiday!$A$1:$A$30)&gt;AQ$3)), 1, 0)+IF(AND((AQ$3-$B$2)&gt;=0,(AQ$3-$B$2)&lt;30), 2,0)</f>
        <v>0</v>
      </c>
      <c r="AR20" s="113">
        <f>IF(OR(AND($F19&lt;=AR$3, $F20 &gt;= AR$3), AND($F20&lt;AR$3, WORKDAY($F20, 22,Holiday!$A$1:$A$30)&gt;AR$3)), 1, 0)+IF(AND((AR$3-$B$2)&gt;=0,(AR$3-$B$2)&lt;30), 2,0)</f>
        <v>0</v>
      </c>
      <c r="AS20" s="113">
        <f>IF(OR(AND($F19&lt;=AS$3, $F20 &gt;= AS$3), AND($F20&lt;AS$3, WORKDAY($F20, 22,Holiday!$A$1:$A$30)&gt;AS$3)), 1, 0)+IF(AND((AS$3-$B$2)&gt;=0,(AS$3-$B$2)&lt;30), 2,0)</f>
        <v>0</v>
      </c>
      <c r="AT20" s="113">
        <f>IF(OR(AND($F19&lt;=AT$3, $F20 &gt;= AT$3), AND($F20&lt;AT$3, WORKDAY($F20, 22,Holiday!$A$1:$A$30)&gt;AT$3)), 1, 0)+IF(AND((AT$3-$B$2)&gt;=0,(AT$3-$B$2)&lt;30), 2,0)</f>
        <v>0</v>
      </c>
      <c r="AU20" s="113">
        <f>IF(OR(AND($F19&lt;=AU$3, $F20 &gt;= AU$3), AND($F20&lt;AU$3, WORKDAY($F20, 22,Holiday!$A$1:$A$30)&gt;AU$3)), 1, 0)+IF(AND((AU$3-$B$2)&gt;=0,(AU$3-$B$2)&lt;30), 2,0)</f>
        <v>0</v>
      </c>
      <c r="AV20" s="113">
        <f>IF(OR(AND($F19&lt;=AV$3, $F20 &gt;= AV$3), AND($F20&lt;AV$3, WORKDAY($F20, 22,Holiday!$A$1:$A$30)&gt;AV$3)), 1, 0)+IF(AND((AV$3-$B$2)&gt;=0,(AV$3-$B$2)&lt;30), 2,0)</f>
        <v>0</v>
      </c>
      <c r="AW20" s="113">
        <f>IF(OR(AND($F19&lt;=AW$3, $F20 &gt;= AW$3), AND($F20&lt;AW$3, WORKDAY($F20, 22,Holiday!$A$1:$A$30)&gt;AW$3)), 1, 0)+IF(AND((AW$3-$B$2)&gt;=0,(AW$3-$B$2)&lt;30), 2,0)</f>
        <v>0</v>
      </c>
      <c r="AX20" s="113">
        <f>IF(OR(AND($F19&lt;=AX$3, $F20 &gt;= AX$3), AND($F20&lt;AX$3, WORKDAY($F20, 22,Holiday!$A$1:$A$30)&gt;AX$3)), 1, 0)+IF(AND((AX$3-$B$2)&gt;=0,(AX$3-$B$2)&lt;30), 2,0)</f>
        <v>0</v>
      </c>
      <c r="AY20" s="113">
        <f>IF(OR(AND($F19&lt;=AY$3, $F20 &gt;= AY$3), AND($F20&lt;AY$3, WORKDAY($F20, 22,Holiday!$A$1:$A$30)&gt;AY$3)), 1, 0)+IF(AND((AY$3-$B$2)&gt;=0,(AY$3-$B$2)&lt;30), 2,0)</f>
        <v>0</v>
      </c>
      <c r="AZ20" s="113">
        <f>IF(OR(AND($F19&lt;=AZ$3, $F20 &gt;= AZ$3), AND($F20&lt;AZ$3, WORKDAY($F20, 22,Holiday!$A$1:$A$30)&gt;AZ$3)), 1, 0)+IF(AND((AZ$3-$B$2)&gt;=0,(AZ$3-$B$2)&lt;30), 2,0)</f>
        <v>2</v>
      </c>
      <c r="BA20" s="113">
        <f>IF(OR(AND($F19&lt;=BA$3, $F20 &gt;= BA$3), AND($F20&lt;BA$3, WORKDAY($F20, 22,Holiday!$A$1:$A$30)&gt;BA$3)), 1, 0)+IF(AND((BA$3-$B$2)&gt;=0,(BA$3-$B$2)&lt;30), 2,0)</f>
        <v>0</v>
      </c>
      <c r="BB20" s="113">
        <f>IF(OR(AND($F19&lt;=BB$3, $F20 &gt;= BB$3), AND($F20&lt;BB$3, WORKDAY($F20, 22,Holiday!$A$1:$A$30)&gt;BB$3)), 1, 0)+IF(AND((BB$3-$B$2)&gt;=0,(BB$3-$B$2)&lt;30), 2,0)</f>
        <v>0</v>
      </c>
    </row>
    <row r="21" spans="2:54" ht="15" x14ac:dyDescent="0.2">
      <c r="B21" t="s">
        <v>121</v>
      </c>
      <c r="C21" s="112" t="s">
        <v>78</v>
      </c>
      <c r="D21" s="111">
        <v>5</v>
      </c>
      <c r="E21" s="86">
        <f t="shared" si="0"/>
        <v>8</v>
      </c>
      <c r="F21" s="122">
        <f>WORKDAY(F20,E21,Holiday!A17:A46)</f>
        <v>46380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1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  <c r="AP21" s="113">
        <f>IF(OR(AND($F20&lt;=AP$3, $F21 &gt;= AP$3), AND($F21&lt;AP$3, WORKDAY($F21, 22,Holiday!$A$1:$A$30)&gt;AP$3)), 1, 0)+IF(AND((AP$3-$B$2)&gt;=0,(AP$3-$B$2)&lt;30), 2,0)</f>
        <v>0</v>
      </c>
      <c r="AQ21" s="113">
        <f>IF(OR(AND($F20&lt;=AQ$3, $F21 &gt;= AQ$3), AND($F21&lt;AQ$3, WORKDAY($F21, 22,Holiday!$A$1:$A$30)&gt;AQ$3)), 1, 0)+IF(AND((AQ$3-$B$2)&gt;=0,(AQ$3-$B$2)&lt;30), 2,0)</f>
        <v>0</v>
      </c>
      <c r="AR21" s="113">
        <f>IF(OR(AND($F20&lt;=AR$3, $F21 &gt;= AR$3), AND($F21&lt;AR$3, WORKDAY($F21, 22,Holiday!$A$1:$A$30)&gt;AR$3)), 1, 0)+IF(AND((AR$3-$B$2)&gt;=0,(AR$3-$B$2)&lt;30), 2,0)</f>
        <v>0</v>
      </c>
      <c r="AS21" s="113">
        <f>IF(OR(AND($F20&lt;=AS$3, $F21 &gt;= AS$3), AND($F21&lt;AS$3, WORKDAY($F21, 22,Holiday!$A$1:$A$30)&gt;AS$3)), 1, 0)+IF(AND((AS$3-$B$2)&gt;=0,(AS$3-$B$2)&lt;30), 2,0)</f>
        <v>0</v>
      </c>
      <c r="AT21" s="113">
        <f>IF(OR(AND($F20&lt;=AT$3, $F21 &gt;= AT$3), AND($F21&lt;AT$3, WORKDAY($F21, 22,Holiday!$A$1:$A$30)&gt;AT$3)), 1, 0)+IF(AND((AT$3-$B$2)&gt;=0,(AT$3-$B$2)&lt;30), 2,0)</f>
        <v>0</v>
      </c>
      <c r="AU21" s="113">
        <f>IF(OR(AND($F20&lt;=AU$3, $F21 &gt;= AU$3), AND($F21&lt;AU$3, WORKDAY($F21, 22,Holiday!$A$1:$A$30)&gt;AU$3)), 1, 0)+IF(AND((AU$3-$B$2)&gt;=0,(AU$3-$B$2)&lt;30), 2,0)</f>
        <v>0</v>
      </c>
      <c r="AV21" s="113">
        <f>IF(OR(AND($F20&lt;=AV$3, $F21 &gt;= AV$3), AND($F21&lt;AV$3, WORKDAY($F21, 22,Holiday!$A$1:$A$30)&gt;AV$3)), 1, 0)+IF(AND((AV$3-$B$2)&gt;=0,(AV$3-$B$2)&lt;30), 2,0)</f>
        <v>0</v>
      </c>
      <c r="AW21" s="113">
        <f>IF(OR(AND($F20&lt;=AW$3, $F21 &gt;= AW$3), AND($F21&lt;AW$3, WORKDAY($F21, 22,Holiday!$A$1:$A$30)&gt;AW$3)), 1, 0)+IF(AND((AW$3-$B$2)&gt;=0,(AW$3-$B$2)&lt;30), 2,0)</f>
        <v>0</v>
      </c>
      <c r="AX21" s="113">
        <f>IF(OR(AND($F20&lt;=AX$3, $F21 &gt;= AX$3), AND($F21&lt;AX$3, WORKDAY($F21, 22,Holiday!$A$1:$A$30)&gt;AX$3)), 1, 0)+IF(AND((AX$3-$B$2)&gt;=0,(AX$3-$B$2)&lt;30), 2,0)</f>
        <v>0</v>
      </c>
      <c r="AY21" s="113">
        <f>IF(OR(AND($F20&lt;=AY$3, $F21 &gt;= AY$3), AND($F21&lt;AY$3, WORKDAY($F21, 22,Holiday!$A$1:$A$30)&gt;AY$3)), 1, 0)+IF(AND((AY$3-$B$2)&gt;=0,(AY$3-$B$2)&lt;30), 2,0)</f>
        <v>0</v>
      </c>
      <c r="AZ21" s="113">
        <f>IF(OR(AND($F20&lt;=AZ$3, $F21 &gt;= AZ$3), AND($F21&lt;AZ$3, WORKDAY($F21, 22,Holiday!$A$1:$A$30)&gt;AZ$3)), 1, 0)+IF(AND((AZ$3-$B$2)&gt;=0,(AZ$3-$B$2)&lt;30), 2,0)</f>
        <v>2</v>
      </c>
      <c r="BA21" s="113">
        <f>IF(OR(AND($F20&lt;=BA$3, $F21 &gt;= BA$3), AND($F21&lt;BA$3, WORKDAY($F21, 22,Holiday!$A$1:$A$30)&gt;BA$3)), 1, 0)+IF(AND((BA$3-$B$2)&gt;=0,(BA$3-$B$2)&lt;30), 2,0)</f>
        <v>0</v>
      </c>
      <c r="BB21" s="113">
        <f>IF(OR(AND($F20&lt;=BB$3, $F21 &gt;= BB$3), AND($F21&lt;BB$3, WORKDAY($F21, 22,Holiday!$A$1:$A$30)&gt;BB$3)), 1, 0)+IF(AND((BB$3-$B$2)&gt;=0,(BB$3-$B$2)&lt;30), 2,0)</f>
        <v>0</v>
      </c>
    </row>
    <row r="22" spans="2:54" ht="15" x14ac:dyDescent="0.2">
      <c r="B22" t="s">
        <v>137</v>
      </c>
      <c r="C22" s="112" t="s">
        <v>78</v>
      </c>
      <c r="D22" s="111">
        <v>5</v>
      </c>
      <c r="E22" s="86">
        <f t="shared" si="0"/>
        <v>8</v>
      </c>
      <c r="F22" s="122">
        <f>WORKDAY(F21,E22,Holiday!A18:A47)</f>
        <v>46392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1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  <c r="AP22" s="113">
        <f>IF(OR(AND($F21&lt;=AP$3, $F22 &gt;= AP$3), AND($F22&lt;AP$3, WORKDAY($F22, 22,Holiday!$A$1:$A$30)&gt;AP$3)), 1, 0)+IF(AND((AP$3-$B$2)&gt;=0,(AP$3-$B$2)&lt;30), 2,0)</f>
        <v>0</v>
      </c>
      <c r="AQ22" s="113">
        <f>IF(OR(AND($F21&lt;=AQ$3, $F22 &gt;= AQ$3), AND($F22&lt;AQ$3, WORKDAY($F22, 22,Holiday!$A$1:$A$30)&gt;AQ$3)), 1, 0)+IF(AND((AQ$3-$B$2)&gt;=0,(AQ$3-$B$2)&lt;30), 2,0)</f>
        <v>0</v>
      </c>
      <c r="AR22" s="113">
        <f>IF(OR(AND($F21&lt;=AR$3, $F22 &gt;= AR$3), AND($F22&lt;AR$3, WORKDAY($F22, 22,Holiday!$A$1:$A$30)&gt;AR$3)), 1, 0)+IF(AND((AR$3-$B$2)&gt;=0,(AR$3-$B$2)&lt;30), 2,0)</f>
        <v>0</v>
      </c>
      <c r="AS22" s="113">
        <f>IF(OR(AND($F21&lt;=AS$3, $F22 &gt;= AS$3), AND($F22&lt;AS$3, WORKDAY($F22, 22,Holiday!$A$1:$A$30)&gt;AS$3)), 1, 0)+IF(AND((AS$3-$B$2)&gt;=0,(AS$3-$B$2)&lt;30), 2,0)</f>
        <v>0</v>
      </c>
      <c r="AT22" s="113">
        <f>IF(OR(AND($F21&lt;=AT$3, $F22 &gt;= AT$3), AND($F22&lt;AT$3, WORKDAY($F22, 22,Holiday!$A$1:$A$30)&gt;AT$3)), 1, 0)+IF(AND((AT$3-$B$2)&gt;=0,(AT$3-$B$2)&lt;30), 2,0)</f>
        <v>0</v>
      </c>
      <c r="AU22" s="113">
        <f>IF(OR(AND($F21&lt;=AU$3, $F22 &gt;= AU$3), AND($F22&lt;AU$3, WORKDAY($F22, 22,Holiday!$A$1:$A$30)&gt;AU$3)), 1, 0)+IF(AND((AU$3-$B$2)&gt;=0,(AU$3-$B$2)&lt;30), 2,0)</f>
        <v>0</v>
      </c>
      <c r="AV22" s="113">
        <f>IF(OR(AND($F21&lt;=AV$3, $F22 &gt;= AV$3), AND($F22&lt;AV$3, WORKDAY($F22, 22,Holiday!$A$1:$A$30)&gt;AV$3)), 1, 0)+IF(AND((AV$3-$B$2)&gt;=0,(AV$3-$B$2)&lt;30), 2,0)</f>
        <v>0</v>
      </c>
      <c r="AW22" s="113">
        <f>IF(OR(AND($F21&lt;=AW$3, $F22 &gt;= AW$3), AND($F22&lt;AW$3, WORKDAY($F22, 22,Holiday!$A$1:$A$30)&gt;AW$3)), 1, 0)+IF(AND((AW$3-$B$2)&gt;=0,(AW$3-$B$2)&lt;30), 2,0)</f>
        <v>0</v>
      </c>
      <c r="AX22" s="113">
        <f>IF(OR(AND($F21&lt;=AX$3, $F22 &gt;= AX$3), AND($F22&lt;AX$3, WORKDAY($F22, 22,Holiday!$A$1:$A$30)&gt;AX$3)), 1, 0)+IF(AND((AX$3-$B$2)&gt;=0,(AX$3-$B$2)&lt;30), 2,0)</f>
        <v>0</v>
      </c>
      <c r="AY22" s="113">
        <f>IF(OR(AND($F21&lt;=AY$3, $F22 &gt;= AY$3), AND($F22&lt;AY$3, WORKDAY($F22, 22,Holiday!$A$1:$A$30)&gt;AY$3)), 1, 0)+IF(AND((AY$3-$B$2)&gt;=0,(AY$3-$B$2)&lt;30), 2,0)</f>
        <v>0</v>
      </c>
      <c r="AZ22" s="113">
        <f>IF(OR(AND($F21&lt;=AZ$3, $F22 &gt;= AZ$3), AND($F22&lt;AZ$3, WORKDAY($F22, 22,Holiday!$A$1:$A$30)&gt;AZ$3)), 1, 0)+IF(AND((AZ$3-$B$2)&gt;=0,(AZ$3-$B$2)&lt;30), 2,0)</f>
        <v>2</v>
      </c>
      <c r="BA22" s="113">
        <f>IF(OR(AND($F21&lt;=BA$3, $F22 &gt;= BA$3), AND($F22&lt;BA$3, WORKDAY($F22, 22,Holiday!$A$1:$A$30)&gt;BA$3)), 1, 0)+IF(AND((BA$3-$B$2)&gt;=0,(BA$3-$B$2)&lt;30), 2,0)</f>
        <v>0</v>
      </c>
      <c r="BB22" s="113">
        <f>IF(OR(AND($F21&lt;=BB$3, $F22 &gt;= BB$3), AND($F22&lt;BB$3, WORKDAY($F22, 22,Holiday!$A$1:$A$30)&gt;BB$3)), 1, 0)+IF(AND((BB$3-$B$2)&gt;=0,(BB$3-$B$2)&lt;30), 2,0)</f>
        <v>0</v>
      </c>
    </row>
    <row r="23" spans="2:54" ht="15" x14ac:dyDescent="0.2">
      <c r="B23" t="s">
        <v>129</v>
      </c>
      <c r="C23" s="112" t="s">
        <v>78</v>
      </c>
      <c r="D23" s="111">
        <v>5</v>
      </c>
      <c r="E23" s="86">
        <f t="shared" si="0"/>
        <v>8</v>
      </c>
      <c r="F23" s="122">
        <f>WORKDAY(F22,E23,Holiday!A19:A48)</f>
        <v>46402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1</v>
      </c>
      <c r="S23" s="113">
        <f>IF(OR(AND($F22&lt;=S$3, $F23 &gt;= S$3), AND($F23&lt;S$3, WORKDAY($F23, 22,Holiday!$A$1:$A$30)&gt;S$3)), 1, 0)+IF(AND((S$3-$B$2)&gt;=0,(S$3-$B$2)&lt;30), 2,0)</f>
        <v>1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  <c r="AP23" s="113">
        <f>IF(OR(AND($F22&lt;=AP$3, $F23 &gt;= AP$3), AND($F23&lt;AP$3, WORKDAY($F23, 22,Holiday!$A$1:$A$30)&gt;AP$3)), 1, 0)+IF(AND((AP$3-$B$2)&gt;=0,(AP$3-$B$2)&lt;30), 2,0)</f>
        <v>0</v>
      </c>
      <c r="AQ23" s="113">
        <f>IF(OR(AND($F22&lt;=AQ$3, $F23 &gt;= AQ$3), AND($F23&lt;AQ$3, WORKDAY($F23, 22,Holiday!$A$1:$A$30)&gt;AQ$3)), 1, 0)+IF(AND((AQ$3-$B$2)&gt;=0,(AQ$3-$B$2)&lt;30), 2,0)</f>
        <v>0</v>
      </c>
      <c r="AR23" s="113">
        <f>IF(OR(AND($F22&lt;=AR$3, $F23 &gt;= AR$3), AND($F23&lt;AR$3, WORKDAY($F23, 22,Holiday!$A$1:$A$30)&gt;AR$3)), 1, 0)+IF(AND((AR$3-$B$2)&gt;=0,(AR$3-$B$2)&lt;30), 2,0)</f>
        <v>0</v>
      </c>
      <c r="AS23" s="113">
        <f>IF(OR(AND($F22&lt;=AS$3, $F23 &gt;= AS$3), AND($F23&lt;AS$3, WORKDAY($F23, 22,Holiday!$A$1:$A$30)&gt;AS$3)), 1, 0)+IF(AND((AS$3-$B$2)&gt;=0,(AS$3-$B$2)&lt;30), 2,0)</f>
        <v>0</v>
      </c>
      <c r="AT23" s="113">
        <f>IF(OR(AND($F22&lt;=AT$3, $F23 &gt;= AT$3), AND($F23&lt;AT$3, WORKDAY($F23, 22,Holiday!$A$1:$A$30)&gt;AT$3)), 1, 0)+IF(AND((AT$3-$B$2)&gt;=0,(AT$3-$B$2)&lt;30), 2,0)</f>
        <v>0</v>
      </c>
      <c r="AU23" s="113">
        <f>IF(OR(AND($F22&lt;=AU$3, $F23 &gt;= AU$3), AND($F23&lt;AU$3, WORKDAY($F23, 22,Holiday!$A$1:$A$30)&gt;AU$3)), 1, 0)+IF(AND((AU$3-$B$2)&gt;=0,(AU$3-$B$2)&lt;30), 2,0)</f>
        <v>0</v>
      </c>
      <c r="AV23" s="113">
        <f>IF(OR(AND($F22&lt;=AV$3, $F23 &gt;= AV$3), AND($F23&lt;AV$3, WORKDAY($F23, 22,Holiday!$A$1:$A$30)&gt;AV$3)), 1, 0)+IF(AND((AV$3-$B$2)&gt;=0,(AV$3-$B$2)&lt;30), 2,0)</f>
        <v>0</v>
      </c>
      <c r="AW23" s="113">
        <f>IF(OR(AND($F22&lt;=AW$3, $F23 &gt;= AW$3), AND($F23&lt;AW$3, WORKDAY($F23, 22,Holiday!$A$1:$A$30)&gt;AW$3)), 1, 0)+IF(AND((AW$3-$B$2)&gt;=0,(AW$3-$B$2)&lt;30), 2,0)</f>
        <v>0</v>
      </c>
      <c r="AX23" s="113">
        <f>IF(OR(AND($F22&lt;=AX$3, $F23 &gt;= AX$3), AND($F23&lt;AX$3, WORKDAY($F23, 22,Holiday!$A$1:$A$30)&gt;AX$3)), 1, 0)+IF(AND((AX$3-$B$2)&gt;=0,(AX$3-$B$2)&lt;30), 2,0)</f>
        <v>0</v>
      </c>
      <c r="AY23" s="113">
        <f>IF(OR(AND($F22&lt;=AY$3, $F23 &gt;= AY$3), AND($F23&lt;AY$3, WORKDAY($F23, 22,Holiday!$A$1:$A$30)&gt;AY$3)), 1, 0)+IF(AND((AY$3-$B$2)&gt;=0,(AY$3-$B$2)&lt;30), 2,0)</f>
        <v>0</v>
      </c>
      <c r="AZ23" s="113">
        <f>IF(OR(AND($F22&lt;=AZ$3, $F23 &gt;= AZ$3), AND($F23&lt;AZ$3, WORKDAY($F23, 22,Holiday!$A$1:$A$30)&gt;AZ$3)), 1, 0)+IF(AND((AZ$3-$B$2)&gt;=0,(AZ$3-$B$2)&lt;30), 2,0)</f>
        <v>2</v>
      </c>
      <c r="BA23" s="113">
        <f>IF(OR(AND($F22&lt;=BA$3, $F23 &gt;= BA$3), AND($F23&lt;BA$3, WORKDAY($F23, 22,Holiday!$A$1:$A$30)&gt;BA$3)), 1, 0)+IF(AND((BA$3-$B$2)&gt;=0,(BA$3-$B$2)&lt;30), 2,0)</f>
        <v>0</v>
      </c>
      <c r="BB23" s="113">
        <f>IF(OR(AND($F22&lt;=BB$3, $F23 &gt;= BB$3), AND($F23&lt;BB$3, WORKDAY($F23, 22,Holiday!$A$1:$A$30)&gt;BB$3)), 1, 0)+IF(AND((BB$3-$B$2)&gt;=0,(BB$3-$B$2)&lt;30), 2,0)</f>
        <v>0</v>
      </c>
    </row>
    <row r="24" spans="2:54" ht="15" x14ac:dyDescent="0.2">
      <c r="B24" t="s">
        <v>139</v>
      </c>
      <c r="C24" s="112" t="s">
        <v>78</v>
      </c>
      <c r="D24" s="111">
        <v>5</v>
      </c>
      <c r="E24" s="86">
        <f t="shared" si="0"/>
        <v>8</v>
      </c>
      <c r="F24" s="122">
        <f>WORKDAY(F23,E24,Holiday!A20:A49)</f>
        <v>46414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1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  <c r="AP24" s="113">
        <f>IF(OR(AND($F23&lt;=AP$3, $F24 &gt;= AP$3), AND($F24&lt;AP$3, WORKDAY($F24, 22,Holiday!$A$1:$A$30)&gt;AP$3)), 1, 0)+IF(AND((AP$3-$B$2)&gt;=0,(AP$3-$B$2)&lt;30), 2,0)</f>
        <v>0</v>
      </c>
      <c r="AQ24" s="113">
        <f>IF(OR(AND($F23&lt;=AQ$3, $F24 &gt;= AQ$3), AND($F24&lt;AQ$3, WORKDAY($F24, 22,Holiday!$A$1:$A$30)&gt;AQ$3)), 1, 0)+IF(AND((AQ$3-$B$2)&gt;=0,(AQ$3-$B$2)&lt;30), 2,0)</f>
        <v>0</v>
      </c>
      <c r="AR24" s="113">
        <f>IF(OR(AND($F23&lt;=AR$3, $F24 &gt;= AR$3), AND($F24&lt;AR$3, WORKDAY($F24, 22,Holiday!$A$1:$A$30)&gt;AR$3)), 1, 0)+IF(AND((AR$3-$B$2)&gt;=0,(AR$3-$B$2)&lt;30), 2,0)</f>
        <v>0</v>
      </c>
      <c r="AS24" s="113">
        <f>IF(OR(AND($F23&lt;=AS$3, $F24 &gt;= AS$3), AND($F24&lt;AS$3, WORKDAY($F24, 22,Holiday!$A$1:$A$30)&gt;AS$3)), 1, 0)+IF(AND((AS$3-$B$2)&gt;=0,(AS$3-$B$2)&lt;30), 2,0)</f>
        <v>0</v>
      </c>
      <c r="AT24" s="113">
        <f>IF(OR(AND($F23&lt;=AT$3, $F24 &gt;= AT$3), AND($F24&lt;AT$3, WORKDAY($F24, 22,Holiday!$A$1:$A$30)&gt;AT$3)), 1, 0)+IF(AND((AT$3-$B$2)&gt;=0,(AT$3-$B$2)&lt;30), 2,0)</f>
        <v>0</v>
      </c>
      <c r="AU24" s="113">
        <f>IF(OR(AND($F23&lt;=AU$3, $F24 &gt;= AU$3), AND($F24&lt;AU$3, WORKDAY($F24, 22,Holiday!$A$1:$A$30)&gt;AU$3)), 1, 0)+IF(AND((AU$3-$B$2)&gt;=0,(AU$3-$B$2)&lt;30), 2,0)</f>
        <v>0</v>
      </c>
      <c r="AV24" s="113">
        <f>IF(OR(AND($F23&lt;=AV$3, $F24 &gt;= AV$3), AND($F24&lt;AV$3, WORKDAY($F24, 22,Holiday!$A$1:$A$30)&gt;AV$3)), 1, 0)+IF(AND((AV$3-$B$2)&gt;=0,(AV$3-$B$2)&lt;30), 2,0)</f>
        <v>0</v>
      </c>
      <c r="AW24" s="113">
        <f>IF(OR(AND($F23&lt;=AW$3, $F24 &gt;= AW$3), AND($F24&lt;AW$3, WORKDAY($F24, 22,Holiday!$A$1:$A$30)&gt;AW$3)), 1, 0)+IF(AND((AW$3-$B$2)&gt;=0,(AW$3-$B$2)&lt;30), 2,0)</f>
        <v>0</v>
      </c>
      <c r="AX24" s="113">
        <f>IF(OR(AND($F23&lt;=AX$3, $F24 &gt;= AX$3), AND($F24&lt;AX$3, WORKDAY($F24, 22,Holiday!$A$1:$A$30)&gt;AX$3)), 1, 0)+IF(AND((AX$3-$B$2)&gt;=0,(AX$3-$B$2)&lt;30), 2,0)</f>
        <v>0</v>
      </c>
      <c r="AY24" s="113">
        <f>IF(OR(AND($F23&lt;=AY$3, $F24 &gt;= AY$3), AND($F24&lt;AY$3, WORKDAY($F24, 22,Holiday!$A$1:$A$30)&gt;AY$3)), 1, 0)+IF(AND((AY$3-$B$2)&gt;=0,(AY$3-$B$2)&lt;30), 2,0)</f>
        <v>0</v>
      </c>
      <c r="AZ24" s="113">
        <f>IF(OR(AND($F23&lt;=AZ$3, $F24 &gt;= AZ$3), AND($F24&lt;AZ$3, WORKDAY($F24, 22,Holiday!$A$1:$A$30)&gt;AZ$3)), 1, 0)+IF(AND((AZ$3-$B$2)&gt;=0,(AZ$3-$B$2)&lt;30), 2,0)</f>
        <v>2</v>
      </c>
      <c r="BA24" s="113">
        <f>IF(OR(AND($F23&lt;=BA$3, $F24 &gt;= BA$3), AND($F24&lt;BA$3, WORKDAY($F24, 22,Holiday!$A$1:$A$30)&gt;BA$3)), 1, 0)+IF(AND((BA$3-$B$2)&gt;=0,(BA$3-$B$2)&lt;30), 2,0)</f>
        <v>0</v>
      </c>
      <c r="BB24" s="113">
        <f>IF(OR(AND($F23&lt;=BB$3, $F24 &gt;= BB$3), AND($F24&lt;BB$3, WORKDAY($F24, 22,Holiday!$A$1:$A$30)&gt;BB$3)), 1, 0)+IF(AND((BB$3-$B$2)&gt;=0,(BB$3-$B$2)&lt;30), 2,0)</f>
        <v>0</v>
      </c>
    </row>
    <row r="25" spans="2:54" ht="15" x14ac:dyDescent="0.2">
      <c r="B25" t="s">
        <v>127</v>
      </c>
      <c r="C25" s="112" t="s">
        <v>78</v>
      </c>
      <c r="D25" s="111">
        <v>5</v>
      </c>
      <c r="E25" s="86">
        <f t="shared" si="0"/>
        <v>8</v>
      </c>
      <c r="F25" s="122">
        <f>WORKDAY(F24,E25,Holiday!A21:A50)</f>
        <v>46426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1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  <c r="AP25" s="113">
        <f>IF(OR(AND($F24&lt;=AP$3, $F25 &gt;= AP$3), AND($F25&lt;AP$3, WORKDAY($F25, 22,Holiday!$A$1:$A$30)&gt;AP$3)), 1, 0)+IF(AND((AP$3-$B$2)&gt;=0,(AP$3-$B$2)&lt;30), 2,0)</f>
        <v>0</v>
      </c>
      <c r="AQ25" s="113">
        <f>IF(OR(AND($F24&lt;=AQ$3, $F25 &gt;= AQ$3), AND($F25&lt;AQ$3, WORKDAY($F25, 22,Holiday!$A$1:$A$30)&gt;AQ$3)), 1, 0)+IF(AND((AQ$3-$B$2)&gt;=0,(AQ$3-$B$2)&lt;30), 2,0)</f>
        <v>0</v>
      </c>
      <c r="AR25" s="113">
        <f>IF(OR(AND($F24&lt;=AR$3, $F25 &gt;= AR$3), AND($F25&lt;AR$3, WORKDAY($F25, 22,Holiday!$A$1:$A$30)&gt;AR$3)), 1, 0)+IF(AND((AR$3-$B$2)&gt;=0,(AR$3-$B$2)&lt;30), 2,0)</f>
        <v>0</v>
      </c>
      <c r="AS25" s="113">
        <f>IF(OR(AND($F24&lt;=AS$3, $F25 &gt;= AS$3), AND($F25&lt;AS$3, WORKDAY($F25, 22,Holiday!$A$1:$A$30)&gt;AS$3)), 1, 0)+IF(AND((AS$3-$B$2)&gt;=0,(AS$3-$B$2)&lt;30), 2,0)</f>
        <v>0</v>
      </c>
      <c r="AT25" s="113">
        <f>IF(OR(AND($F24&lt;=AT$3, $F25 &gt;= AT$3), AND($F25&lt;AT$3, WORKDAY($F25, 22,Holiday!$A$1:$A$30)&gt;AT$3)), 1, 0)+IF(AND((AT$3-$B$2)&gt;=0,(AT$3-$B$2)&lt;30), 2,0)</f>
        <v>0</v>
      </c>
      <c r="AU25" s="113">
        <f>IF(OR(AND($F24&lt;=AU$3, $F25 &gt;= AU$3), AND($F25&lt;AU$3, WORKDAY($F25, 22,Holiday!$A$1:$A$30)&gt;AU$3)), 1, 0)+IF(AND((AU$3-$B$2)&gt;=0,(AU$3-$B$2)&lt;30), 2,0)</f>
        <v>0</v>
      </c>
      <c r="AV25" s="113">
        <f>IF(OR(AND($F24&lt;=AV$3, $F25 &gt;= AV$3), AND($F25&lt;AV$3, WORKDAY($F25, 22,Holiday!$A$1:$A$30)&gt;AV$3)), 1, 0)+IF(AND((AV$3-$B$2)&gt;=0,(AV$3-$B$2)&lt;30), 2,0)</f>
        <v>0</v>
      </c>
      <c r="AW25" s="113">
        <f>IF(OR(AND($F24&lt;=AW$3, $F25 &gt;= AW$3), AND($F25&lt;AW$3, WORKDAY($F25, 22,Holiday!$A$1:$A$30)&gt;AW$3)), 1, 0)+IF(AND((AW$3-$B$2)&gt;=0,(AW$3-$B$2)&lt;30), 2,0)</f>
        <v>0</v>
      </c>
      <c r="AX25" s="113">
        <f>IF(OR(AND($F24&lt;=AX$3, $F25 &gt;= AX$3), AND($F25&lt;AX$3, WORKDAY($F25, 22,Holiday!$A$1:$A$30)&gt;AX$3)), 1, 0)+IF(AND((AX$3-$B$2)&gt;=0,(AX$3-$B$2)&lt;30), 2,0)</f>
        <v>0</v>
      </c>
      <c r="AY25" s="113">
        <f>IF(OR(AND($F24&lt;=AY$3, $F25 &gt;= AY$3), AND($F25&lt;AY$3, WORKDAY($F25, 22,Holiday!$A$1:$A$30)&gt;AY$3)), 1, 0)+IF(AND((AY$3-$B$2)&gt;=0,(AY$3-$B$2)&lt;30), 2,0)</f>
        <v>0</v>
      </c>
      <c r="AZ25" s="113">
        <f>IF(OR(AND($F24&lt;=AZ$3, $F25 &gt;= AZ$3), AND($F25&lt;AZ$3, WORKDAY($F25, 22,Holiday!$A$1:$A$30)&gt;AZ$3)), 1, 0)+IF(AND((AZ$3-$B$2)&gt;=0,(AZ$3-$B$2)&lt;30), 2,0)</f>
        <v>2</v>
      </c>
      <c r="BA25" s="113">
        <f>IF(OR(AND($F24&lt;=BA$3, $F25 &gt;= BA$3), AND($F25&lt;BA$3, WORKDAY($F25, 22,Holiday!$A$1:$A$30)&gt;BA$3)), 1, 0)+IF(AND((BA$3-$B$2)&gt;=0,(BA$3-$B$2)&lt;30), 2,0)</f>
        <v>0</v>
      </c>
      <c r="BB25" s="113">
        <f>IF(OR(AND($F24&lt;=BB$3, $F25 &gt;= BB$3), AND($F25&lt;BB$3, WORKDAY($F25, 22,Holiday!$A$1:$A$30)&gt;BB$3)), 1, 0)+IF(AND((BB$3-$B$2)&gt;=0,(BB$3-$B$2)&lt;30), 2,0)</f>
        <v>0</v>
      </c>
    </row>
    <row r="26" spans="2:54" ht="15" x14ac:dyDescent="0.2">
      <c r="B26" t="s">
        <v>123</v>
      </c>
      <c r="C26" s="112" t="s">
        <v>78</v>
      </c>
      <c r="D26" s="111">
        <v>5</v>
      </c>
      <c r="E26" s="86">
        <f t="shared" si="0"/>
        <v>8</v>
      </c>
      <c r="F26" s="122">
        <f>WORKDAY(F25,E26,Holiday!A22:A51)</f>
        <v>46436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1</v>
      </c>
      <c r="T26" s="113">
        <f>IF(OR(AND($F25&lt;=T$3, $F26 &gt;= T$3), AND($F26&lt;T$3, WORKDAY($F26, 22,Holiday!$A$1:$A$30)&gt;T$3)), 1, 0)+IF(AND((T$3-$B$2)&gt;=0,(T$3-$B$2)&lt;30), 2,0)</f>
        <v>1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  <c r="AP26" s="113">
        <f>IF(OR(AND($F25&lt;=AP$3, $F26 &gt;= AP$3), AND($F26&lt;AP$3, WORKDAY($F26, 22,Holiday!$A$1:$A$30)&gt;AP$3)), 1, 0)+IF(AND((AP$3-$B$2)&gt;=0,(AP$3-$B$2)&lt;30), 2,0)</f>
        <v>0</v>
      </c>
      <c r="AQ26" s="113">
        <f>IF(OR(AND($F25&lt;=AQ$3, $F26 &gt;= AQ$3), AND($F26&lt;AQ$3, WORKDAY($F26, 22,Holiday!$A$1:$A$30)&gt;AQ$3)), 1, 0)+IF(AND((AQ$3-$B$2)&gt;=0,(AQ$3-$B$2)&lt;30), 2,0)</f>
        <v>0</v>
      </c>
      <c r="AR26" s="113">
        <f>IF(OR(AND($F25&lt;=AR$3, $F26 &gt;= AR$3), AND($F26&lt;AR$3, WORKDAY($F26, 22,Holiday!$A$1:$A$30)&gt;AR$3)), 1, 0)+IF(AND((AR$3-$B$2)&gt;=0,(AR$3-$B$2)&lt;30), 2,0)</f>
        <v>0</v>
      </c>
      <c r="AS26" s="113">
        <f>IF(OR(AND($F25&lt;=AS$3, $F26 &gt;= AS$3), AND($F26&lt;AS$3, WORKDAY($F26, 22,Holiday!$A$1:$A$30)&gt;AS$3)), 1, 0)+IF(AND((AS$3-$B$2)&gt;=0,(AS$3-$B$2)&lt;30), 2,0)</f>
        <v>0</v>
      </c>
      <c r="AT26" s="113">
        <f>IF(OR(AND($F25&lt;=AT$3, $F26 &gt;= AT$3), AND($F26&lt;AT$3, WORKDAY($F26, 22,Holiday!$A$1:$A$30)&gt;AT$3)), 1, 0)+IF(AND((AT$3-$B$2)&gt;=0,(AT$3-$B$2)&lt;30), 2,0)</f>
        <v>0</v>
      </c>
      <c r="AU26" s="113">
        <f>IF(OR(AND($F25&lt;=AU$3, $F26 &gt;= AU$3), AND($F26&lt;AU$3, WORKDAY($F26, 22,Holiday!$A$1:$A$30)&gt;AU$3)), 1, 0)+IF(AND((AU$3-$B$2)&gt;=0,(AU$3-$B$2)&lt;30), 2,0)</f>
        <v>0</v>
      </c>
      <c r="AV26" s="113">
        <f>IF(OR(AND($F25&lt;=AV$3, $F26 &gt;= AV$3), AND($F26&lt;AV$3, WORKDAY($F26, 22,Holiday!$A$1:$A$30)&gt;AV$3)), 1, 0)+IF(AND((AV$3-$B$2)&gt;=0,(AV$3-$B$2)&lt;30), 2,0)</f>
        <v>0</v>
      </c>
      <c r="AW26" s="113">
        <f>IF(OR(AND($F25&lt;=AW$3, $F26 &gt;= AW$3), AND($F26&lt;AW$3, WORKDAY($F26, 22,Holiday!$A$1:$A$30)&gt;AW$3)), 1, 0)+IF(AND((AW$3-$B$2)&gt;=0,(AW$3-$B$2)&lt;30), 2,0)</f>
        <v>0</v>
      </c>
      <c r="AX26" s="113">
        <f>IF(OR(AND($F25&lt;=AX$3, $F26 &gt;= AX$3), AND($F26&lt;AX$3, WORKDAY($F26, 22,Holiday!$A$1:$A$30)&gt;AX$3)), 1, 0)+IF(AND((AX$3-$B$2)&gt;=0,(AX$3-$B$2)&lt;30), 2,0)</f>
        <v>0</v>
      </c>
      <c r="AY26" s="113">
        <f>IF(OR(AND($F25&lt;=AY$3, $F26 &gt;= AY$3), AND($F26&lt;AY$3, WORKDAY($F26, 22,Holiday!$A$1:$A$30)&gt;AY$3)), 1, 0)+IF(AND((AY$3-$B$2)&gt;=0,(AY$3-$B$2)&lt;30), 2,0)</f>
        <v>0</v>
      </c>
      <c r="AZ26" s="113">
        <f>IF(OR(AND($F25&lt;=AZ$3, $F26 &gt;= AZ$3), AND($F26&lt;AZ$3, WORKDAY($F26, 22,Holiday!$A$1:$A$30)&gt;AZ$3)), 1, 0)+IF(AND((AZ$3-$B$2)&gt;=0,(AZ$3-$B$2)&lt;30), 2,0)</f>
        <v>2</v>
      </c>
      <c r="BA26" s="113">
        <f>IF(OR(AND($F25&lt;=BA$3, $F26 &gt;= BA$3), AND($F26&lt;BA$3, WORKDAY($F26, 22,Holiday!$A$1:$A$30)&gt;BA$3)), 1, 0)+IF(AND((BA$3-$B$2)&gt;=0,(BA$3-$B$2)&lt;30), 2,0)</f>
        <v>0</v>
      </c>
      <c r="BB26" s="113">
        <f>IF(OR(AND($F25&lt;=BB$3, $F26 &gt;= BB$3), AND($F26&lt;BB$3, WORKDAY($F26, 22,Holiday!$A$1:$A$30)&gt;BB$3)), 1, 0)+IF(AND((BB$3-$B$2)&gt;=0,(BB$3-$B$2)&lt;30), 2,0)</f>
        <v>0</v>
      </c>
    </row>
    <row r="27" spans="2:54" ht="15" x14ac:dyDescent="0.2">
      <c r="B27" t="s">
        <v>134</v>
      </c>
      <c r="C27" s="112" t="s">
        <v>78</v>
      </c>
      <c r="D27" s="111">
        <v>5</v>
      </c>
      <c r="E27" s="86">
        <f t="shared" si="0"/>
        <v>8</v>
      </c>
      <c r="F27" s="122">
        <f>WORKDAY(F26,E27,Holiday!A23:A52)</f>
        <v>46448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1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  <c r="AP27" s="113">
        <f>IF(OR(AND($F26&lt;=AP$3, $F27 &gt;= AP$3), AND($F27&lt;AP$3, WORKDAY($F27, 22,Holiday!$A$1:$A$30)&gt;AP$3)), 1, 0)+IF(AND((AP$3-$B$2)&gt;=0,(AP$3-$B$2)&lt;30), 2,0)</f>
        <v>0</v>
      </c>
      <c r="AQ27" s="113">
        <f>IF(OR(AND($F26&lt;=AQ$3, $F27 &gt;= AQ$3), AND($F27&lt;AQ$3, WORKDAY($F27, 22,Holiday!$A$1:$A$30)&gt;AQ$3)), 1, 0)+IF(AND((AQ$3-$B$2)&gt;=0,(AQ$3-$B$2)&lt;30), 2,0)</f>
        <v>0</v>
      </c>
      <c r="AR27" s="113">
        <f>IF(OR(AND($F26&lt;=AR$3, $F27 &gt;= AR$3), AND($F27&lt;AR$3, WORKDAY($F27, 22,Holiday!$A$1:$A$30)&gt;AR$3)), 1, 0)+IF(AND((AR$3-$B$2)&gt;=0,(AR$3-$B$2)&lt;30), 2,0)</f>
        <v>0</v>
      </c>
      <c r="AS27" s="113">
        <f>IF(OR(AND($F26&lt;=AS$3, $F27 &gt;= AS$3), AND($F27&lt;AS$3, WORKDAY($F27, 22,Holiday!$A$1:$A$30)&gt;AS$3)), 1, 0)+IF(AND((AS$3-$B$2)&gt;=0,(AS$3-$B$2)&lt;30), 2,0)</f>
        <v>0</v>
      </c>
      <c r="AT27" s="113">
        <f>IF(OR(AND($F26&lt;=AT$3, $F27 &gt;= AT$3), AND($F27&lt;AT$3, WORKDAY($F27, 22,Holiday!$A$1:$A$30)&gt;AT$3)), 1, 0)+IF(AND((AT$3-$B$2)&gt;=0,(AT$3-$B$2)&lt;30), 2,0)</f>
        <v>0</v>
      </c>
      <c r="AU27" s="113">
        <f>IF(OR(AND($F26&lt;=AU$3, $F27 &gt;= AU$3), AND($F27&lt;AU$3, WORKDAY($F27, 22,Holiday!$A$1:$A$30)&gt;AU$3)), 1, 0)+IF(AND((AU$3-$B$2)&gt;=0,(AU$3-$B$2)&lt;30), 2,0)</f>
        <v>0</v>
      </c>
      <c r="AV27" s="113">
        <f>IF(OR(AND($F26&lt;=AV$3, $F27 &gt;= AV$3), AND($F27&lt;AV$3, WORKDAY($F27, 22,Holiday!$A$1:$A$30)&gt;AV$3)), 1, 0)+IF(AND((AV$3-$B$2)&gt;=0,(AV$3-$B$2)&lt;30), 2,0)</f>
        <v>0</v>
      </c>
      <c r="AW27" s="113">
        <f>IF(OR(AND($F26&lt;=AW$3, $F27 &gt;= AW$3), AND($F27&lt;AW$3, WORKDAY($F27, 22,Holiday!$A$1:$A$30)&gt;AW$3)), 1, 0)+IF(AND((AW$3-$B$2)&gt;=0,(AW$3-$B$2)&lt;30), 2,0)</f>
        <v>0</v>
      </c>
      <c r="AX27" s="113">
        <f>IF(OR(AND($F26&lt;=AX$3, $F27 &gt;= AX$3), AND($F27&lt;AX$3, WORKDAY($F27, 22,Holiday!$A$1:$A$30)&gt;AX$3)), 1, 0)+IF(AND((AX$3-$B$2)&gt;=0,(AX$3-$B$2)&lt;30), 2,0)</f>
        <v>0</v>
      </c>
      <c r="AY27" s="113">
        <f>IF(OR(AND($F26&lt;=AY$3, $F27 &gt;= AY$3), AND($F27&lt;AY$3, WORKDAY($F27, 22,Holiday!$A$1:$A$30)&gt;AY$3)), 1, 0)+IF(AND((AY$3-$B$2)&gt;=0,(AY$3-$B$2)&lt;30), 2,0)</f>
        <v>0</v>
      </c>
      <c r="AZ27" s="113">
        <f>IF(OR(AND($F26&lt;=AZ$3, $F27 &gt;= AZ$3), AND($F27&lt;AZ$3, WORKDAY($F27, 22,Holiday!$A$1:$A$30)&gt;AZ$3)), 1, 0)+IF(AND((AZ$3-$B$2)&gt;=0,(AZ$3-$B$2)&lt;30), 2,0)</f>
        <v>2</v>
      </c>
      <c r="BA27" s="113">
        <f>IF(OR(AND($F26&lt;=BA$3, $F27 &gt;= BA$3), AND($F27&lt;BA$3, WORKDAY($F27, 22,Holiday!$A$1:$A$30)&gt;BA$3)), 1, 0)+IF(AND((BA$3-$B$2)&gt;=0,(BA$3-$B$2)&lt;30), 2,0)</f>
        <v>0</v>
      </c>
      <c r="BB27" s="113">
        <f>IF(OR(AND($F26&lt;=BB$3, $F27 &gt;= BB$3), AND($F27&lt;BB$3, WORKDAY($F27, 22,Holiday!$A$1:$A$30)&gt;BB$3)), 1, 0)+IF(AND((BB$3-$B$2)&gt;=0,(BB$3-$B$2)&lt;30), 2,0)</f>
        <v>0</v>
      </c>
    </row>
    <row r="28" spans="2:54" ht="15" x14ac:dyDescent="0.2">
      <c r="B28" t="s">
        <v>136</v>
      </c>
      <c r="C28" s="112" t="s">
        <v>78</v>
      </c>
      <c r="D28" s="111">
        <v>5</v>
      </c>
      <c r="E28" s="86">
        <f t="shared" si="0"/>
        <v>8</v>
      </c>
      <c r="F28" s="122">
        <f>WORKDAY(F27,E28,Holiday!A24:A53)</f>
        <v>46458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1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  <c r="AP28" s="113">
        <f>IF(OR(AND($F27&lt;=AP$3, $F28 &gt;= AP$3), AND($F28&lt;AP$3, WORKDAY($F28, 22,Holiday!$A$1:$A$30)&gt;AP$3)), 1, 0)+IF(AND((AP$3-$B$2)&gt;=0,(AP$3-$B$2)&lt;30), 2,0)</f>
        <v>0</v>
      </c>
      <c r="AQ28" s="113">
        <f>IF(OR(AND($F27&lt;=AQ$3, $F28 &gt;= AQ$3), AND($F28&lt;AQ$3, WORKDAY($F28, 22,Holiday!$A$1:$A$30)&gt;AQ$3)), 1, 0)+IF(AND((AQ$3-$B$2)&gt;=0,(AQ$3-$B$2)&lt;30), 2,0)</f>
        <v>0</v>
      </c>
      <c r="AR28" s="113">
        <f>IF(OR(AND($F27&lt;=AR$3, $F28 &gt;= AR$3), AND($F28&lt;AR$3, WORKDAY($F28, 22,Holiday!$A$1:$A$30)&gt;AR$3)), 1, 0)+IF(AND((AR$3-$B$2)&gt;=0,(AR$3-$B$2)&lt;30), 2,0)</f>
        <v>0</v>
      </c>
      <c r="AS28" s="113">
        <f>IF(OR(AND($F27&lt;=AS$3, $F28 &gt;= AS$3), AND($F28&lt;AS$3, WORKDAY($F28, 22,Holiday!$A$1:$A$30)&gt;AS$3)), 1, 0)+IF(AND((AS$3-$B$2)&gt;=0,(AS$3-$B$2)&lt;30), 2,0)</f>
        <v>0</v>
      </c>
      <c r="AT28" s="113">
        <f>IF(OR(AND($F27&lt;=AT$3, $F28 &gt;= AT$3), AND($F28&lt;AT$3, WORKDAY($F28, 22,Holiday!$A$1:$A$30)&gt;AT$3)), 1, 0)+IF(AND((AT$3-$B$2)&gt;=0,(AT$3-$B$2)&lt;30), 2,0)</f>
        <v>0</v>
      </c>
      <c r="AU28" s="113">
        <f>IF(OR(AND($F27&lt;=AU$3, $F28 &gt;= AU$3), AND($F28&lt;AU$3, WORKDAY($F28, 22,Holiday!$A$1:$A$30)&gt;AU$3)), 1, 0)+IF(AND((AU$3-$B$2)&gt;=0,(AU$3-$B$2)&lt;30), 2,0)</f>
        <v>0</v>
      </c>
      <c r="AV28" s="113">
        <f>IF(OR(AND($F27&lt;=AV$3, $F28 &gt;= AV$3), AND($F28&lt;AV$3, WORKDAY($F28, 22,Holiday!$A$1:$A$30)&gt;AV$3)), 1, 0)+IF(AND((AV$3-$B$2)&gt;=0,(AV$3-$B$2)&lt;30), 2,0)</f>
        <v>0</v>
      </c>
      <c r="AW28" s="113">
        <f>IF(OR(AND($F27&lt;=AW$3, $F28 &gt;= AW$3), AND($F28&lt;AW$3, WORKDAY($F28, 22,Holiday!$A$1:$A$30)&gt;AW$3)), 1, 0)+IF(AND((AW$3-$B$2)&gt;=0,(AW$3-$B$2)&lt;30), 2,0)</f>
        <v>0</v>
      </c>
      <c r="AX28" s="113">
        <f>IF(OR(AND($F27&lt;=AX$3, $F28 &gt;= AX$3), AND($F28&lt;AX$3, WORKDAY($F28, 22,Holiday!$A$1:$A$30)&gt;AX$3)), 1, 0)+IF(AND((AX$3-$B$2)&gt;=0,(AX$3-$B$2)&lt;30), 2,0)</f>
        <v>0</v>
      </c>
      <c r="AY28" s="113">
        <f>IF(OR(AND($F27&lt;=AY$3, $F28 &gt;= AY$3), AND($F28&lt;AY$3, WORKDAY($F28, 22,Holiday!$A$1:$A$30)&gt;AY$3)), 1, 0)+IF(AND((AY$3-$B$2)&gt;=0,(AY$3-$B$2)&lt;30), 2,0)</f>
        <v>0</v>
      </c>
      <c r="AZ28" s="113">
        <f>IF(OR(AND($F27&lt;=AZ$3, $F28 &gt;= AZ$3), AND($F28&lt;AZ$3, WORKDAY($F28, 22,Holiday!$A$1:$A$30)&gt;AZ$3)), 1, 0)+IF(AND((AZ$3-$B$2)&gt;=0,(AZ$3-$B$2)&lt;30), 2,0)</f>
        <v>2</v>
      </c>
      <c r="BA28" s="113">
        <f>IF(OR(AND($F27&lt;=BA$3, $F28 &gt;= BA$3), AND($F28&lt;BA$3, WORKDAY($F28, 22,Holiday!$A$1:$A$30)&gt;BA$3)), 1, 0)+IF(AND((BA$3-$B$2)&gt;=0,(BA$3-$B$2)&lt;30), 2,0)</f>
        <v>0</v>
      </c>
      <c r="BB28" s="113">
        <f>IF(OR(AND($F27&lt;=BB$3, $F28 &gt;= BB$3), AND($F28&lt;BB$3, WORKDAY($F28, 22,Holiday!$A$1:$A$30)&gt;BB$3)), 1, 0)+IF(AND((BB$3-$B$2)&gt;=0,(BB$3-$B$2)&lt;30), 2,0)</f>
        <v>0</v>
      </c>
    </row>
    <row r="29" spans="2:54" ht="15" x14ac:dyDescent="0.2">
      <c r="B29" t="s">
        <v>140</v>
      </c>
      <c r="C29" s="112" t="s">
        <v>78</v>
      </c>
      <c r="D29" s="111">
        <v>5</v>
      </c>
      <c r="E29" s="86">
        <f t="shared" si="0"/>
        <v>8</v>
      </c>
      <c r="F29" s="122">
        <f>WORKDAY(F28,E29,Holiday!A25:A54)</f>
        <v>46470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1</v>
      </c>
      <c r="U29" s="113">
        <f>IF(OR(AND($F28&lt;=U$3, $F29 &gt;= U$3), AND($F29&lt;U$3, WORKDAY($F29, 22,Holiday!$A$1:$A$30)&gt;U$3)), 1, 0)+IF(AND((U$3-$B$2)&gt;=0,(U$3-$B$2)&lt;30), 2,0)</f>
        <v>1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  <c r="AP29" s="113">
        <f>IF(OR(AND($F28&lt;=AP$3, $F29 &gt;= AP$3), AND($F29&lt;AP$3, WORKDAY($F29, 22,Holiday!$A$1:$A$30)&gt;AP$3)), 1, 0)+IF(AND((AP$3-$B$2)&gt;=0,(AP$3-$B$2)&lt;30), 2,0)</f>
        <v>0</v>
      </c>
      <c r="AQ29" s="113">
        <f>IF(OR(AND($F28&lt;=AQ$3, $F29 &gt;= AQ$3), AND($F29&lt;AQ$3, WORKDAY($F29, 22,Holiday!$A$1:$A$30)&gt;AQ$3)), 1, 0)+IF(AND((AQ$3-$B$2)&gt;=0,(AQ$3-$B$2)&lt;30), 2,0)</f>
        <v>0</v>
      </c>
      <c r="AR29" s="113">
        <f>IF(OR(AND($F28&lt;=AR$3, $F29 &gt;= AR$3), AND($F29&lt;AR$3, WORKDAY($F29, 22,Holiday!$A$1:$A$30)&gt;AR$3)), 1, 0)+IF(AND((AR$3-$B$2)&gt;=0,(AR$3-$B$2)&lt;30), 2,0)</f>
        <v>0</v>
      </c>
      <c r="AS29" s="113">
        <f>IF(OR(AND($F28&lt;=AS$3, $F29 &gt;= AS$3), AND($F29&lt;AS$3, WORKDAY($F29, 22,Holiday!$A$1:$A$30)&gt;AS$3)), 1, 0)+IF(AND((AS$3-$B$2)&gt;=0,(AS$3-$B$2)&lt;30), 2,0)</f>
        <v>0</v>
      </c>
      <c r="AT29" s="113">
        <f>IF(OR(AND($F28&lt;=AT$3, $F29 &gt;= AT$3), AND($F29&lt;AT$3, WORKDAY($F29, 22,Holiday!$A$1:$A$30)&gt;AT$3)), 1, 0)+IF(AND((AT$3-$B$2)&gt;=0,(AT$3-$B$2)&lt;30), 2,0)</f>
        <v>0</v>
      </c>
      <c r="AU29" s="113">
        <f>IF(OR(AND($F28&lt;=AU$3, $F29 &gt;= AU$3), AND($F29&lt;AU$3, WORKDAY($F29, 22,Holiday!$A$1:$A$30)&gt;AU$3)), 1, 0)+IF(AND((AU$3-$B$2)&gt;=0,(AU$3-$B$2)&lt;30), 2,0)</f>
        <v>0</v>
      </c>
      <c r="AV29" s="113">
        <f>IF(OR(AND($F28&lt;=AV$3, $F29 &gt;= AV$3), AND($F29&lt;AV$3, WORKDAY($F29, 22,Holiday!$A$1:$A$30)&gt;AV$3)), 1, 0)+IF(AND((AV$3-$B$2)&gt;=0,(AV$3-$B$2)&lt;30), 2,0)</f>
        <v>0</v>
      </c>
      <c r="AW29" s="113">
        <f>IF(OR(AND($F28&lt;=AW$3, $F29 &gt;= AW$3), AND($F29&lt;AW$3, WORKDAY($F29, 22,Holiday!$A$1:$A$30)&gt;AW$3)), 1, 0)+IF(AND((AW$3-$B$2)&gt;=0,(AW$3-$B$2)&lt;30), 2,0)</f>
        <v>0</v>
      </c>
      <c r="AX29" s="113">
        <f>IF(OR(AND($F28&lt;=AX$3, $F29 &gt;= AX$3), AND($F29&lt;AX$3, WORKDAY($F29, 22,Holiday!$A$1:$A$30)&gt;AX$3)), 1, 0)+IF(AND((AX$3-$B$2)&gt;=0,(AX$3-$B$2)&lt;30), 2,0)</f>
        <v>0</v>
      </c>
      <c r="AY29" s="113">
        <f>IF(OR(AND($F28&lt;=AY$3, $F29 &gt;= AY$3), AND($F29&lt;AY$3, WORKDAY($F29, 22,Holiday!$A$1:$A$30)&gt;AY$3)), 1, 0)+IF(AND((AY$3-$B$2)&gt;=0,(AY$3-$B$2)&lt;30), 2,0)</f>
        <v>0</v>
      </c>
      <c r="AZ29" s="113">
        <f>IF(OR(AND($F28&lt;=AZ$3, $F29 &gt;= AZ$3), AND($F29&lt;AZ$3, WORKDAY($F29, 22,Holiday!$A$1:$A$30)&gt;AZ$3)), 1, 0)+IF(AND((AZ$3-$B$2)&gt;=0,(AZ$3-$B$2)&lt;30), 2,0)</f>
        <v>2</v>
      </c>
      <c r="BA29" s="113">
        <f>IF(OR(AND($F28&lt;=BA$3, $F29 &gt;= BA$3), AND($F29&lt;BA$3, WORKDAY($F29, 22,Holiday!$A$1:$A$30)&gt;BA$3)), 1, 0)+IF(AND((BA$3-$B$2)&gt;=0,(BA$3-$B$2)&lt;30), 2,0)</f>
        <v>0</v>
      </c>
      <c r="BB29" s="113">
        <f>IF(OR(AND($F28&lt;=BB$3, $F29 &gt;= BB$3), AND($F29&lt;BB$3, WORKDAY($F29, 22,Holiday!$A$1:$A$30)&gt;BB$3)), 1, 0)+IF(AND((BB$3-$B$2)&gt;=0,(BB$3-$B$2)&lt;30), 2,0)</f>
        <v>0</v>
      </c>
    </row>
    <row r="30" spans="2:54" ht="15" x14ac:dyDescent="0.2">
      <c r="B30" t="s">
        <v>133</v>
      </c>
      <c r="C30" s="112" t="s">
        <v>78</v>
      </c>
      <c r="D30" s="111">
        <v>5</v>
      </c>
      <c r="E30" s="86">
        <f t="shared" si="0"/>
        <v>8</v>
      </c>
      <c r="F30" s="122">
        <f>WORKDAY(F29,E30,Holiday!A26:A55)</f>
        <v>46482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1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  <c r="AP30" s="113">
        <f>IF(OR(AND($F29&lt;=AP$3, $F30 &gt;= AP$3), AND($F30&lt;AP$3, WORKDAY($F30, 22,Holiday!$A$1:$A$30)&gt;AP$3)), 1, 0)+IF(AND((AP$3-$B$2)&gt;=0,(AP$3-$B$2)&lt;30), 2,0)</f>
        <v>0</v>
      </c>
      <c r="AQ30" s="113">
        <f>IF(OR(AND($F29&lt;=AQ$3, $F30 &gt;= AQ$3), AND($F30&lt;AQ$3, WORKDAY($F30, 22,Holiday!$A$1:$A$30)&gt;AQ$3)), 1, 0)+IF(AND((AQ$3-$B$2)&gt;=0,(AQ$3-$B$2)&lt;30), 2,0)</f>
        <v>0</v>
      </c>
      <c r="AR30" s="113">
        <f>IF(OR(AND($F29&lt;=AR$3, $F30 &gt;= AR$3), AND($F30&lt;AR$3, WORKDAY($F30, 22,Holiday!$A$1:$A$30)&gt;AR$3)), 1, 0)+IF(AND((AR$3-$B$2)&gt;=0,(AR$3-$B$2)&lt;30), 2,0)</f>
        <v>0</v>
      </c>
      <c r="AS30" s="113">
        <f>IF(OR(AND($F29&lt;=AS$3, $F30 &gt;= AS$3), AND($F30&lt;AS$3, WORKDAY($F30, 22,Holiday!$A$1:$A$30)&gt;AS$3)), 1, 0)+IF(AND((AS$3-$B$2)&gt;=0,(AS$3-$B$2)&lt;30), 2,0)</f>
        <v>0</v>
      </c>
      <c r="AT30" s="113">
        <f>IF(OR(AND($F29&lt;=AT$3, $F30 &gt;= AT$3), AND($F30&lt;AT$3, WORKDAY($F30, 22,Holiday!$A$1:$A$30)&gt;AT$3)), 1, 0)+IF(AND((AT$3-$B$2)&gt;=0,(AT$3-$B$2)&lt;30), 2,0)</f>
        <v>0</v>
      </c>
      <c r="AU30" s="113">
        <f>IF(OR(AND($F29&lt;=AU$3, $F30 &gt;= AU$3), AND($F30&lt;AU$3, WORKDAY($F30, 22,Holiday!$A$1:$A$30)&gt;AU$3)), 1, 0)+IF(AND((AU$3-$B$2)&gt;=0,(AU$3-$B$2)&lt;30), 2,0)</f>
        <v>0</v>
      </c>
      <c r="AV30" s="113">
        <f>IF(OR(AND($F29&lt;=AV$3, $F30 &gt;= AV$3), AND($F30&lt;AV$3, WORKDAY($F30, 22,Holiday!$A$1:$A$30)&gt;AV$3)), 1, 0)+IF(AND((AV$3-$B$2)&gt;=0,(AV$3-$B$2)&lt;30), 2,0)</f>
        <v>0</v>
      </c>
      <c r="AW30" s="113">
        <f>IF(OR(AND($F29&lt;=AW$3, $F30 &gt;= AW$3), AND($F30&lt;AW$3, WORKDAY($F30, 22,Holiday!$A$1:$A$30)&gt;AW$3)), 1, 0)+IF(AND((AW$3-$B$2)&gt;=0,(AW$3-$B$2)&lt;30), 2,0)</f>
        <v>0</v>
      </c>
      <c r="AX30" s="113">
        <f>IF(OR(AND($F29&lt;=AX$3, $F30 &gt;= AX$3), AND($F30&lt;AX$3, WORKDAY($F30, 22,Holiday!$A$1:$A$30)&gt;AX$3)), 1, 0)+IF(AND((AX$3-$B$2)&gt;=0,(AX$3-$B$2)&lt;30), 2,0)</f>
        <v>0</v>
      </c>
      <c r="AY30" s="113">
        <f>IF(OR(AND($F29&lt;=AY$3, $F30 &gt;= AY$3), AND($F30&lt;AY$3, WORKDAY($F30, 22,Holiday!$A$1:$A$30)&gt;AY$3)), 1, 0)+IF(AND((AY$3-$B$2)&gt;=0,(AY$3-$B$2)&lt;30), 2,0)</f>
        <v>0</v>
      </c>
      <c r="AZ30" s="113">
        <f>IF(OR(AND($F29&lt;=AZ$3, $F30 &gt;= AZ$3), AND($F30&lt;AZ$3, WORKDAY($F30, 22,Holiday!$A$1:$A$30)&gt;AZ$3)), 1, 0)+IF(AND((AZ$3-$B$2)&gt;=0,(AZ$3-$B$2)&lt;30), 2,0)</f>
        <v>2</v>
      </c>
      <c r="BA30" s="113">
        <f>IF(OR(AND($F29&lt;=BA$3, $F30 &gt;= BA$3), AND($F30&lt;BA$3, WORKDAY($F30, 22,Holiday!$A$1:$A$30)&gt;BA$3)), 1, 0)+IF(AND((BA$3-$B$2)&gt;=0,(BA$3-$B$2)&lt;30), 2,0)</f>
        <v>0</v>
      </c>
      <c r="BB30" s="113">
        <f>IF(OR(AND($F29&lt;=BB$3, $F30 &gt;= BB$3), AND($F30&lt;BB$3, WORKDAY($F30, 22,Holiday!$A$1:$A$30)&gt;BB$3)), 1, 0)+IF(AND((BB$3-$B$2)&gt;=0,(BB$3-$B$2)&lt;30), 2,0)</f>
        <v>0</v>
      </c>
    </row>
    <row r="31" spans="2:54" ht="15" x14ac:dyDescent="0.2">
      <c r="B31" t="s">
        <v>132</v>
      </c>
      <c r="C31" s="112" t="s">
        <v>78</v>
      </c>
      <c r="D31" s="111">
        <v>5</v>
      </c>
      <c r="E31" s="86">
        <f t="shared" si="0"/>
        <v>8</v>
      </c>
      <c r="F31" s="122">
        <f>WORKDAY(F30,E31,Holiday!A27:A56)</f>
        <v>46492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1</v>
      </c>
      <c r="V31" s="113">
        <f>IF(OR(AND($F30&lt;=V$3, $F31 &gt;= V$3), AND($F31&lt;V$3, WORKDAY($F31, 22,Holiday!$A$1:$A$30)&gt;V$3)), 1, 0)+IF(AND((V$3-$B$2)&gt;=0,(V$3-$B$2)&lt;30), 2,0)</f>
        <v>1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  <c r="AP31" s="113">
        <f>IF(OR(AND($F30&lt;=AP$3, $F31 &gt;= AP$3), AND($F31&lt;AP$3, WORKDAY($F31, 22,Holiday!$A$1:$A$30)&gt;AP$3)), 1, 0)+IF(AND((AP$3-$B$2)&gt;=0,(AP$3-$B$2)&lt;30), 2,0)</f>
        <v>0</v>
      </c>
      <c r="AQ31" s="113">
        <f>IF(OR(AND($F30&lt;=AQ$3, $F31 &gt;= AQ$3), AND($F31&lt;AQ$3, WORKDAY($F31, 22,Holiday!$A$1:$A$30)&gt;AQ$3)), 1, 0)+IF(AND((AQ$3-$B$2)&gt;=0,(AQ$3-$B$2)&lt;30), 2,0)</f>
        <v>0</v>
      </c>
      <c r="AR31" s="113">
        <f>IF(OR(AND($F30&lt;=AR$3, $F31 &gt;= AR$3), AND($F31&lt;AR$3, WORKDAY($F31, 22,Holiday!$A$1:$A$30)&gt;AR$3)), 1, 0)+IF(AND((AR$3-$B$2)&gt;=0,(AR$3-$B$2)&lt;30), 2,0)</f>
        <v>0</v>
      </c>
      <c r="AS31" s="113">
        <f>IF(OR(AND($F30&lt;=AS$3, $F31 &gt;= AS$3), AND($F31&lt;AS$3, WORKDAY($F31, 22,Holiday!$A$1:$A$30)&gt;AS$3)), 1, 0)+IF(AND((AS$3-$B$2)&gt;=0,(AS$3-$B$2)&lt;30), 2,0)</f>
        <v>0</v>
      </c>
      <c r="AT31" s="113">
        <f>IF(OR(AND($F30&lt;=AT$3, $F31 &gt;= AT$3), AND($F31&lt;AT$3, WORKDAY($F31, 22,Holiday!$A$1:$A$30)&gt;AT$3)), 1, 0)+IF(AND((AT$3-$B$2)&gt;=0,(AT$3-$B$2)&lt;30), 2,0)</f>
        <v>0</v>
      </c>
      <c r="AU31" s="113">
        <f>IF(OR(AND($F30&lt;=AU$3, $F31 &gt;= AU$3), AND($F31&lt;AU$3, WORKDAY($F31, 22,Holiday!$A$1:$A$30)&gt;AU$3)), 1, 0)+IF(AND((AU$3-$B$2)&gt;=0,(AU$3-$B$2)&lt;30), 2,0)</f>
        <v>0</v>
      </c>
      <c r="AV31" s="113">
        <f>IF(OR(AND($F30&lt;=AV$3, $F31 &gt;= AV$3), AND($F31&lt;AV$3, WORKDAY($F31, 22,Holiday!$A$1:$A$30)&gt;AV$3)), 1, 0)+IF(AND((AV$3-$B$2)&gt;=0,(AV$3-$B$2)&lt;30), 2,0)</f>
        <v>0</v>
      </c>
      <c r="AW31" s="113">
        <f>IF(OR(AND($F30&lt;=AW$3, $F31 &gt;= AW$3), AND($F31&lt;AW$3, WORKDAY($F31, 22,Holiday!$A$1:$A$30)&gt;AW$3)), 1, 0)+IF(AND((AW$3-$B$2)&gt;=0,(AW$3-$B$2)&lt;30), 2,0)</f>
        <v>0</v>
      </c>
      <c r="AX31" s="113">
        <f>IF(OR(AND($F30&lt;=AX$3, $F31 &gt;= AX$3), AND($F31&lt;AX$3, WORKDAY($F31, 22,Holiday!$A$1:$A$30)&gt;AX$3)), 1, 0)+IF(AND((AX$3-$B$2)&gt;=0,(AX$3-$B$2)&lt;30), 2,0)</f>
        <v>0</v>
      </c>
      <c r="AY31" s="113">
        <f>IF(OR(AND($F30&lt;=AY$3, $F31 &gt;= AY$3), AND($F31&lt;AY$3, WORKDAY($F31, 22,Holiday!$A$1:$A$30)&gt;AY$3)), 1, 0)+IF(AND((AY$3-$B$2)&gt;=0,(AY$3-$B$2)&lt;30), 2,0)</f>
        <v>0</v>
      </c>
      <c r="AZ31" s="113">
        <f>IF(OR(AND($F30&lt;=AZ$3, $F31 &gt;= AZ$3), AND($F31&lt;AZ$3, WORKDAY($F31, 22,Holiday!$A$1:$A$30)&gt;AZ$3)), 1, 0)+IF(AND((AZ$3-$B$2)&gt;=0,(AZ$3-$B$2)&lt;30), 2,0)</f>
        <v>2</v>
      </c>
      <c r="BA31" s="113">
        <f>IF(OR(AND($F30&lt;=BA$3, $F31 &gt;= BA$3), AND($F31&lt;BA$3, WORKDAY($F31, 22,Holiday!$A$1:$A$30)&gt;BA$3)), 1, 0)+IF(AND((BA$3-$B$2)&gt;=0,(BA$3-$B$2)&lt;30), 2,0)</f>
        <v>0</v>
      </c>
      <c r="BB31" s="113">
        <f>IF(OR(AND($F30&lt;=BB$3, $F31 &gt;= BB$3), AND($F31&lt;BB$3, WORKDAY($F31, 22,Holiday!$A$1:$A$30)&gt;BB$3)), 1, 0)+IF(AND((BB$3-$B$2)&gt;=0,(BB$3-$B$2)&lt;30), 2,0)</f>
        <v>0</v>
      </c>
    </row>
    <row r="32" spans="2:54" ht="15" x14ac:dyDescent="0.2">
      <c r="B32" t="s">
        <v>130</v>
      </c>
      <c r="C32" s="112" t="s">
        <v>78</v>
      </c>
      <c r="D32" s="111">
        <v>5</v>
      </c>
      <c r="E32" s="86">
        <f t="shared" si="0"/>
        <v>8</v>
      </c>
      <c r="F32" s="122">
        <f>WORKDAY(F31,E32,Holiday!A28:A57)</f>
        <v>46504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1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  <c r="AP32" s="113">
        <f>IF(OR(AND($F31&lt;=AP$3, $F32 &gt;= AP$3), AND($F32&lt;AP$3, WORKDAY($F32, 22,Holiday!$A$1:$A$30)&gt;AP$3)), 1, 0)+IF(AND((AP$3-$B$2)&gt;=0,(AP$3-$B$2)&lt;30), 2,0)</f>
        <v>0</v>
      </c>
      <c r="AQ32" s="113">
        <f>IF(OR(AND($F31&lt;=AQ$3, $F32 &gt;= AQ$3), AND($F32&lt;AQ$3, WORKDAY($F32, 22,Holiday!$A$1:$A$30)&gt;AQ$3)), 1, 0)+IF(AND((AQ$3-$B$2)&gt;=0,(AQ$3-$B$2)&lt;30), 2,0)</f>
        <v>0</v>
      </c>
      <c r="AR32" s="113">
        <f>IF(OR(AND($F31&lt;=AR$3, $F32 &gt;= AR$3), AND($F32&lt;AR$3, WORKDAY($F32, 22,Holiday!$A$1:$A$30)&gt;AR$3)), 1, 0)+IF(AND((AR$3-$B$2)&gt;=0,(AR$3-$B$2)&lt;30), 2,0)</f>
        <v>0</v>
      </c>
      <c r="AS32" s="113">
        <f>IF(OR(AND($F31&lt;=AS$3, $F32 &gt;= AS$3), AND($F32&lt;AS$3, WORKDAY($F32, 22,Holiday!$A$1:$A$30)&gt;AS$3)), 1, 0)+IF(AND((AS$3-$B$2)&gt;=0,(AS$3-$B$2)&lt;30), 2,0)</f>
        <v>0</v>
      </c>
      <c r="AT32" s="113">
        <f>IF(OR(AND($F31&lt;=AT$3, $F32 &gt;= AT$3), AND($F32&lt;AT$3, WORKDAY($F32, 22,Holiday!$A$1:$A$30)&gt;AT$3)), 1, 0)+IF(AND((AT$3-$B$2)&gt;=0,(AT$3-$B$2)&lt;30), 2,0)</f>
        <v>0</v>
      </c>
      <c r="AU32" s="113">
        <f>IF(OR(AND($F31&lt;=AU$3, $F32 &gt;= AU$3), AND($F32&lt;AU$3, WORKDAY($F32, 22,Holiday!$A$1:$A$30)&gt;AU$3)), 1, 0)+IF(AND((AU$3-$B$2)&gt;=0,(AU$3-$B$2)&lt;30), 2,0)</f>
        <v>0</v>
      </c>
      <c r="AV32" s="113">
        <f>IF(OR(AND($F31&lt;=AV$3, $F32 &gt;= AV$3), AND($F32&lt;AV$3, WORKDAY($F32, 22,Holiday!$A$1:$A$30)&gt;AV$3)), 1, 0)+IF(AND((AV$3-$B$2)&gt;=0,(AV$3-$B$2)&lt;30), 2,0)</f>
        <v>0</v>
      </c>
      <c r="AW32" s="113">
        <f>IF(OR(AND($F31&lt;=AW$3, $F32 &gt;= AW$3), AND($F32&lt;AW$3, WORKDAY($F32, 22,Holiday!$A$1:$A$30)&gt;AW$3)), 1, 0)+IF(AND((AW$3-$B$2)&gt;=0,(AW$3-$B$2)&lt;30), 2,0)</f>
        <v>0</v>
      </c>
      <c r="AX32" s="113">
        <f>IF(OR(AND($F31&lt;=AX$3, $F32 &gt;= AX$3), AND($F32&lt;AX$3, WORKDAY($F32, 22,Holiday!$A$1:$A$30)&gt;AX$3)), 1, 0)+IF(AND((AX$3-$B$2)&gt;=0,(AX$3-$B$2)&lt;30), 2,0)</f>
        <v>0</v>
      </c>
      <c r="AY32" s="113">
        <f>IF(OR(AND($F31&lt;=AY$3, $F32 &gt;= AY$3), AND($F32&lt;AY$3, WORKDAY($F32, 22,Holiday!$A$1:$A$30)&gt;AY$3)), 1, 0)+IF(AND((AY$3-$B$2)&gt;=0,(AY$3-$B$2)&lt;30), 2,0)</f>
        <v>0</v>
      </c>
      <c r="AZ32" s="113">
        <f>IF(OR(AND($F31&lt;=AZ$3, $F32 &gt;= AZ$3), AND($F32&lt;AZ$3, WORKDAY($F32, 22,Holiday!$A$1:$A$30)&gt;AZ$3)), 1, 0)+IF(AND((AZ$3-$B$2)&gt;=0,(AZ$3-$B$2)&lt;30), 2,0)</f>
        <v>2</v>
      </c>
      <c r="BA32" s="113">
        <f>IF(OR(AND($F31&lt;=BA$3, $F32 &gt;= BA$3), AND($F32&lt;BA$3, WORKDAY($F32, 22,Holiday!$A$1:$A$30)&gt;BA$3)), 1, 0)+IF(AND((BA$3-$B$2)&gt;=0,(BA$3-$B$2)&lt;30), 2,0)</f>
        <v>0</v>
      </c>
      <c r="BB32" s="113">
        <f>IF(OR(AND($F31&lt;=BB$3, $F32 &gt;= BB$3), AND($F32&lt;BB$3, WORKDAY($F32, 22,Holiday!$A$1:$A$30)&gt;BB$3)), 1, 0)+IF(AND((BB$3-$B$2)&gt;=0,(BB$3-$B$2)&lt;30), 2,0)</f>
        <v>0</v>
      </c>
    </row>
    <row r="33" spans="2:54" ht="15" x14ac:dyDescent="0.2">
      <c r="B33" t="s">
        <v>189</v>
      </c>
      <c r="C33" s="112" t="s">
        <v>78</v>
      </c>
      <c r="D33" s="111">
        <v>5</v>
      </c>
      <c r="E33" s="86">
        <f t="shared" si="0"/>
        <v>8</v>
      </c>
      <c r="F33" s="122">
        <f>WORKDAY(F32,E33,Holiday!A29:A58)</f>
        <v>46514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1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  <c r="AP33" s="113">
        <f>IF(OR(AND($F32&lt;=AP$3, $F33 &gt;= AP$3), AND($F33&lt;AP$3, WORKDAY($F33, 22,Holiday!$A$1:$A$30)&gt;AP$3)), 1, 0)+IF(AND((AP$3-$B$2)&gt;=0,(AP$3-$B$2)&lt;30), 2,0)</f>
        <v>0</v>
      </c>
      <c r="AQ33" s="113">
        <f>IF(OR(AND($F32&lt;=AQ$3, $F33 &gt;= AQ$3), AND($F33&lt;AQ$3, WORKDAY($F33, 22,Holiday!$A$1:$A$30)&gt;AQ$3)), 1, 0)+IF(AND((AQ$3-$B$2)&gt;=0,(AQ$3-$B$2)&lt;30), 2,0)</f>
        <v>0</v>
      </c>
      <c r="AR33" s="113">
        <f>IF(OR(AND($F32&lt;=AR$3, $F33 &gt;= AR$3), AND($F33&lt;AR$3, WORKDAY($F33, 22,Holiday!$A$1:$A$30)&gt;AR$3)), 1, 0)+IF(AND((AR$3-$B$2)&gt;=0,(AR$3-$B$2)&lt;30), 2,0)</f>
        <v>0</v>
      </c>
      <c r="AS33" s="113">
        <f>IF(OR(AND($F32&lt;=AS$3, $F33 &gt;= AS$3), AND($F33&lt;AS$3, WORKDAY($F33, 22,Holiday!$A$1:$A$30)&gt;AS$3)), 1, 0)+IF(AND((AS$3-$B$2)&gt;=0,(AS$3-$B$2)&lt;30), 2,0)</f>
        <v>0</v>
      </c>
      <c r="AT33" s="113">
        <f>IF(OR(AND($F32&lt;=AT$3, $F33 &gt;= AT$3), AND($F33&lt;AT$3, WORKDAY($F33, 22,Holiday!$A$1:$A$30)&gt;AT$3)), 1, 0)+IF(AND((AT$3-$B$2)&gt;=0,(AT$3-$B$2)&lt;30), 2,0)</f>
        <v>0</v>
      </c>
      <c r="AU33" s="113">
        <f>IF(OR(AND($F32&lt;=AU$3, $F33 &gt;= AU$3), AND($F33&lt;AU$3, WORKDAY($F33, 22,Holiday!$A$1:$A$30)&gt;AU$3)), 1, 0)+IF(AND((AU$3-$B$2)&gt;=0,(AU$3-$B$2)&lt;30), 2,0)</f>
        <v>0</v>
      </c>
      <c r="AV33" s="113">
        <f>IF(OR(AND($F32&lt;=AV$3, $F33 &gt;= AV$3), AND($F33&lt;AV$3, WORKDAY($F33, 22,Holiday!$A$1:$A$30)&gt;AV$3)), 1, 0)+IF(AND((AV$3-$B$2)&gt;=0,(AV$3-$B$2)&lt;30), 2,0)</f>
        <v>0</v>
      </c>
      <c r="AW33" s="113">
        <f>IF(OR(AND($F32&lt;=AW$3, $F33 &gt;= AW$3), AND($F33&lt;AW$3, WORKDAY($F33, 22,Holiday!$A$1:$A$30)&gt;AW$3)), 1, 0)+IF(AND((AW$3-$B$2)&gt;=0,(AW$3-$B$2)&lt;30), 2,0)</f>
        <v>0</v>
      </c>
      <c r="AX33" s="113">
        <f>IF(OR(AND($F32&lt;=AX$3, $F33 &gt;= AX$3), AND($F33&lt;AX$3, WORKDAY($F33, 22,Holiday!$A$1:$A$30)&gt;AX$3)), 1, 0)+IF(AND((AX$3-$B$2)&gt;=0,(AX$3-$B$2)&lt;30), 2,0)</f>
        <v>0</v>
      </c>
      <c r="AY33" s="113">
        <f>IF(OR(AND($F32&lt;=AY$3, $F33 &gt;= AY$3), AND($F33&lt;AY$3, WORKDAY($F33, 22,Holiday!$A$1:$A$30)&gt;AY$3)), 1, 0)+IF(AND((AY$3-$B$2)&gt;=0,(AY$3-$B$2)&lt;30), 2,0)</f>
        <v>0</v>
      </c>
      <c r="AZ33" s="113">
        <f>IF(OR(AND($F32&lt;=AZ$3, $F33 &gt;= AZ$3), AND($F33&lt;AZ$3, WORKDAY($F33, 22,Holiday!$A$1:$A$30)&gt;AZ$3)), 1, 0)+IF(AND((AZ$3-$B$2)&gt;=0,(AZ$3-$B$2)&lt;30), 2,0)</f>
        <v>2</v>
      </c>
      <c r="BA33" s="113">
        <f>IF(OR(AND($F32&lt;=BA$3, $F33 &gt;= BA$3), AND($F33&lt;BA$3, WORKDAY($F33, 22,Holiday!$A$1:$A$30)&gt;BA$3)), 1, 0)+IF(AND((BA$3-$B$2)&gt;=0,(BA$3-$B$2)&lt;30), 2,0)</f>
        <v>0</v>
      </c>
      <c r="BB33" s="113">
        <f>IF(OR(AND($F32&lt;=BB$3, $F33 &gt;= BB$3), AND($F33&lt;BB$3, WORKDAY($F33, 22,Holiday!$A$1:$A$30)&gt;BB$3)), 1, 0)+IF(AND((BB$3-$B$2)&gt;=0,(BB$3-$B$2)&lt;30), 2,0)</f>
        <v>0</v>
      </c>
    </row>
    <row r="34" spans="2:54" ht="15" x14ac:dyDescent="0.2">
      <c r="B34" t="s">
        <v>124</v>
      </c>
      <c r="C34" s="112" t="s">
        <v>78</v>
      </c>
      <c r="D34" s="111">
        <v>5</v>
      </c>
      <c r="E34" s="86">
        <f t="shared" si="0"/>
        <v>8</v>
      </c>
      <c r="F34" s="122">
        <f>WORKDAY(F33,E34,Holiday!A30:A59)</f>
        <v>46526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1</v>
      </c>
      <c r="W34" s="113">
        <f>IF(OR(AND($F33&lt;=W$3, $F34 &gt;= W$3), AND($F34&lt;W$3, WORKDAY($F34, 22,Holiday!$A$1:$A$30)&gt;W$3)), 1, 0)+IF(AND((W$3-$B$2)&gt;=0,(W$3-$B$2)&lt;30), 2,0)</f>
        <v>1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  <c r="AP34" s="113">
        <f>IF(OR(AND($F33&lt;=AP$3, $F34 &gt;= AP$3), AND($F34&lt;AP$3, WORKDAY($F34, 22,Holiday!$A$1:$A$30)&gt;AP$3)), 1, 0)+IF(AND((AP$3-$B$2)&gt;=0,(AP$3-$B$2)&lt;30), 2,0)</f>
        <v>0</v>
      </c>
      <c r="AQ34" s="113">
        <f>IF(OR(AND($F33&lt;=AQ$3, $F34 &gt;= AQ$3), AND($F34&lt;AQ$3, WORKDAY($F34, 22,Holiday!$A$1:$A$30)&gt;AQ$3)), 1, 0)+IF(AND((AQ$3-$B$2)&gt;=0,(AQ$3-$B$2)&lt;30), 2,0)</f>
        <v>0</v>
      </c>
      <c r="AR34" s="113">
        <f>IF(OR(AND($F33&lt;=AR$3, $F34 &gt;= AR$3), AND($F34&lt;AR$3, WORKDAY($F34, 22,Holiday!$A$1:$A$30)&gt;AR$3)), 1, 0)+IF(AND((AR$3-$B$2)&gt;=0,(AR$3-$B$2)&lt;30), 2,0)</f>
        <v>0</v>
      </c>
      <c r="AS34" s="113">
        <f>IF(OR(AND($F33&lt;=AS$3, $F34 &gt;= AS$3), AND($F34&lt;AS$3, WORKDAY($F34, 22,Holiday!$A$1:$A$30)&gt;AS$3)), 1, 0)+IF(AND((AS$3-$B$2)&gt;=0,(AS$3-$B$2)&lt;30), 2,0)</f>
        <v>0</v>
      </c>
      <c r="AT34" s="113">
        <f>IF(OR(AND($F33&lt;=AT$3, $F34 &gt;= AT$3), AND($F34&lt;AT$3, WORKDAY($F34, 22,Holiday!$A$1:$A$30)&gt;AT$3)), 1, 0)+IF(AND((AT$3-$B$2)&gt;=0,(AT$3-$B$2)&lt;30), 2,0)</f>
        <v>0</v>
      </c>
      <c r="AU34" s="113">
        <f>IF(OR(AND($F33&lt;=AU$3, $F34 &gt;= AU$3), AND($F34&lt;AU$3, WORKDAY($F34, 22,Holiday!$A$1:$A$30)&gt;AU$3)), 1, 0)+IF(AND((AU$3-$B$2)&gt;=0,(AU$3-$B$2)&lt;30), 2,0)</f>
        <v>0</v>
      </c>
      <c r="AV34" s="113">
        <f>IF(OR(AND($F33&lt;=AV$3, $F34 &gt;= AV$3), AND($F34&lt;AV$3, WORKDAY($F34, 22,Holiday!$A$1:$A$30)&gt;AV$3)), 1, 0)+IF(AND((AV$3-$B$2)&gt;=0,(AV$3-$B$2)&lt;30), 2,0)</f>
        <v>0</v>
      </c>
      <c r="AW34" s="113">
        <f>IF(OR(AND($F33&lt;=AW$3, $F34 &gt;= AW$3), AND($F34&lt;AW$3, WORKDAY($F34, 22,Holiday!$A$1:$A$30)&gt;AW$3)), 1, 0)+IF(AND((AW$3-$B$2)&gt;=0,(AW$3-$B$2)&lt;30), 2,0)</f>
        <v>0</v>
      </c>
      <c r="AX34" s="113">
        <f>IF(OR(AND($F33&lt;=AX$3, $F34 &gt;= AX$3), AND($F34&lt;AX$3, WORKDAY($F34, 22,Holiday!$A$1:$A$30)&gt;AX$3)), 1, 0)+IF(AND((AX$3-$B$2)&gt;=0,(AX$3-$B$2)&lt;30), 2,0)</f>
        <v>0</v>
      </c>
      <c r="AY34" s="113">
        <f>IF(OR(AND($F33&lt;=AY$3, $F34 &gt;= AY$3), AND($F34&lt;AY$3, WORKDAY($F34, 22,Holiday!$A$1:$A$30)&gt;AY$3)), 1, 0)+IF(AND((AY$3-$B$2)&gt;=0,(AY$3-$B$2)&lt;30), 2,0)</f>
        <v>0</v>
      </c>
      <c r="AZ34" s="113">
        <f>IF(OR(AND($F33&lt;=AZ$3, $F34 &gt;= AZ$3), AND($F34&lt;AZ$3, WORKDAY($F34, 22,Holiday!$A$1:$A$30)&gt;AZ$3)), 1, 0)+IF(AND((AZ$3-$B$2)&gt;=0,(AZ$3-$B$2)&lt;30), 2,0)</f>
        <v>2</v>
      </c>
      <c r="BA34" s="113">
        <f>IF(OR(AND($F33&lt;=BA$3, $F34 &gt;= BA$3), AND($F34&lt;BA$3, WORKDAY($F34, 22,Holiday!$A$1:$A$30)&gt;BA$3)), 1, 0)+IF(AND((BA$3-$B$2)&gt;=0,(BA$3-$B$2)&lt;30), 2,0)</f>
        <v>0</v>
      </c>
      <c r="BB34" s="113">
        <f>IF(OR(AND($F33&lt;=BB$3, $F34 &gt;= BB$3), AND($F34&lt;BB$3, WORKDAY($F34, 22,Holiday!$A$1:$A$30)&gt;BB$3)), 1, 0)+IF(AND((BB$3-$B$2)&gt;=0,(BB$3-$B$2)&lt;30), 2,0)</f>
        <v>0</v>
      </c>
    </row>
    <row r="35" spans="2:54" ht="15" x14ac:dyDescent="0.2">
      <c r="B35" t="s">
        <v>135</v>
      </c>
      <c r="C35" s="112" t="s">
        <v>78</v>
      </c>
      <c r="D35" s="111">
        <v>5</v>
      </c>
      <c r="E35" s="86">
        <f t="shared" si="0"/>
        <v>8</v>
      </c>
      <c r="F35" s="122">
        <f>WORKDAY(F34,E35,Holiday!A31:A60)</f>
        <v>46538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1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  <c r="AP35" s="113">
        <f>IF(OR(AND($F34&lt;=AP$3, $F35 &gt;= AP$3), AND($F35&lt;AP$3, WORKDAY($F35, 22,Holiday!$A$1:$A$30)&gt;AP$3)), 1, 0)+IF(AND((AP$3-$B$2)&gt;=0,(AP$3-$B$2)&lt;30), 2,0)</f>
        <v>0</v>
      </c>
      <c r="AQ35" s="113">
        <f>IF(OR(AND($F34&lt;=AQ$3, $F35 &gt;= AQ$3), AND($F35&lt;AQ$3, WORKDAY($F35, 22,Holiday!$A$1:$A$30)&gt;AQ$3)), 1, 0)+IF(AND((AQ$3-$B$2)&gt;=0,(AQ$3-$B$2)&lt;30), 2,0)</f>
        <v>0</v>
      </c>
      <c r="AR35" s="113">
        <f>IF(OR(AND($F34&lt;=AR$3, $F35 &gt;= AR$3), AND($F35&lt;AR$3, WORKDAY($F35, 22,Holiday!$A$1:$A$30)&gt;AR$3)), 1, 0)+IF(AND((AR$3-$B$2)&gt;=0,(AR$3-$B$2)&lt;30), 2,0)</f>
        <v>0</v>
      </c>
      <c r="AS35" s="113">
        <f>IF(OR(AND($F34&lt;=AS$3, $F35 &gt;= AS$3), AND($F35&lt;AS$3, WORKDAY($F35, 22,Holiday!$A$1:$A$30)&gt;AS$3)), 1, 0)+IF(AND((AS$3-$B$2)&gt;=0,(AS$3-$B$2)&lt;30), 2,0)</f>
        <v>0</v>
      </c>
      <c r="AT35" s="113">
        <f>IF(OR(AND($F34&lt;=AT$3, $F35 &gt;= AT$3), AND($F35&lt;AT$3, WORKDAY($F35, 22,Holiday!$A$1:$A$30)&gt;AT$3)), 1, 0)+IF(AND((AT$3-$B$2)&gt;=0,(AT$3-$B$2)&lt;30), 2,0)</f>
        <v>0</v>
      </c>
      <c r="AU35" s="113">
        <f>IF(OR(AND($F34&lt;=AU$3, $F35 &gt;= AU$3), AND($F35&lt;AU$3, WORKDAY($F35, 22,Holiday!$A$1:$A$30)&gt;AU$3)), 1, 0)+IF(AND((AU$3-$B$2)&gt;=0,(AU$3-$B$2)&lt;30), 2,0)</f>
        <v>0</v>
      </c>
      <c r="AV35" s="113">
        <f>IF(OR(AND($F34&lt;=AV$3, $F35 &gt;= AV$3), AND($F35&lt;AV$3, WORKDAY($F35, 22,Holiday!$A$1:$A$30)&gt;AV$3)), 1, 0)+IF(AND((AV$3-$B$2)&gt;=0,(AV$3-$B$2)&lt;30), 2,0)</f>
        <v>0</v>
      </c>
      <c r="AW35" s="113">
        <f>IF(OR(AND($F34&lt;=AW$3, $F35 &gt;= AW$3), AND($F35&lt;AW$3, WORKDAY($F35, 22,Holiday!$A$1:$A$30)&gt;AW$3)), 1, 0)+IF(AND((AW$3-$B$2)&gt;=0,(AW$3-$B$2)&lt;30), 2,0)</f>
        <v>0</v>
      </c>
      <c r="AX35" s="113">
        <f>IF(OR(AND($F34&lt;=AX$3, $F35 &gt;= AX$3), AND($F35&lt;AX$3, WORKDAY($F35, 22,Holiday!$A$1:$A$30)&gt;AX$3)), 1, 0)+IF(AND((AX$3-$B$2)&gt;=0,(AX$3-$B$2)&lt;30), 2,0)</f>
        <v>0</v>
      </c>
      <c r="AY35" s="113">
        <f>IF(OR(AND($F34&lt;=AY$3, $F35 &gt;= AY$3), AND($F35&lt;AY$3, WORKDAY($F35, 22,Holiday!$A$1:$A$30)&gt;AY$3)), 1, 0)+IF(AND((AY$3-$B$2)&gt;=0,(AY$3-$B$2)&lt;30), 2,0)</f>
        <v>0</v>
      </c>
      <c r="AZ35" s="113">
        <f>IF(OR(AND($F34&lt;=AZ$3, $F35 &gt;= AZ$3), AND($F35&lt;AZ$3, WORKDAY($F35, 22,Holiday!$A$1:$A$30)&gt;AZ$3)), 1, 0)+IF(AND((AZ$3-$B$2)&gt;=0,(AZ$3-$B$2)&lt;30), 2,0)</f>
        <v>2</v>
      </c>
      <c r="BA35" s="113">
        <f>IF(OR(AND($F34&lt;=BA$3, $F35 &gt;= BA$3), AND($F35&lt;BA$3, WORKDAY($F35, 22,Holiday!$A$1:$A$30)&gt;BA$3)), 1, 0)+IF(AND((BA$3-$B$2)&gt;=0,(BA$3-$B$2)&lt;30), 2,0)</f>
        <v>0</v>
      </c>
      <c r="BB35" s="113">
        <f>IF(OR(AND($F34&lt;=BB$3, $F35 &gt;= BB$3), AND($F35&lt;BB$3, WORKDAY($F35, 22,Holiday!$A$1:$A$30)&gt;BB$3)), 1, 0)+IF(AND((BB$3-$B$2)&gt;=0,(BB$3-$B$2)&lt;30), 2,0)</f>
        <v>0</v>
      </c>
    </row>
    <row r="36" spans="2:54" ht="15" x14ac:dyDescent="0.2">
      <c r="B36" t="s">
        <v>126</v>
      </c>
      <c r="C36" s="112" t="s">
        <v>78</v>
      </c>
      <c r="D36" s="111">
        <v>5</v>
      </c>
      <c r="E36" s="86">
        <f t="shared" si="0"/>
        <v>8</v>
      </c>
      <c r="F36" s="122">
        <f>WORKDAY(F35,E36,Holiday!A32:A61)</f>
        <v>46548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1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  <c r="AP36" s="113">
        <f>IF(OR(AND($F35&lt;=AP$3, $F36 &gt;= AP$3), AND($F36&lt;AP$3, WORKDAY($F36, 22,Holiday!$A$1:$A$30)&gt;AP$3)), 1, 0)+IF(AND((AP$3-$B$2)&gt;=0,(AP$3-$B$2)&lt;30), 2,0)</f>
        <v>0</v>
      </c>
      <c r="AQ36" s="113">
        <f>IF(OR(AND($F35&lt;=AQ$3, $F36 &gt;= AQ$3), AND($F36&lt;AQ$3, WORKDAY($F36, 22,Holiday!$A$1:$A$30)&gt;AQ$3)), 1, 0)+IF(AND((AQ$3-$B$2)&gt;=0,(AQ$3-$B$2)&lt;30), 2,0)</f>
        <v>0</v>
      </c>
      <c r="AR36" s="113">
        <f>IF(OR(AND($F35&lt;=AR$3, $F36 &gt;= AR$3), AND($F36&lt;AR$3, WORKDAY($F36, 22,Holiday!$A$1:$A$30)&gt;AR$3)), 1, 0)+IF(AND((AR$3-$B$2)&gt;=0,(AR$3-$B$2)&lt;30), 2,0)</f>
        <v>0</v>
      </c>
      <c r="AS36" s="113">
        <f>IF(OR(AND($F35&lt;=AS$3, $F36 &gt;= AS$3), AND($F36&lt;AS$3, WORKDAY($F36, 22,Holiday!$A$1:$A$30)&gt;AS$3)), 1, 0)+IF(AND((AS$3-$B$2)&gt;=0,(AS$3-$B$2)&lt;30), 2,0)</f>
        <v>0</v>
      </c>
      <c r="AT36" s="113">
        <f>IF(OR(AND($F35&lt;=AT$3, $F36 &gt;= AT$3), AND($F36&lt;AT$3, WORKDAY($F36, 22,Holiday!$A$1:$A$30)&gt;AT$3)), 1, 0)+IF(AND((AT$3-$B$2)&gt;=0,(AT$3-$B$2)&lt;30), 2,0)</f>
        <v>0</v>
      </c>
      <c r="AU36" s="113">
        <f>IF(OR(AND($F35&lt;=AU$3, $F36 &gt;= AU$3), AND($F36&lt;AU$3, WORKDAY($F36, 22,Holiday!$A$1:$A$30)&gt;AU$3)), 1, 0)+IF(AND((AU$3-$B$2)&gt;=0,(AU$3-$B$2)&lt;30), 2,0)</f>
        <v>0</v>
      </c>
      <c r="AV36" s="113">
        <f>IF(OR(AND($F35&lt;=AV$3, $F36 &gt;= AV$3), AND($F36&lt;AV$3, WORKDAY($F36, 22,Holiday!$A$1:$A$30)&gt;AV$3)), 1, 0)+IF(AND((AV$3-$B$2)&gt;=0,(AV$3-$B$2)&lt;30), 2,0)</f>
        <v>0</v>
      </c>
      <c r="AW36" s="113">
        <f>IF(OR(AND($F35&lt;=AW$3, $F36 &gt;= AW$3), AND($F36&lt;AW$3, WORKDAY($F36, 22,Holiday!$A$1:$A$30)&gt;AW$3)), 1, 0)+IF(AND((AW$3-$B$2)&gt;=0,(AW$3-$B$2)&lt;30), 2,0)</f>
        <v>0</v>
      </c>
      <c r="AX36" s="113">
        <f>IF(OR(AND($F35&lt;=AX$3, $F36 &gt;= AX$3), AND($F36&lt;AX$3, WORKDAY($F36, 22,Holiday!$A$1:$A$30)&gt;AX$3)), 1, 0)+IF(AND((AX$3-$B$2)&gt;=0,(AX$3-$B$2)&lt;30), 2,0)</f>
        <v>0</v>
      </c>
      <c r="AY36" s="113">
        <f>IF(OR(AND($F35&lt;=AY$3, $F36 &gt;= AY$3), AND($F36&lt;AY$3, WORKDAY($F36, 22,Holiday!$A$1:$A$30)&gt;AY$3)), 1, 0)+IF(AND((AY$3-$B$2)&gt;=0,(AY$3-$B$2)&lt;30), 2,0)</f>
        <v>0</v>
      </c>
      <c r="AZ36" s="113">
        <f>IF(OR(AND($F35&lt;=AZ$3, $F36 &gt;= AZ$3), AND($F36&lt;AZ$3, WORKDAY($F36, 22,Holiday!$A$1:$A$30)&gt;AZ$3)), 1, 0)+IF(AND((AZ$3-$B$2)&gt;=0,(AZ$3-$B$2)&lt;30), 2,0)</f>
        <v>2</v>
      </c>
      <c r="BA36" s="113">
        <f>IF(OR(AND($F35&lt;=BA$3, $F36 &gt;= BA$3), AND($F36&lt;BA$3, WORKDAY($F36, 22,Holiday!$A$1:$A$30)&gt;BA$3)), 1, 0)+IF(AND((BA$3-$B$2)&gt;=0,(BA$3-$B$2)&lt;30), 2,0)</f>
        <v>0</v>
      </c>
      <c r="BB36" s="113">
        <f>IF(OR(AND($F35&lt;=BB$3, $F36 &gt;= BB$3), AND($F36&lt;BB$3, WORKDAY($F36, 22,Holiday!$A$1:$A$30)&gt;BB$3)), 1, 0)+IF(AND((BB$3-$B$2)&gt;=0,(BB$3-$B$2)&lt;30), 2,0)</f>
        <v>0</v>
      </c>
    </row>
    <row r="37" spans="2:54" ht="15" x14ac:dyDescent="0.2">
      <c r="B37" t="s">
        <v>131</v>
      </c>
      <c r="C37" s="112" t="s">
        <v>78</v>
      </c>
      <c r="D37" s="111">
        <v>5</v>
      </c>
      <c r="E37" s="86">
        <f t="shared" si="0"/>
        <v>8</v>
      </c>
      <c r="F37" s="122">
        <f>WORKDAY(F36,E37,Holiday!A33:A62)</f>
        <v>46560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1</v>
      </c>
      <c r="X37" s="113">
        <f>IF(OR(AND($F36&lt;=X$3, $F37 &gt;= X$3), AND($F37&lt;X$3, WORKDAY($F37, 22,Holiday!$A$1:$A$30)&gt;X$3)), 1, 0)+IF(AND((X$3-$B$2)&gt;=0,(X$3-$B$2)&lt;30), 2,0)</f>
        <v>1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  <c r="AP37" s="113">
        <f>IF(OR(AND($F36&lt;=AP$3, $F37 &gt;= AP$3), AND($F37&lt;AP$3, WORKDAY($F37, 22,Holiday!$A$1:$A$30)&gt;AP$3)), 1, 0)+IF(AND((AP$3-$B$2)&gt;=0,(AP$3-$B$2)&lt;30), 2,0)</f>
        <v>0</v>
      </c>
      <c r="AQ37" s="113">
        <f>IF(OR(AND($F36&lt;=AQ$3, $F37 &gt;= AQ$3), AND($F37&lt;AQ$3, WORKDAY($F37, 22,Holiday!$A$1:$A$30)&gt;AQ$3)), 1, 0)+IF(AND((AQ$3-$B$2)&gt;=0,(AQ$3-$B$2)&lt;30), 2,0)</f>
        <v>0</v>
      </c>
      <c r="AR37" s="113">
        <f>IF(OR(AND($F36&lt;=AR$3, $F37 &gt;= AR$3), AND($F37&lt;AR$3, WORKDAY($F37, 22,Holiday!$A$1:$A$30)&gt;AR$3)), 1, 0)+IF(AND((AR$3-$B$2)&gt;=0,(AR$3-$B$2)&lt;30), 2,0)</f>
        <v>0</v>
      </c>
      <c r="AS37" s="113">
        <f>IF(OR(AND($F36&lt;=AS$3, $F37 &gt;= AS$3), AND($F37&lt;AS$3, WORKDAY($F37, 22,Holiday!$A$1:$A$30)&gt;AS$3)), 1, 0)+IF(AND((AS$3-$B$2)&gt;=0,(AS$3-$B$2)&lt;30), 2,0)</f>
        <v>0</v>
      </c>
      <c r="AT37" s="113">
        <f>IF(OR(AND($F36&lt;=AT$3, $F37 &gt;= AT$3), AND($F37&lt;AT$3, WORKDAY($F37, 22,Holiday!$A$1:$A$30)&gt;AT$3)), 1, 0)+IF(AND((AT$3-$B$2)&gt;=0,(AT$3-$B$2)&lt;30), 2,0)</f>
        <v>0</v>
      </c>
      <c r="AU37" s="113">
        <f>IF(OR(AND($F36&lt;=AU$3, $F37 &gt;= AU$3), AND($F37&lt;AU$3, WORKDAY($F37, 22,Holiday!$A$1:$A$30)&gt;AU$3)), 1, 0)+IF(AND((AU$3-$B$2)&gt;=0,(AU$3-$B$2)&lt;30), 2,0)</f>
        <v>0</v>
      </c>
      <c r="AV37" s="113">
        <f>IF(OR(AND($F36&lt;=AV$3, $F37 &gt;= AV$3), AND($F37&lt;AV$3, WORKDAY($F37, 22,Holiday!$A$1:$A$30)&gt;AV$3)), 1, 0)+IF(AND((AV$3-$B$2)&gt;=0,(AV$3-$B$2)&lt;30), 2,0)</f>
        <v>0</v>
      </c>
      <c r="AW37" s="113">
        <f>IF(OR(AND($F36&lt;=AW$3, $F37 &gt;= AW$3), AND($F37&lt;AW$3, WORKDAY($F37, 22,Holiday!$A$1:$A$30)&gt;AW$3)), 1, 0)+IF(AND((AW$3-$B$2)&gt;=0,(AW$3-$B$2)&lt;30), 2,0)</f>
        <v>0</v>
      </c>
      <c r="AX37" s="113">
        <f>IF(OR(AND($F36&lt;=AX$3, $F37 &gt;= AX$3), AND($F37&lt;AX$3, WORKDAY($F37, 22,Holiday!$A$1:$A$30)&gt;AX$3)), 1, 0)+IF(AND((AX$3-$B$2)&gt;=0,(AX$3-$B$2)&lt;30), 2,0)</f>
        <v>0</v>
      </c>
      <c r="AY37" s="113">
        <f>IF(OR(AND($F36&lt;=AY$3, $F37 &gt;= AY$3), AND($F37&lt;AY$3, WORKDAY($F37, 22,Holiday!$A$1:$A$30)&gt;AY$3)), 1, 0)+IF(AND((AY$3-$B$2)&gt;=0,(AY$3-$B$2)&lt;30), 2,0)</f>
        <v>0</v>
      </c>
      <c r="AZ37" s="113">
        <f>IF(OR(AND($F36&lt;=AZ$3, $F37 &gt;= AZ$3), AND($F37&lt;AZ$3, WORKDAY($F37, 22,Holiday!$A$1:$A$30)&gt;AZ$3)), 1, 0)+IF(AND((AZ$3-$B$2)&gt;=0,(AZ$3-$B$2)&lt;30), 2,0)</f>
        <v>2</v>
      </c>
      <c r="BA37" s="113">
        <f>IF(OR(AND($F36&lt;=BA$3, $F37 &gt;= BA$3), AND($F37&lt;BA$3, WORKDAY($F37, 22,Holiday!$A$1:$A$30)&gt;BA$3)), 1, 0)+IF(AND((BA$3-$B$2)&gt;=0,(BA$3-$B$2)&lt;30), 2,0)</f>
        <v>0</v>
      </c>
      <c r="BB37" s="113">
        <f>IF(OR(AND($F36&lt;=BB$3, $F37 &gt;= BB$3), AND($F37&lt;BB$3, WORKDAY($F37, 22,Holiday!$A$1:$A$30)&gt;BB$3)), 1, 0)+IF(AND((BB$3-$B$2)&gt;=0,(BB$3-$B$2)&lt;30), 2,0)</f>
        <v>0</v>
      </c>
    </row>
    <row r="38" spans="2:54" ht="15" x14ac:dyDescent="0.2">
      <c r="B38" t="s">
        <v>128</v>
      </c>
      <c r="C38" s="112" t="s">
        <v>78</v>
      </c>
      <c r="D38" s="111">
        <v>5</v>
      </c>
      <c r="E38" s="86">
        <f t="shared" si="0"/>
        <v>8</v>
      </c>
      <c r="F38" s="122">
        <f>WORKDAY(F37,E38,Holiday!A34:A63)</f>
        <v>46570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1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  <c r="AP38" s="113">
        <f>IF(OR(AND($F37&lt;=AP$3, $F38 &gt;= AP$3), AND($F38&lt;AP$3, WORKDAY($F38, 22,Holiday!$A$1:$A$30)&gt;AP$3)), 1, 0)+IF(AND((AP$3-$B$2)&gt;=0,(AP$3-$B$2)&lt;30), 2,0)</f>
        <v>0</v>
      </c>
      <c r="AQ38" s="113">
        <f>IF(OR(AND($F37&lt;=AQ$3, $F38 &gt;= AQ$3), AND($F38&lt;AQ$3, WORKDAY($F38, 22,Holiday!$A$1:$A$30)&gt;AQ$3)), 1, 0)+IF(AND((AQ$3-$B$2)&gt;=0,(AQ$3-$B$2)&lt;30), 2,0)</f>
        <v>0</v>
      </c>
      <c r="AR38" s="113">
        <f>IF(OR(AND($F37&lt;=AR$3, $F38 &gt;= AR$3), AND($F38&lt;AR$3, WORKDAY($F38, 22,Holiday!$A$1:$A$30)&gt;AR$3)), 1, 0)+IF(AND((AR$3-$B$2)&gt;=0,(AR$3-$B$2)&lt;30), 2,0)</f>
        <v>0</v>
      </c>
      <c r="AS38" s="113">
        <f>IF(OR(AND($F37&lt;=AS$3, $F38 &gt;= AS$3), AND($F38&lt;AS$3, WORKDAY($F38, 22,Holiday!$A$1:$A$30)&gt;AS$3)), 1, 0)+IF(AND((AS$3-$B$2)&gt;=0,(AS$3-$B$2)&lt;30), 2,0)</f>
        <v>0</v>
      </c>
      <c r="AT38" s="113">
        <f>IF(OR(AND($F37&lt;=AT$3, $F38 &gt;= AT$3), AND($F38&lt;AT$3, WORKDAY($F38, 22,Holiday!$A$1:$A$30)&gt;AT$3)), 1, 0)+IF(AND((AT$3-$B$2)&gt;=0,(AT$3-$B$2)&lt;30), 2,0)</f>
        <v>0</v>
      </c>
      <c r="AU38" s="113">
        <f>IF(OR(AND($F37&lt;=AU$3, $F38 &gt;= AU$3), AND($F38&lt;AU$3, WORKDAY($F38, 22,Holiday!$A$1:$A$30)&gt;AU$3)), 1, 0)+IF(AND((AU$3-$B$2)&gt;=0,(AU$3-$B$2)&lt;30), 2,0)</f>
        <v>0</v>
      </c>
      <c r="AV38" s="113">
        <f>IF(OR(AND($F37&lt;=AV$3, $F38 &gt;= AV$3), AND($F38&lt;AV$3, WORKDAY($F38, 22,Holiday!$A$1:$A$30)&gt;AV$3)), 1, 0)+IF(AND((AV$3-$B$2)&gt;=0,(AV$3-$B$2)&lt;30), 2,0)</f>
        <v>0</v>
      </c>
      <c r="AW38" s="113">
        <f>IF(OR(AND($F37&lt;=AW$3, $F38 &gt;= AW$3), AND($F38&lt;AW$3, WORKDAY($F38, 22,Holiday!$A$1:$A$30)&gt;AW$3)), 1, 0)+IF(AND((AW$3-$B$2)&gt;=0,(AW$3-$B$2)&lt;30), 2,0)</f>
        <v>0</v>
      </c>
      <c r="AX38" s="113">
        <f>IF(OR(AND($F37&lt;=AX$3, $F38 &gt;= AX$3), AND($F38&lt;AX$3, WORKDAY($F38, 22,Holiday!$A$1:$A$30)&gt;AX$3)), 1, 0)+IF(AND((AX$3-$B$2)&gt;=0,(AX$3-$B$2)&lt;30), 2,0)</f>
        <v>0</v>
      </c>
      <c r="AY38" s="113">
        <f>IF(OR(AND($F37&lt;=AY$3, $F38 &gt;= AY$3), AND($F38&lt;AY$3, WORKDAY($F38, 22,Holiday!$A$1:$A$30)&gt;AY$3)), 1, 0)+IF(AND((AY$3-$B$2)&gt;=0,(AY$3-$B$2)&lt;30), 2,0)</f>
        <v>0</v>
      </c>
      <c r="AZ38" s="113">
        <f>IF(OR(AND($F37&lt;=AZ$3, $F38 &gt;= AZ$3), AND($F38&lt;AZ$3, WORKDAY($F38, 22,Holiday!$A$1:$A$30)&gt;AZ$3)), 1, 0)+IF(AND((AZ$3-$B$2)&gt;=0,(AZ$3-$B$2)&lt;30), 2,0)</f>
        <v>2</v>
      </c>
      <c r="BA38" s="113">
        <f>IF(OR(AND($F37&lt;=BA$3, $F38 &gt;= BA$3), AND($F38&lt;BA$3, WORKDAY($F38, 22,Holiday!$A$1:$A$30)&gt;BA$3)), 1, 0)+IF(AND((BA$3-$B$2)&gt;=0,(BA$3-$B$2)&lt;30), 2,0)</f>
        <v>0</v>
      </c>
      <c r="BB38" s="113">
        <f>IF(OR(AND($F37&lt;=BB$3, $F38 &gt;= BB$3), AND($F38&lt;BB$3, WORKDAY($F38, 22,Holiday!$A$1:$A$30)&gt;BB$3)), 1, 0)+IF(AND((BB$3-$B$2)&gt;=0,(BB$3-$B$2)&lt;30), 2,0)</f>
        <v>0</v>
      </c>
    </row>
    <row r="39" spans="2:54" ht="15" x14ac:dyDescent="0.2">
      <c r="B39" t="s">
        <v>142</v>
      </c>
      <c r="C39" s="112" t="s">
        <v>78</v>
      </c>
      <c r="D39" s="111">
        <v>5</v>
      </c>
      <c r="E39" s="86">
        <f t="shared" si="0"/>
        <v>8</v>
      </c>
      <c r="F39" s="122">
        <f>WORKDAY(F38,E39,Holiday!A35:A64)</f>
        <v>46582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1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  <c r="AP39" s="113">
        <f>IF(OR(AND($F38&lt;=AP$3, $F39 &gt;= AP$3), AND($F39&lt;AP$3, WORKDAY($F39, 22,Holiday!$A$1:$A$30)&gt;AP$3)), 1, 0)+IF(AND((AP$3-$B$2)&gt;=0,(AP$3-$B$2)&lt;30), 2,0)</f>
        <v>0</v>
      </c>
      <c r="AQ39" s="113">
        <f>IF(OR(AND($F38&lt;=AQ$3, $F39 &gt;= AQ$3), AND($F39&lt;AQ$3, WORKDAY($F39, 22,Holiday!$A$1:$A$30)&gt;AQ$3)), 1, 0)+IF(AND((AQ$3-$B$2)&gt;=0,(AQ$3-$B$2)&lt;30), 2,0)</f>
        <v>0</v>
      </c>
      <c r="AR39" s="113">
        <f>IF(OR(AND($F38&lt;=AR$3, $F39 &gt;= AR$3), AND($F39&lt;AR$3, WORKDAY($F39, 22,Holiday!$A$1:$A$30)&gt;AR$3)), 1, 0)+IF(AND((AR$3-$B$2)&gt;=0,(AR$3-$B$2)&lt;30), 2,0)</f>
        <v>0</v>
      </c>
      <c r="AS39" s="113">
        <f>IF(OR(AND($F38&lt;=AS$3, $F39 &gt;= AS$3), AND($F39&lt;AS$3, WORKDAY($F39, 22,Holiday!$A$1:$A$30)&gt;AS$3)), 1, 0)+IF(AND((AS$3-$B$2)&gt;=0,(AS$3-$B$2)&lt;30), 2,0)</f>
        <v>0</v>
      </c>
      <c r="AT39" s="113">
        <f>IF(OR(AND($F38&lt;=AT$3, $F39 &gt;= AT$3), AND($F39&lt;AT$3, WORKDAY($F39, 22,Holiday!$A$1:$A$30)&gt;AT$3)), 1, 0)+IF(AND((AT$3-$B$2)&gt;=0,(AT$3-$B$2)&lt;30), 2,0)</f>
        <v>0</v>
      </c>
      <c r="AU39" s="113">
        <f>IF(OR(AND($F38&lt;=AU$3, $F39 &gt;= AU$3), AND($F39&lt;AU$3, WORKDAY($F39, 22,Holiday!$A$1:$A$30)&gt;AU$3)), 1, 0)+IF(AND((AU$3-$B$2)&gt;=0,(AU$3-$B$2)&lt;30), 2,0)</f>
        <v>0</v>
      </c>
      <c r="AV39" s="113">
        <f>IF(OR(AND($F38&lt;=AV$3, $F39 &gt;= AV$3), AND($F39&lt;AV$3, WORKDAY($F39, 22,Holiday!$A$1:$A$30)&gt;AV$3)), 1, 0)+IF(AND((AV$3-$B$2)&gt;=0,(AV$3-$B$2)&lt;30), 2,0)</f>
        <v>0</v>
      </c>
      <c r="AW39" s="113">
        <f>IF(OR(AND($F38&lt;=AW$3, $F39 &gt;= AW$3), AND($F39&lt;AW$3, WORKDAY($F39, 22,Holiday!$A$1:$A$30)&gt;AW$3)), 1, 0)+IF(AND((AW$3-$B$2)&gt;=0,(AW$3-$B$2)&lt;30), 2,0)</f>
        <v>0</v>
      </c>
      <c r="AX39" s="113">
        <f>IF(OR(AND($F38&lt;=AX$3, $F39 &gt;= AX$3), AND($F39&lt;AX$3, WORKDAY($F39, 22,Holiday!$A$1:$A$30)&gt;AX$3)), 1, 0)+IF(AND((AX$3-$B$2)&gt;=0,(AX$3-$B$2)&lt;30), 2,0)</f>
        <v>0</v>
      </c>
      <c r="AY39" s="113">
        <f>IF(OR(AND($F38&lt;=AY$3, $F39 &gt;= AY$3), AND($F39&lt;AY$3, WORKDAY($F39, 22,Holiday!$A$1:$A$30)&gt;AY$3)), 1, 0)+IF(AND((AY$3-$B$2)&gt;=0,(AY$3-$B$2)&lt;30), 2,0)</f>
        <v>0</v>
      </c>
      <c r="AZ39" s="113">
        <f>IF(OR(AND($F38&lt;=AZ$3, $F39 &gt;= AZ$3), AND($F39&lt;AZ$3, WORKDAY($F39, 22,Holiday!$A$1:$A$30)&gt;AZ$3)), 1, 0)+IF(AND((AZ$3-$B$2)&gt;=0,(AZ$3-$B$2)&lt;30), 2,0)</f>
        <v>2</v>
      </c>
      <c r="BA39" s="113">
        <f>IF(OR(AND($F38&lt;=BA$3, $F39 &gt;= BA$3), AND($F39&lt;BA$3, WORKDAY($F39, 22,Holiday!$A$1:$A$30)&gt;BA$3)), 1, 0)+IF(AND((BA$3-$B$2)&gt;=0,(BA$3-$B$2)&lt;30), 2,0)</f>
        <v>0</v>
      </c>
      <c r="BB39" s="113">
        <f>IF(OR(AND($F38&lt;=BB$3, $F39 &gt;= BB$3), AND($F39&lt;BB$3, WORKDAY($F39, 22,Holiday!$A$1:$A$30)&gt;BB$3)), 1, 0)+IF(AND((BB$3-$B$2)&gt;=0,(BB$3-$B$2)&lt;30), 2,0)</f>
        <v>0</v>
      </c>
    </row>
    <row r="40" spans="2:54" ht="15" x14ac:dyDescent="0.2">
      <c r="B40" t="s">
        <v>125</v>
      </c>
      <c r="C40" s="112" t="s">
        <v>78</v>
      </c>
      <c r="D40" s="111">
        <v>5</v>
      </c>
      <c r="E40" s="86">
        <f t="shared" si="0"/>
        <v>8</v>
      </c>
      <c r="F40" s="122">
        <f>WORKDAY(F39,E40,Holiday!A36:A65)</f>
        <v>46594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1</v>
      </c>
      <c r="Y40" s="113">
        <f>IF(OR(AND($F39&lt;=Y$3, $F40 &gt;= Y$3), AND($F40&lt;Y$3, WORKDAY($F40, 22,Holiday!$A$1:$A$30)&gt;Y$3)), 1, 0)+IF(AND((Y$3-$B$2)&gt;=0,(Y$3-$B$2)&lt;30), 2,0)</f>
        <v>1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  <c r="AP40" s="113">
        <f>IF(OR(AND($F39&lt;=AP$3, $F40 &gt;= AP$3), AND($F40&lt;AP$3, WORKDAY($F40, 22,Holiday!$A$1:$A$30)&gt;AP$3)), 1, 0)+IF(AND((AP$3-$B$2)&gt;=0,(AP$3-$B$2)&lt;30), 2,0)</f>
        <v>0</v>
      </c>
      <c r="AQ40" s="113">
        <f>IF(OR(AND($F39&lt;=AQ$3, $F40 &gt;= AQ$3), AND($F40&lt;AQ$3, WORKDAY($F40, 22,Holiday!$A$1:$A$30)&gt;AQ$3)), 1, 0)+IF(AND((AQ$3-$B$2)&gt;=0,(AQ$3-$B$2)&lt;30), 2,0)</f>
        <v>0</v>
      </c>
      <c r="AR40" s="113">
        <f>IF(OR(AND($F39&lt;=AR$3, $F40 &gt;= AR$3), AND($F40&lt;AR$3, WORKDAY($F40, 22,Holiday!$A$1:$A$30)&gt;AR$3)), 1, 0)+IF(AND((AR$3-$B$2)&gt;=0,(AR$3-$B$2)&lt;30), 2,0)</f>
        <v>0</v>
      </c>
      <c r="AS40" s="113">
        <f>IF(OR(AND($F39&lt;=AS$3, $F40 &gt;= AS$3), AND($F40&lt;AS$3, WORKDAY($F40, 22,Holiday!$A$1:$A$30)&gt;AS$3)), 1, 0)+IF(AND((AS$3-$B$2)&gt;=0,(AS$3-$B$2)&lt;30), 2,0)</f>
        <v>0</v>
      </c>
      <c r="AT40" s="113">
        <f>IF(OR(AND($F39&lt;=AT$3, $F40 &gt;= AT$3), AND($F40&lt;AT$3, WORKDAY($F40, 22,Holiday!$A$1:$A$30)&gt;AT$3)), 1, 0)+IF(AND((AT$3-$B$2)&gt;=0,(AT$3-$B$2)&lt;30), 2,0)</f>
        <v>0</v>
      </c>
      <c r="AU40" s="113">
        <f>IF(OR(AND($F39&lt;=AU$3, $F40 &gt;= AU$3), AND($F40&lt;AU$3, WORKDAY($F40, 22,Holiday!$A$1:$A$30)&gt;AU$3)), 1, 0)+IF(AND((AU$3-$B$2)&gt;=0,(AU$3-$B$2)&lt;30), 2,0)</f>
        <v>0</v>
      </c>
      <c r="AV40" s="113">
        <f>IF(OR(AND($F39&lt;=AV$3, $F40 &gt;= AV$3), AND($F40&lt;AV$3, WORKDAY($F40, 22,Holiday!$A$1:$A$30)&gt;AV$3)), 1, 0)+IF(AND((AV$3-$B$2)&gt;=0,(AV$3-$B$2)&lt;30), 2,0)</f>
        <v>0</v>
      </c>
      <c r="AW40" s="113">
        <f>IF(OR(AND($F39&lt;=AW$3, $F40 &gt;= AW$3), AND($F40&lt;AW$3, WORKDAY($F40, 22,Holiday!$A$1:$A$30)&gt;AW$3)), 1, 0)+IF(AND((AW$3-$B$2)&gt;=0,(AW$3-$B$2)&lt;30), 2,0)</f>
        <v>0</v>
      </c>
      <c r="AX40" s="113">
        <f>IF(OR(AND($F39&lt;=AX$3, $F40 &gt;= AX$3), AND($F40&lt;AX$3, WORKDAY($F40, 22,Holiday!$A$1:$A$30)&gt;AX$3)), 1, 0)+IF(AND((AX$3-$B$2)&gt;=0,(AX$3-$B$2)&lt;30), 2,0)</f>
        <v>0</v>
      </c>
      <c r="AY40" s="113">
        <f>IF(OR(AND($F39&lt;=AY$3, $F40 &gt;= AY$3), AND($F40&lt;AY$3, WORKDAY($F40, 22,Holiday!$A$1:$A$30)&gt;AY$3)), 1, 0)+IF(AND((AY$3-$B$2)&gt;=0,(AY$3-$B$2)&lt;30), 2,0)</f>
        <v>0</v>
      </c>
      <c r="AZ40" s="113">
        <f>IF(OR(AND($F39&lt;=AZ$3, $F40 &gt;= AZ$3), AND($F40&lt;AZ$3, WORKDAY($F40, 22,Holiday!$A$1:$A$30)&gt;AZ$3)), 1, 0)+IF(AND((AZ$3-$B$2)&gt;=0,(AZ$3-$B$2)&lt;30), 2,0)</f>
        <v>2</v>
      </c>
      <c r="BA40" s="113">
        <f>IF(OR(AND($F39&lt;=BA$3, $F40 &gt;= BA$3), AND($F40&lt;BA$3, WORKDAY($F40, 22,Holiday!$A$1:$A$30)&gt;BA$3)), 1, 0)+IF(AND((BA$3-$B$2)&gt;=0,(BA$3-$B$2)&lt;30), 2,0)</f>
        <v>0</v>
      </c>
      <c r="BB40" s="113">
        <f>IF(OR(AND($F39&lt;=BB$3, $F40 &gt;= BB$3), AND($F40&lt;BB$3, WORKDAY($F40, 22,Holiday!$A$1:$A$30)&gt;BB$3)), 1, 0)+IF(AND((BB$3-$B$2)&gt;=0,(BB$3-$B$2)&lt;30), 2,0)</f>
        <v>0</v>
      </c>
    </row>
    <row r="41" spans="2:54" ht="15" x14ac:dyDescent="0.2">
      <c r="B41" t="s">
        <v>141</v>
      </c>
      <c r="C41" s="112" t="s">
        <v>78</v>
      </c>
      <c r="D41" s="111">
        <v>5</v>
      </c>
      <c r="E41" s="86">
        <f t="shared" si="0"/>
        <v>8</v>
      </c>
      <c r="F41" s="122">
        <f>WORKDAY(F40,E41,Holiday!A37:A66)</f>
        <v>46604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1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  <c r="AP41" s="113">
        <f>IF(OR(AND($F40&lt;=AP$3, $F41 &gt;= AP$3), AND($F41&lt;AP$3, WORKDAY($F41, 22,Holiday!$A$1:$A$30)&gt;AP$3)), 1, 0)+IF(AND((AP$3-$B$2)&gt;=0,(AP$3-$B$2)&lt;30), 2,0)</f>
        <v>0</v>
      </c>
      <c r="AQ41" s="113">
        <f>IF(OR(AND($F40&lt;=AQ$3, $F41 &gt;= AQ$3), AND($F41&lt;AQ$3, WORKDAY($F41, 22,Holiday!$A$1:$A$30)&gt;AQ$3)), 1, 0)+IF(AND((AQ$3-$B$2)&gt;=0,(AQ$3-$B$2)&lt;30), 2,0)</f>
        <v>0</v>
      </c>
      <c r="AR41" s="113">
        <f>IF(OR(AND($F40&lt;=AR$3, $F41 &gt;= AR$3), AND($F41&lt;AR$3, WORKDAY($F41, 22,Holiday!$A$1:$A$30)&gt;AR$3)), 1, 0)+IF(AND((AR$3-$B$2)&gt;=0,(AR$3-$B$2)&lt;30), 2,0)</f>
        <v>0</v>
      </c>
      <c r="AS41" s="113">
        <f>IF(OR(AND($F40&lt;=AS$3, $F41 &gt;= AS$3), AND($F41&lt;AS$3, WORKDAY($F41, 22,Holiday!$A$1:$A$30)&gt;AS$3)), 1, 0)+IF(AND((AS$3-$B$2)&gt;=0,(AS$3-$B$2)&lt;30), 2,0)</f>
        <v>0</v>
      </c>
      <c r="AT41" s="113">
        <f>IF(OR(AND($F40&lt;=AT$3, $F41 &gt;= AT$3), AND($F41&lt;AT$3, WORKDAY($F41, 22,Holiday!$A$1:$A$30)&gt;AT$3)), 1, 0)+IF(AND((AT$3-$B$2)&gt;=0,(AT$3-$B$2)&lt;30), 2,0)</f>
        <v>0</v>
      </c>
      <c r="AU41" s="113">
        <f>IF(OR(AND($F40&lt;=AU$3, $F41 &gt;= AU$3), AND($F41&lt;AU$3, WORKDAY($F41, 22,Holiday!$A$1:$A$30)&gt;AU$3)), 1, 0)+IF(AND((AU$3-$B$2)&gt;=0,(AU$3-$B$2)&lt;30), 2,0)</f>
        <v>0</v>
      </c>
      <c r="AV41" s="113">
        <f>IF(OR(AND($F40&lt;=AV$3, $F41 &gt;= AV$3), AND($F41&lt;AV$3, WORKDAY($F41, 22,Holiday!$A$1:$A$30)&gt;AV$3)), 1, 0)+IF(AND((AV$3-$B$2)&gt;=0,(AV$3-$B$2)&lt;30), 2,0)</f>
        <v>0</v>
      </c>
      <c r="AW41" s="113">
        <f>IF(OR(AND($F40&lt;=AW$3, $F41 &gt;= AW$3), AND($F41&lt;AW$3, WORKDAY($F41, 22,Holiday!$A$1:$A$30)&gt;AW$3)), 1, 0)+IF(AND((AW$3-$B$2)&gt;=0,(AW$3-$B$2)&lt;30), 2,0)</f>
        <v>0</v>
      </c>
      <c r="AX41" s="113">
        <f>IF(OR(AND($F40&lt;=AX$3, $F41 &gt;= AX$3), AND($F41&lt;AX$3, WORKDAY($F41, 22,Holiday!$A$1:$A$30)&gt;AX$3)), 1, 0)+IF(AND((AX$3-$B$2)&gt;=0,(AX$3-$B$2)&lt;30), 2,0)</f>
        <v>0</v>
      </c>
      <c r="AY41" s="113">
        <f>IF(OR(AND($F40&lt;=AY$3, $F41 &gt;= AY$3), AND($F41&lt;AY$3, WORKDAY($F41, 22,Holiday!$A$1:$A$30)&gt;AY$3)), 1, 0)+IF(AND((AY$3-$B$2)&gt;=0,(AY$3-$B$2)&lt;30), 2,0)</f>
        <v>0</v>
      </c>
      <c r="AZ41" s="113">
        <f>IF(OR(AND($F40&lt;=AZ$3, $F41 &gt;= AZ$3), AND($F41&lt;AZ$3, WORKDAY($F41, 22,Holiday!$A$1:$A$30)&gt;AZ$3)), 1, 0)+IF(AND((AZ$3-$B$2)&gt;=0,(AZ$3-$B$2)&lt;30), 2,0)</f>
        <v>2</v>
      </c>
      <c r="BA41" s="113">
        <f>IF(OR(AND($F40&lt;=BA$3, $F41 &gt;= BA$3), AND($F41&lt;BA$3, WORKDAY($F41, 22,Holiday!$A$1:$A$30)&gt;BA$3)), 1, 0)+IF(AND((BA$3-$B$2)&gt;=0,(BA$3-$B$2)&lt;30), 2,0)</f>
        <v>0</v>
      </c>
      <c r="BB41" s="113">
        <f>IF(OR(AND($F40&lt;=BB$3, $F41 &gt;= BB$3), AND($F41&lt;BB$3, WORKDAY($F41, 22,Holiday!$A$1:$A$30)&gt;BB$3)), 1, 0)+IF(AND((BB$3-$B$2)&gt;=0,(BB$3-$B$2)&lt;30), 2,0)</f>
        <v>0</v>
      </c>
    </row>
    <row r="42" spans="2:54" ht="15" x14ac:dyDescent="0.2">
      <c r="B42" t="s">
        <v>199</v>
      </c>
      <c r="C42" s="112" t="s">
        <v>78</v>
      </c>
      <c r="D42" s="111">
        <v>6</v>
      </c>
      <c r="E42" s="86">
        <f t="shared" si="0"/>
        <v>9</v>
      </c>
      <c r="F42" s="122">
        <f>WORKDAY(F41,E42,Holiday!A38:A67)</f>
        <v>46617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1</v>
      </c>
      <c r="Z42" s="113">
        <f>IF(OR(AND($F41&lt;=Z$3, $F42 &gt;= Z$3), AND($F42&lt;Z$3, WORKDAY($F42, 22,Holiday!$A$1:$A$30)&gt;Z$3)), 1, 0)+IF(AND((Z$3-$B$2)&gt;=0,(Z$3-$B$2)&lt;30), 2,0)</f>
        <v>1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  <c r="AP42" s="113">
        <f>IF(OR(AND($F41&lt;=AP$3, $F42 &gt;= AP$3), AND($F42&lt;AP$3, WORKDAY($F42, 22,Holiday!$A$1:$A$30)&gt;AP$3)), 1, 0)+IF(AND((AP$3-$B$2)&gt;=0,(AP$3-$B$2)&lt;30), 2,0)</f>
        <v>0</v>
      </c>
      <c r="AQ42" s="113">
        <f>IF(OR(AND($F41&lt;=AQ$3, $F42 &gt;= AQ$3), AND($F42&lt;AQ$3, WORKDAY($F42, 22,Holiday!$A$1:$A$30)&gt;AQ$3)), 1, 0)+IF(AND((AQ$3-$B$2)&gt;=0,(AQ$3-$B$2)&lt;30), 2,0)</f>
        <v>0</v>
      </c>
      <c r="AR42" s="113">
        <f>IF(OR(AND($F41&lt;=AR$3, $F42 &gt;= AR$3), AND($F42&lt;AR$3, WORKDAY($F42, 22,Holiday!$A$1:$A$30)&gt;AR$3)), 1, 0)+IF(AND((AR$3-$B$2)&gt;=0,(AR$3-$B$2)&lt;30), 2,0)</f>
        <v>0</v>
      </c>
      <c r="AS42" s="113">
        <f>IF(OR(AND($F41&lt;=AS$3, $F42 &gt;= AS$3), AND($F42&lt;AS$3, WORKDAY($F42, 22,Holiday!$A$1:$A$30)&gt;AS$3)), 1, 0)+IF(AND((AS$3-$B$2)&gt;=0,(AS$3-$B$2)&lt;30), 2,0)</f>
        <v>0</v>
      </c>
      <c r="AT42" s="113">
        <f>IF(OR(AND($F41&lt;=AT$3, $F42 &gt;= AT$3), AND($F42&lt;AT$3, WORKDAY($F42, 22,Holiday!$A$1:$A$30)&gt;AT$3)), 1, 0)+IF(AND((AT$3-$B$2)&gt;=0,(AT$3-$B$2)&lt;30), 2,0)</f>
        <v>0</v>
      </c>
      <c r="AU42" s="113">
        <f>IF(OR(AND($F41&lt;=AU$3, $F42 &gt;= AU$3), AND($F42&lt;AU$3, WORKDAY($F42, 22,Holiday!$A$1:$A$30)&gt;AU$3)), 1, 0)+IF(AND((AU$3-$B$2)&gt;=0,(AU$3-$B$2)&lt;30), 2,0)</f>
        <v>0</v>
      </c>
      <c r="AV42" s="113">
        <f>IF(OR(AND($F41&lt;=AV$3, $F42 &gt;= AV$3), AND($F42&lt;AV$3, WORKDAY($F42, 22,Holiday!$A$1:$A$30)&gt;AV$3)), 1, 0)+IF(AND((AV$3-$B$2)&gt;=0,(AV$3-$B$2)&lt;30), 2,0)</f>
        <v>0</v>
      </c>
      <c r="AW42" s="113">
        <f>IF(OR(AND($F41&lt;=AW$3, $F42 &gt;= AW$3), AND($F42&lt;AW$3, WORKDAY($F42, 22,Holiday!$A$1:$A$30)&gt;AW$3)), 1, 0)+IF(AND((AW$3-$B$2)&gt;=0,(AW$3-$B$2)&lt;30), 2,0)</f>
        <v>0</v>
      </c>
      <c r="AX42" s="113">
        <f>IF(OR(AND($F41&lt;=AX$3, $F42 &gt;= AX$3), AND($F42&lt;AX$3, WORKDAY($F42, 22,Holiday!$A$1:$A$30)&gt;AX$3)), 1, 0)+IF(AND((AX$3-$B$2)&gt;=0,(AX$3-$B$2)&lt;30), 2,0)</f>
        <v>0</v>
      </c>
      <c r="AY42" s="113">
        <f>IF(OR(AND($F41&lt;=AY$3, $F42 &gt;= AY$3), AND($F42&lt;AY$3, WORKDAY($F42, 22,Holiday!$A$1:$A$30)&gt;AY$3)), 1, 0)+IF(AND((AY$3-$B$2)&gt;=0,(AY$3-$B$2)&lt;30), 2,0)</f>
        <v>0</v>
      </c>
      <c r="AZ42" s="113">
        <f>IF(OR(AND($F41&lt;=AZ$3, $F42 &gt;= AZ$3), AND($F42&lt;AZ$3, WORKDAY($F42, 22,Holiday!$A$1:$A$30)&gt;AZ$3)), 1, 0)+IF(AND((AZ$3-$B$2)&gt;=0,(AZ$3-$B$2)&lt;30), 2,0)</f>
        <v>2</v>
      </c>
      <c r="BA42" s="113">
        <f>IF(OR(AND($F41&lt;=BA$3, $F42 &gt;= BA$3), AND($F42&lt;BA$3, WORKDAY($F42, 22,Holiday!$A$1:$A$30)&gt;BA$3)), 1, 0)+IF(AND((BA$3-$B$2)&gt;=0,(BA$3-$B$2)&lt;30), 2,0)</f>
        <v>0</v>
      </c>
      <c r="BB42" s="113">
        <f>IF(OR(AND($F41&lt;=BB$3, $F42 &gt;= BB$3), AND($F42&lt;BB$3, WORKDAY($F42, 22,Holiday!$A$1:$A$30)&gt;BB$3)), 1, 0)+IF(AND((BB$3-$B$2)&gt;=0,(BB$3-$B$2)&lt;30), 2,0)</f>
        <v>0</v>
      </c>
    </row>
    <row r="43" spans="2:54" ht="15" x14ac:dyDescent="0.2">
      <c r="B43" t="s">
        <v>201</v>
      </c>
      <c r="C43" s="112" t="s">
        <v>78</v>
      </c>
      <c r="D43" s="111">
        <v>6</v>
      </c>
      <c r="E43" s="86">
        <f t="shared" si="0"/>
        <v>9</v>
      </c>
      <c r="F43" s="122">
        <f>WORKDAY(F42,E43,Holiday!A39:A68)</f>
        <v>46630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1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  <c r="AP43" s="113">
        <f>IF(OR(AND($F42&lt;=AP$3, $F43 &gt;= AP$3), AND($F43&lt;AP$3, WORKDAY($F43, 22,Holiday!$A$1:$A$30)&gt;AP$3)), 1, 0)+IF(AND((AP$3-$B$2)&gt;=0,(AP$3-$B$2)&lt;30), 2,0)</f>
        <v>0</v>
      </c>
      <c r="AQ43" s="113">
        <f>IF(OR(AND($F42&lt;=AQ$3, $F43 &gt;= AQ$3), AND($F43&lt;AQ$3, WORKDAY($F43, 22,Holiday!$A$1:$A$30)&gt;AQ$3)), 1, 0)+IF(AND((AQ$3-$B$2)&gt;=0,(AQ$3-$B$2)&lt;30), 2,0)</f>
        <v>0</v>
      </c>
      <c r="AR43" s="113">
        <f>IF(OR(AND($F42&lt;=AR$3, $F43 &gt;= AR$3), AND($F43&lt;AR$3, WORKDAY($F43, 22,Holiday!$A$1:$A$30)&gt;AR$3)), 1, 0)+IF(AND((AR$3-$B$2)&gt;=0,(AR$3-$B$2)&lt;30), 2,0)</f>
        <v>0</v>
      </c>
      <c r="AS43" s="113">
        <f>IF(OR(AND($F42&lt;=AS$3, $F43 &gt;= AS$3), AND($F43&lt;AS$3, WORKDAY($F43, 22,Holiday!$A$1:$A$30)&gt;AS$3)), 1, 0)+IF(AND((AS$3-$B$2)&gt;=0,(AS$3-$B$2)&lt;30), 2,0)</f>
        <v>0</v>
      </c>
      <c r="AT43" s="113">
        <f>IF(OR(AND($F42&lt;=AT$3, $F43 &gt;= AT$3), AND($F43&lt;AT$3, WORKDAY($F43, 22,Holiday!$A$1:$A$30)&gt;AT$3)), 1, 0)+IF(AND((AT$3-$B$2)&gt;=0,(AT$3-$B$2)&lt;30), 2,0)</f>
        <v>0</v>
      </c>
      <c r="AU43" s="113">
        <f>IF(OR(AND($F42&lt;=AU$3, $F43 &gt;= AU$3), AND($F43&lt;AU$3, WORKDAY($F43, 22,Holiday!$A$1:$A$30)&gt;AU$3)), 1, 0)+IF(AND((AU$3-$B$2)&gt;=0,(AU$3-$B$2)&lt;30), 2,0)</f>
        <v>0</v>
      </c>
      <c r="AV43" s="113">
        <f>IF(OR(AND($F42&lt;=AV$3, $F43 &gt;= AV$3), AND($F43&lt;AV$3, WORKDAY($F43, 22,Holiday!$A$1:$A$30)&gt;AV$3)), 1, 0)+IF(AND((AV$3-$B$2)&gt;=0,(AV$3-$B$2)&lt;30), 2,0)</f>
        <v>0</v>
      </c>
      <c r="AW43" s="113">
        <f>IF(OR(AND($F42&lt;=AW$3, $F43 &gt;= AW$3), AND($F43&lt;AW$3, WORKDAY($F43, 22,Holiday!$A$1:$A$30)&gt;AW$3)), 1, 0)+IF(AND((AW$3-$B$2)&gt;=0,(AW$3-$B$2)&lt;30), 2,0)</f>
        <v>0</v>
      </c>
      <c r="AX43" s="113">
        <f>IF(OR(AND($F42&lt;=AX$3, $F43 &gt;= AX$3), AND($F43&lt;AX$3, WORKDAY($F43, 22,Holiday!$A$1:$A$30)&gt;AX$3)), 1, 0)+IF(AND((AX$3-$B$2)&gt;=0,(AX$3-$B$2)&lt;30), 2,0)</f>
        <v>0</v>
      </c>
      <c r="AY43" s="113">
        <f>IF(OR(AND($F42&lt;=AY$3, $F43 &gt;= AY$3), AND($F43&lt;AY$3, WORKDAY($F43, 22,Holiday!$A$1:$A$30)&gt;AY$3)), 1, 0)+IF(AND((AY$3-$B$2)&gt;=0,(AY$3-$B$2)&lt;30), 2,0)</f>
        <v>0</v>
      </c>
      <c r="AZ43" s="113">
        <f>IF(OR(AND($F42&lt;=AZ$3, $F43 &gt;= AZ$3), AND($F43&lt;AZ$3, WORKDAY($F43, 22,Holiday!$A$1:$A$30)&gt;AZ$3)), 1, 0)+IF(AND((AZ$3-$B$2)&gt;=0,(AZ$3-$B$2)&lt;30), 2,0)</f>
        <v>2</v>
      </c>
      <c r="BA43" s="113">
        <f>IF(OR(AND($F42&lt;=BA$3, $F43 &gt;= BA$3), AND($F43&lt;BA$3, WORKDAY($F43, 22,Holiday!$A$1:$A$30)&gt;BA$3)), 1, 0)+IF(AND((BA$3-$B$2)&gt;=0,(BA$3-$B$2)&lt;30), 2,0)</f>
        <v>0</v>
      </c>
      <c r="BB43" s="113">
        <f>IF(OR(AND($F42&lt;=BB$3, $F43 &gt;= BB$3), AND($F43&lt;BB$3, WORKDAY($F43, 22,Holiday!$A$1:$A$30)&gt;BB$3)), 1, 0)+IF(AND((BB$3-$B$2)&gt;=0,(BB$3-$B$2)&lt;30), 2,0)</f>
        <v>0</v>
      </c>
    </row>
    <row r="44" spans="2:54" ht="15" x14ac:dyDescent="0.2">
      <c r="B44" t="s">
        <v>204</v>
      </c>
      <c r="C44" s="112" t="s">
        <v>78</v>
      </c>
      <c r="D44" s="111">
        <v>6</v>
      </c>
      <c r="E44" s="86">
        <f t="shared" si="0"/>
        <v>9</v>
      </c>
      <c r="F44" s="122">
        <f>WORKDAY(F43,E44,Holiday!A40:A69)</f>
        <v>46643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1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  <c r="AP44" s="113">
        <f>IF(OR(AND($F43&lt;=AP$3, $F44 &gt;= AP$3), AND($F44&lt;AP$3, WORKDAY($F44, 22,Holiday!$A$1:$A$30)&gt;AP$3)), 1, 0)+IF(AND((AP$3-$B$2)&gt;=0,(AP$3-$B$2)&lt;30), 2,0)</f>
        <v>0</v>
      </c>
      <c r="AQ44" s="113">
        <f>IF(OR(AND($F43&lt;=AQ$3, $F44 &gt;= AQ$3), AND($F44&lt;AQ$3, WORKDAY($F44, 22,Holiday!$A$1:$A$30)&gt;AQ$3)), 1, 0)+IF(AND((AQ$3-$B$2)&gt;=0,(AQ$3-$B$2)&lt;30), 2,0)</f>
        <v>0</v>
      </c>
      <c r="AR44" s="113">
        <f>IF(OR(AND($F43&lt;=AR$3, $F44 &gt;= AR$3), AND($F44&lt;AR$3, WORKDAY($F44, 22,Holiday!$A$1:$A$30)&gt;AR$3)), 1, 0)+IF(AND((AR$3-$B$2)&gt;=0,(AR$3-$B$2)&lt;30), 2,0)</f>
        <v>0</v>
      </c>
      <c r="AS44" s="113">
        <f>IF(OR(AND($F43&lt;=AS$3, $F44 &gt;= AS$3), AND($F44&lt;AS$3, WORKDAY($F44, 22,Holiday!$A$1:$A$30)&gt;AS$3)), 1, 0)+IF(AND((AS$3-$B$2)&gt;=0,(AS$3-$B$2)&lt;30), 2,0)</f>
        <v>0</v>
      </c>
      <c r="AT44" s="113">
        <f>IF(OR(AND($F43&lt;=AT$3, $F44 &gt;= AT$3), AND($F44&lt;AT$3, WORKDAY($F44, 22,Holiday!$A$1:$A$30)&gt;AT$3)), 1, 0)+IF(AND((AT$3-$B$2)&gt;=0,(AT$3-$B$2)&lt;30), 2,0)</f>
        <v>0</v>
      </c>
      <c r="AU44" s="113">
        <f>IF(OR(AND($F43&lt;=AU$3, $F44 &gt;= AU$3), AND($F44&lt;AU$3, WORKDAY($F44, 22,Holiday!$A$1:$A$30)&gt;AU$3)), 1, 0)+IF(AND((AU$3-$B$2)&gt;=0,(AU$3-$B$2)&lt;30), 2,0)</f>
        <v>0</v>
      </c>
      <c r="AV44" s="113">
        <f>IF(OR(AND($F43&lt;=AV$3, $F44 &gt;= AV$3), AND($F44&lt;AV$3, WORKDAY($F44, 22,Holiday!$A$1:$A$30)&gt;AV$3)), 1, 0)+IF(AND((AV$3-$B$2)&gt;=0,(AV$3-$B$2)&lt;30), 2,0)</f>
        <v>0</v>
      </c>
      <c r="AW44" s="113">
        <f>IF(OR(AND($F43&lt;=AW$3, $F44 &gt;= AW$3), AND($F44&lt;AW$3, WORKDAY($F44, 22,Holiday!$A$1:$A$30)&gt;AW$3)), 1, 0)+IF(AND((AW$3-$B$2)&gt;=0,(AW$3-$B$2)&lt;30), 2,0)</f>
        <v>0</v>
      </c>
      <c r="AX44" s="113">
        <f>IF(OR(AND($F43&lt;=AX$3, $F44 &gt;= AX$3), AND($F44&lt;AX$3, WORKDAY($F44, 22,Holiday!$A$1:$A$30)&gt;AX$3)), 1, 0)+IF(AND((AX$3-$B$2)&gt;=0,(AX$3-$B$2)&lt;30), 2,0)</f>
        <v>0</v>
      </c>
      <c r="AY44" s="113">
        <f>IF(OR(AND($F43&lt;=AY$3, $F44 &gt;= AY$3), AND($F44&lt;AY$3, WORKDAY($F44, 22,Holiday!$A$1:$A$30)&gt;AY$3)), 1, 0)+IF(AND((AY$3-$B$2)&gt;=0,(AY$3-$B$2)&lt;30), 2,0)</f>
        <v>0</v>
      </c>
      <c r="AZ44" s="113">
        <f>IF(OR(AND($F43&lt;=AZ$3, $F44 &gt;= AZ$3), AND($F44&lt;AZ$3, WORKDAY($F44, 22,Holiday!$A$1:$A$30)&gt;AZ$3)), 1, 0)+IF(AND((AZ$3-$B$2)&gt;=0,(AZ$3-$B$2)&lt;30), 2,0)</f>
        <v>2</v>
      </c>
      <c r="BA44" s="113">
        <f>IF(OR(AND($F43&lt;=BA$3, $F44 &gt;= BA$3), AND($F44&lt;BA$3, WORKDAY($F44, 22,Holiday!$A$1:$A$30)&gt;BA$3)), 1, 0)+IF(AND((BA$3-$B$2)&gt;=0,(BA$3-$B$2)&lt;30), 2,0)</f>
        <v>0</v>
      </c>
      <c r="BB44" s="113">
        <f>IF(OR(AND($F43&lt;=BB$3, $F44 &gt;= BB$3), AND($F44&lt;BB$3, WORKDAY($F44, 22,Holiday!$A$1:$A$30)&gt;BB$3)), 1, 0)+IF(AND((BB$3-$B$2)&gt;=0,(BB$3-$B$2)&lt;30), 2,0)</f>
        <v>0</v>
      </c>
    </row>
    <row r="45" spans="2:54" ht="15" x14ac:dyDescent="0.2">
      <c r="B45" t="s">
        <v>208</v>
      </c>
      <c r="C45" s="112" t="s">
        <v>78</v>
      </c>
      <c r="D45" s="111">
        <v>6</v>
      </c>
      <c r="E45" s="86">
        <f t="shared" si="0"/>
        <v>9</v>
      </c>
      <c r="F45" s="122">
        <f>WORKDAY(F44,E45,Holiday!A41:A70)</f>
        <v>46654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1</v>
      </c>
      <c r="AA45" s="113">
        <f>IF(OR(AND($F44&lt;=AA$3, $F45 &gt;= AA$3), AND($F45&lt;AA$3, WORKDAY($F45, 22,Holiday!$A$1:$A$30)&gt;AA$3)), 1, 0)+IF(AND((AA$3-$B$2)&gt;=0,(AA$3-$B$2)&lt;30), 2,0)</f>
        <v>1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  <c r="AP45" s="113">
        <f>IF(OR(AND($F44&lt;=AP$3, $F45 &gt;= AP$3), AND($F45&lt;AP$3, WORKDAY($F45, 22,Holiday!$A$1:$A$30)&gt;AP$3)), 1, 0)+IF(AND((AP$3-$B$2)&gt;=0,(AP$3-$B$2)&lt;30), 2,0)</f>
        <v>0</v>
      </c>
      <c r="AQ45" s="113">
        <f>IF(OR(AND($F44&lt;=AQ$3, $F45 &gt;= AQ$3), AND($F45&lt;AQ$3, WORKDAY($F45, 22,Holiday!$A$1:$A$30)&gt;AQ$3)), 1, 0)+IF(AND((AQ$3-$B$2)&gt;=0,(AQ$3-$B$2)&lt;30), 2,0)</f>
        <v>0</v>
      </c>
      <c r="AR45" s="113">
        <f>IF(OR(AND($F44&lt;=AR$3, $F45 &gt;= AR$3), AND($F45&lt;AR$3, WORKDAY($F45, 22,Holiday!$A$1:$A$30)&gt;AR$3)), 1, 0)+IF(AND((AR$3-$B$2)&gt;=0,(AR$3-$B$2)&lt;30), 2,0)</f>
        <v>0</v>
      </c>
      <c r="AS45" s="113">
        <f>IF(OR(AND($F44&lt;=AS$3, $F45 &gt;= AS$3), AND($F45&lt;AS$3, WORKDAY($F45, 22,Holiday!$A$1:$A$30)&gt;AS$3)), 1, 0)+IF(AND((AS$3-$B$2)&gt;=0,(AS$3-$B$2)&lt;30), 2,0)</f>
        <v>0</v>
      </c>
      <c r="AT45" s="113">
        <f>IF(OR(AND($F44&lt;=AT$3, $F45 &gt;= AT$3), AND($F45&lt;AT$3, WORKDAY($F45, 22,Holiday!$A$1:$A$30)&gt;AT$3)), 1, 0)+IF(AND((AT$3-$B$2)&gt;=0,(AT$3-$B$2)&lt;30), 2,0)</f>
        <v>0</v>
      </c>
      <c r="AU45" s="113">
        <f>IF(OR(AND($F44&lt;=AU$3, $F45 &gt;= AU$3), AND($F45&lt;AU$3, WORKDAY($F45, 22,Holiday!$A$1:$A$30)&gt;AU$3)), 1, 0)+IF(AND((AU$3-$B$2)&gt;=0,(AU$3-$B$2)&lt;30), 2,0)</f>
        <v>0</v>
      </c>
      <c r="AV45" s="113">
        <f>IF(OR(AND($F44&lt;=AV$3, $F45 &gt;= AV$3), AND($F45&lt;AV$3, WORKDAY($F45, 22,Holiday!$A$1:$A$30)&gt;AV$3)), 1, 0)+IF(AND((AV$3-$B$2)&gt;=0,(AV$3-$B$2)&lt;30), 2,0)</f>
        <v>0</v>
      </c>
      <c r="AW45" s="113">
        <f>IF(OR(AND($F44&lt;=AW$3, $F45 &gt;= AW$3), AND($F45&lt;AW$3, WORKDAY($F45, 22,Holiday!$A$1:$A$30)&gt;AW$3)), 1, 0)+IF(AND((AW$3-$B$2)&gt;=0,(AW$3-$B$2)&lt;30), 2,0)</f>
        <v>0</v>
      </c>
      <c r="AX45" s="113">
        <f>IF(OR(AND($F44&lt;=AX$3, $F45 &gt;= AX$3), AND($F45&lt;AX$3, WORKDAY($F45, 22,Holiday!$A$1:$A$30)&gt;AX$3)), 1, 0)+IF(AND((AX$3-$B$2)&gt;=0,(AX$3-$B$2)&lt;30), 2,0)</f>
        <v>0</v>
      </c>
      <c r="AY45" s="113">
        <f>IF(OR(AND($F44&lt;=AY$3, $F45 &gt;= AY$3), AND($F45&lt;AY$3, WORKDAY($F45, 22,Holiday!$A$1:$A$30)&gt;AY$3)), 1, 0)+IF(AND((AY$3-$B$2)&gt;=0,(AY$3-$B$2)&lt;30), 2,0)</f>
        <v>0</v>
      </c>
      <c r="AZ45" s="113">
        <f>IF(OR(AND($F44&lt;=AZ$3, $F45 &gt;= AZ$3), AND($F45&lt;AZ$3, WORKDAY($F45, 22,Holiday!$A$1:$A$30)&gt;AZ$3)), 1, 0)+IF(AND((AZ$3-$B$2)&gt;=0,(AZ$3-$B$2)&lt;30), 2,0)</f>
        <v>2</v>
      </c>
      <c r="BA45" s="113">
        <f>IF(OR(AND($F44&lt;=BA$3, $F45 &gt;= BA$3), AND($F45&lt;BA$3, WORKDAY($F45, 22,Holiday!$A$1:$A$30)&gt;BA$3)), 1, 0)+IF(AND((BA$3-$B$2)&gt;=0,(BA$3-$B$2)&lt;30), 2,0)</f>
        <v>0</v>
      </c>
      <c r="BB45" s="113">
        <f>IF(OR(AND($F44&lt;=BB$3, $F45 &gt;= BB$3), AND($F45&lt;BB$3, WORKDAY($F45, 22,Holiday!$A$1:$A$30)&gt;BB$3)), 1, 0)+IF(AND((BB$3-$B$2)&gt;=0,(BB$3-$B$2)&lt;30), 2,0)</f>
        <v>0</v>
      </c>
    </row>
    <row r="46" spans="2:54" ht="15" x14ac:dyDescent="0.2">
      <c r="B46" t="s">
        <v>206</v>
      </c>
      <c r="C46" s="112" t="s">
        <v>78</v>
      </c>
      <c r="D46" s="111">
        <v>6</v>
      </c>
      <c r="E46" s="86">
        <f t="shared" si="0"/>
        <v>9</v>
      </c>
      <c r="F46" s="122">
        <f>WORKDAY(F45,E46,Holiday!A42:A71)</f>
        <v>46667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0</v>
      </c>
      <c r="M46" s="113">
        <f>IF(OR(AND($F45&lt;=M$3, $F46 &gt;= M$3), AND($F46&lt;M$3, WORKDAY($F46, 22,Holiday!$A$1:$A$30)&gt;M$3)), 1, 0)+IF(AND((M$3-$B$2)&gt;=0,(M$3-$B$2)&lt;30), 2,0)</f>
        <v>0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0</v>
      </c>
      <c r="R46" s="113">
        <f>IF(OR(AND($F45&lt;=R$3, $F46 &gt;= R$3), AND($F46&lt;R$3, WORKDAY($F46, 22,Holiday!$A$1:$A$30)&gt;R$3)), 1, 0)+IF(AND((R$3-$B$2)&gt;=0,(R$3-$B$2)&lt;30), 2,0)</f>
        <v>0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1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  <c r="AP46" s="113">
        <f>IF(OR(AND($F45&lt;=AP$3, $F46 &gt;= AP$3), AND($F46&lt;AP$3, WORKDAY($F46, 22,Holiday!$A$1:$A$30)&gt;AP$3)), 1, 0)+IF(AND((AP$3-$B$2)&gt;=0,(AP$3-$B$2)&lt;30), 2,0)</f>
        <v>0</v>
      </c>
      <c r="AQ46" s="113">
        <f>IF(OR(AND($F45&lt;=AQ$3, $F46 &gt;= AQ$3), AND($F46&lt;AQ$3, WORKDAY($F46, 22,Holiday!$A$1:$A$30)&gt;AQ$3)), 1, 0)+IF(AND((AQ$3-$B$2)&gt;=0,(AQ$3-$B$2)&lt;30), 2,0)</f>
        <v>0</v>
      </c>
      <c r="AR46" s="113">
        <f>IF(OR(AND($F45&lt;=AR$3, $F46 &gt;= AR$3), AND($F46&lt;AR$3, WORKDAY($F46, 22,Holiday!$A$1:$A$30)&gt;AR$3)), 1, 0)+IF(AND((AR$3-$B$2)&gt;=0,(AR$3-$B$2)&lt;30), 2,0)</f>
        <v>0</v>
      </c>
      <c r="AS46" s="113">
        <f>IF(OR(AND($F45&lt;=AS$3, $F46 &gt;= AS$3), AND($F46&lt;AS$3, WORKDAY($F46, 22,Holiday!$A$1:$A$30)&gt;AS$3)), 1, 0)+IF(AND((AS$3-$B$2)&gt;=0,(AS$3-$B$2)&lt;30), 2,0)</f>
        <v>0</v>
      </c>
      <c r="AT46" s="113">
        <f>IF(OR(AND($F45&lt;=AT$3, $F46 &gt;= AT$3), AND($F46&lt;AT$3, WORKDAY($F46, 22,Holiday!$A$1:$A$30)&gt;AT$3)), 1, 0)+IF(AND((AT$3-$B$2)&gt;=0,(AT$3-$B$2)&lt;30), 2,0)</f>
        <v>0</v>
      </c>
      <c r="AU46" s="113">
        <f>IF(OR(AND($F45&lt;=AU$3, $F46 &gt;= AU$3), AND($F46&lt;AU$3, WORKDAY($F46, 22,Holiday!$A$1:$A$30)&gt;AU$3)), 1, 0)+IF(AND((AU$3-$B$2)&gt;=0,(AU$3-$B$2)&lt;30), 2,0)</f>
        <v>0</v>
      </c>
      <c r="AV46" s="113">
        <f>IF(OR(AND($F45&lt;=AV$3, $F46 &gt;= AV$3), AND($F46&lt;AV$3, WORKDAY($F46, 22,Holiday!$A$1:$A$30)&gt;AV$3)), 1, 0)+IF(AND((AV$3-$B$2)&gt;=0,(AV$3-$B$2)&lt;30), 2,0)</f>
        <v>0</v>
      </c>
      <c r="AW46" s="113">
        <f>IF(OR(AND($F45&lt;=AW$3, $F46 &gt;= AW$3), AND($F46&lt;AW$3, WORKDAY($F46, 22,Holiday!$A$1:$A$30)&gt;AW$3)), 1, 0)+IF(AND((AW$3-$B$2)&gt;=0,(AW$3-$B$2)&lt;30), 2,0)</f>
        <v>0</v>
      </c>
      <c r="AX46" s="113">
        <f>IF(OR(AND($F45&lt;=AX$3, $F46 &gt;= AX$3), AND($F46&lt;AX$3, WORKDAY($F46, 22,Holiday!$A$1:$A$30)&gt;AX$3)), 1, 0)+IF(AND((AX$3-$B$2)&gt;=0,(AX$3-$B$2)&lt;30), 2,0)</f>
        <v>0</v>
      </c>
      <c r="AY46" s="113">
        <f>IF(OR(AND($F45&lt;=AY$3, $F46 &gt;= AY$3), AND($F46&lt;AY$3, WORKDAY($F46, 22,Holiday!$A$1:$A$30)&gt;AY$3)), 1, 0)+IF(AND((AY$3-$B$2)&gt;=0,(AY$3-$B$2)&lt;30), 2,0)</f>
        <v>0</v>
      </c>
      <c r="AZ46" s="113">
        <f>IF(OR(AND($F45&lt;=AZ$3, $F46 &gt;= AZ$3), AND($F46&lt;AZ$3, WORKDAY($F46, 22,Holiday!$A$1:$A$30)&gt;AZ$3)), 1, 0)+IF(AND((AZ$3-$B$2)&gt;=0,(AZ$3-$B$2)&lt;30), 2,0)</f>
        <v>2</v>
      </c>
      <c r="BA46" s="113">
        <f>IF(OR(AND($F45&lt;=BA$3, $F46 &gt;= BA$3), AND($F46&lt;BA$3, WORKDAY($F46, 22,Holiday!$A$1:$A$30)&gt;BA$3)), 1, 0)+IF(AND((BA$3-$B$2)&gt;=0,(BA$3-$B$2)&lt;30), 2,0)</f>
        <v>0</v>
      </c>
      <c r="BB46" s="113">
        <f>IF(OR(AND($F45&lt;=BB$3, $F46 &gt;= BB$3), AND($F46&lt;BB$3, WORKDAY($F46, 22,Holiday!$A$1:$A$30)&gt;BB$3)), 1, 0)+IF(AND((BB$3-$B$2)&gt;=0,(BB$3-$B$2)&lt;30), 2,0)</f>
        <v>0</v>
      </c>
    </row>
    <row r="47" spans="2:54" ht="15" x14ac:dyDescent="0.2">
      <c r="B47" t="s">
        <v>198</v>
      </c>
      <c r="C47" s="112" t="s">
        <v>78</v>
      </c>
      <c r="D47" s="111">
        <v>6</v>
      </c>
      <c r="E47" s="86">
        <f t="shared" si="0"/>
        <v>9</v>
      </c>
      <c r="F47" s="122">
        <f>WORKDAY(F46,E47,Holiday!A43:A72)</f>
        <v>46680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0</v>
      </c>
      <c r="M47" s="113">
        <f>IF(OR(AND($F46&lt;=M$3, $F47 &gt;= M$3), AND($F47&lt;M$3, WORKDAY($F47, 22,Holiday!$A$1:$A$30)&gt;M$3)), 1, 0)+IF(AND((M$3-$B$2)&gt;=0,(M$3-$B$2)&lt;30), 2,0)</f>
        <v>0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0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1</v>
      </c>
      <c r="AB47" s="113">
        <f>IF(OR(AND($F46&lt;=AB$3, $F47 &gt;= AB$3), AND($F47&lt;AB$3, WORKDAY($F47, 22,Holiday!$A$1:$A$30)&gt;AB$3)), 1, 0)+IF(AND((AB$3-$B$2)&gt;=0,(AB$3-$B$2)&lt;30), 2,0)</f>
        <v>1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  <c r="AP47" s="113">
        <f>IF(OR(AND($F46&lt;=AP$3, $F47 &gt;= AP$3), AND($F47&lt;AP$3, WORKDAY($F47, 22,Holiday!$A$1:$A$30)&gt;AP$3)), 1, 0)+IF(AND((AP$3-$B$2)&gt;=0,(AP$3-$B$2)&lt;30), 2,0)</f>
        <v>0</v>
      </c>
      <c r="AQ47" s="113">
        <f>IF(OR(AND($F46&lt;=AQ$3, $F47 &gt;= AQ$3), AND($F47&lt;AQ$3, WORKDAY($F47, 22,Holiday!$A$1:$A$30)&gt;AQ$3)), 1, 0)+IF(AND((AQ$3-$B$2)&gt;=0,(AQ$3-$B$2)&lt;30), 2,0)</f>
        <v>0</v>
      </c>
      <c r="AR47" s="113">
        <f>IF(OR(AND($F46&lt;=AR$3, $F47 &gt;= AR$3), AND($F47&lt;AR$3, WORKDAY($F47, 22,Holiday!$A$1:$A$30)&gt;AR$3)), 1, 0)+IF(AND((AR$3-$B$2)&gt;=0,(AR$3-$B$2)&lt;30), 2,0)</f>
        <v>0</v>
      </c>
      <c r="AS47" s="113">
        <f>IF(OR(AND($F46&lt;=AS$3, $F47 &gt;= AS$3), AND($F47&lt;AS$3, WORKDAY($F47, 22,Holiday!$A$1:$A$30)&gt;AS$3)), 1, 0)+IF(AND((AS$3-$B$2)&gt;=0,(AS$3-$B$2)&lt;30), 2,0)</f>
        <v>0</v>
      </c>
      <c r="AT47" s="113">
        <f>IF(OR(AND($F46&lt;=AT$3, $F47 &gt;= AT$3), AND($F47&lt;AT$3, WORKDAY($F47, 22,Holiday!$A$1:$A$30)&gt;AT$3)), 1, 0)+IF(AND((AT$3-$B$2)&gt;=0,(AT$3-$B$2)&lt;30), 2,0)</f>
        <v>0</v>
      </c>
      <c r="AU47" s="113">
        <f>IF(OR(AND($F46&lt;=AU$3, $F47 &gt;= AU$3), AND($F47&lt;AU$3, WORKDAY($F47, 22,Holiday!$A$1:$A$30)&gt;AU$3)), 1, 0)+IF(AND((AU$3-$B$2)&gt;=0,(AU$3-$B$2)&lt;30), 2,0)</f>
        <v>0</v>
      </c>
      <c r="AV47" s="113">
        <f>IF(OR(AND($F46&lt;=AV$3, $F47 &gt;= AV$3), AND($F47&lt;AV$3, WORKDAY($F47, 22,Holiday!$A$1:$A$30)&gt;AV$3)), 1, 0)+IF(AND((AV$3-$B$2)&gt;=0,(AV$3-$B$2)&lt;30), 2,0)</f>
        <v>0</v>
      </c>
      <c r="AW47" s="113">
        <f>IF(OR(AND($F46&lt;=AW$3, $F47 &gt;= AW$3), AND($F47&lt;AW$3, WORKDAY($F47, 22,Holiday!$A$1:$A$30)&gt;AW$3)), 1, 0)+IF(AND((AW$3-$B$2)&gt;=0,(AW$3-$B$2)&lt;30), 2,0)</f>
        <v>0</v>
      </c>
      <c r="AX47" s="113">
        <f>IF(OR(AND($F46&lt;=AX$3, $F47 &gt;= AX$3), AND($F47&lt;AX$3, WORKDAY($F47, 22,Holiday!$A$1:$A$30)&gt;AX$3)), 1, 0)+IF(AND((AX$3-$B$2)&gt;=0,(AX$3-$B$2)&lt;30), 2,0)</f>
        <v>0</v>
      </c>
      <c r="AY47" s="113">
        <f>IF(OR(AND($F46&lt;=AY$3, $F47 &gt;= AY$3), AND($F47&lt;AY$3, WORKDAY($F47, 22,Holiday!$A$1:$A$30)&gt;AY$3)), 1, 0)+IF(AND((AY$3-$B$2)&gt;=0,(AY$3-$B$2)&lt;30), 2,0)</f>
        <v>0</v>
      </c>
      <c r="AZ47" s="113">
        <f>IF(OR(AND($F46&lt;=AZ$3, $F47 &gt;= AZ$3), AND($F47&lt;AZ$3, WORKDAY($F47, 22,Holiday!$A$1:$A$30)&gt;AZ$3)), 1, 0)+IF(AND((AZ$3-$B$2)&gt;=0,(AZ$3-$B$2)&lt;30), 2,0)</f>
        <v>2</v>
      </c>
      <c r="BA47" s="113">
        <f>IF(OR(AND($F46&lt;=BA$3, $F47 &gt;= BA$3), AND($F47&lt;BA$3, WORKDAY($F47, 22,Holiday!$A$1:$A$30)&gt;BA$3)), 1, 0)+IF(AND((BA$3-$B$2)&gt;=0,(BA$3-$B$2)&lt;30), 2,0)</f>
        <v>0</v>
      </c>
      <c r="BB47" s="113">
        <f>IF(OR(AND($F46&lt;=BB$3, $F47 &gt;= BB$3), AND($F47&lt;BB$3, WORKDAY($F47, 22,Holiday!$A$1:$A$30)&gt;BB$3)), 1, 0)+IF(AND((BB$3-$B$2)&gt;=0,(BB$3-$B$2)&lt;30), 2,0)</f>
        <v>0</v>
      </c>
    </row>
    <row r="48" spans="2:54" ht="15" x14ac:dyDescent="0.2">
      <c r="B48" t="s">
        <v>200</v>
      </c>
      <c r="C48" s="112" t="s">
        <v>78</v>
      </c>
      <c r="D48" s="111">
        <v>6</v>
      </c>
      <c r="E48" s="86">
        <f t="shared" si="0"/>
        <v>9</v>
      </c>
      <c r="F48" s="122">
        <f>WORKDAY(F47,E48,Holiday!A44:A73)</f>
        <v>46693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0</v>
      </c>
      <c r="N48" s="113">
        <f>IF(OR(AND($F47&lt;=N$3, $F48 &gt;= N$3), AND($F48&lt;N$3, WORKDAY($F48, 22,Holiday!$A$1:$A$30)&gt;N$3)), 1, 0)+IF(AND((N$3-$B$2)&gt;=0,(N$3-$B$2)&lt;30), 2,0)</f>
        <v>0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0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1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  <c r="AP48" s="113">
        <f>IF(OR(AND($F47&lt;=AP$3, $F48 &gt;= AP$3), AND($F48&lt;AP$3, WORKDAY($F48, 22,Holiday!$A$1:$A$30)&gt;AP$3)), 1, 0)+IF(AND((AP$3-$B$2)&gt;=0,(AP$3-$B$2)&lt;30), 2,0)</f>
        <v>0</v>
      </c>
      <c r="AQ48" s="113">
        <f>IF(OR(AND($F47&lt;=AQ$3, $F48 &gt;= AQ$3), AND($F48&lt;AQ$3, WORKDAY($F48, 22,Holiday!$A$1:$A$30)&gt;AQ$3)), 1, 0)+IF(AND((AQ$3-$B$2)&gt;=0,(AQ$3-$B$2)&lt;30), 2,0)</f>
        <v>0</v>
      </c>
      <c r="AR48" s="113">
        <f>IF(OR(AND($F47&lt;=AR$3, $F48 &gt;= AR$3), AND($F48&lt;AR$3, WORKDAY($F48, 22,Holiday!$A$1:$A$30)&gt;AR$3)), 1, 0)+IF(AND((AR$3-$B$2)&gt;=0,(AR$3-$B$2)&lt;30), 2,0)</f>
        <v>0</v>
      </c>
      <c r="AS48" s="113">
        <f>IF(OR(AND($F47&lt;=AS$3, $F48 &gt;= AS$3), AND($F48&lt;AS$3, WORKDAY($F48, 22,Holiday!$A$1:$A$30)&gt;AS$3)), 1, 0)+IF(AND((AS$3-$B$2)&gt;=0,(AS$3-$B$2)&lt;30), 2,0)</f>
        <v>0</v>
      </c>
      <c r="AT48" s="113">
        <f>IF(OR(AND($F47&lt;=AT$3, $F48 &gt;= AT$3), AND($F48&lt;AT$3, WORKDAY($F48, 22,Holiday!$A$1:$A$30)&gt;AT$3)), 1, 0)+IF(AND((AT$3-$B$2)&gt;=0,(AT$3-$B$2)&lt;30), 2,0)</f>
        <v>0</v>
      </c>
      <c r="AU48" s="113">
        <f>IF(OR(AND($F47&lt;=AU$3, $F48 &gt;= AU$3), AND($F48&lt;AU$3, WORKDAY($F48, 22,Holiday!$A$1:$A$30)&gt;AU$3)), 1, 0)+IF(AND((AU$3-$B$2)&gt;=0,(AU$3-$B$2)&lt;30), 2,0)</f>
        <v>0</v>
      </c>
      <c r="AV48" s="113">
        <f>IF(OR(AND($F47&lt;=AV$3, $F48 &gt;= AV$3), AND($F48&lt;AV$3, WORKDAY($F48, 22,Holiday!$A$1:$A$30)&gt;AV$3)), 1, 0)+IF(AND((AV$3-$B$2)&gt;=0,(AV$3-$B$2)&lt;30), 2,0)</f>
        <v>0</v>
      </c>
      <c r="AW48" s="113">
        <f>IF(OR(AND($F47&lt;=AW$3, $F48 &gt;= AW$3), AND($F48&lt;AW$3, WORKDAY($F48, 22,Holiday!$A$1:$A$30)&gt;AW$3)), 1, 0)+IF(AND((AW$3-$B$2)&gt;=0,(AW$3-$B$2)&lt;30), 2,0)</f>
        <v>0</v>
      </c>
      <c r="AX48" s="113">
        <f>IF(OR(AND($F47&lt;=AX$3, $F48 &gt;= AX$3), AND($F48&lt;AX$3, WORKDAY($F48, 22,Holiday!$A$1:$A$30)&gt;AX$3)), 1, 0)+IF(AND((AX$3-$B$2)&gt;=0,(AX$3-$B$2)&lt;30), 2,0)</f>
        <v>0</v>
      </c>
      <c r="AY48" s="113">
        <f>IF(OR(AND($F47&lt;=AY$3, $F48 &gt;= AY$3), AND($F48&lt;AY$3, WORKDAY($F48, 22,Holiday!$A$1:$A$30)&gt;AY$3)), 1, 0)+IF(AND((AY$3-$B$2)&gt;=0,(AY$3-$B$2)&lt;30), 2,0)</f>
        <v>0</v>
      </c>
      <c r="AZ48" s="113">
        <f>IF(OR(AND($F47&lt;=AZ$3, $F48 &gt;= AZ$3), AND($F48&lt;AZ$3, WORKDAY($F48, 22,Holiday!$A$1:$A$30)&gt;AZ$3)), 1, 0)+IF(AND((AZ$3-$B$2)&gt;=0,(AZ$3-$B$2)&lt;30), 2,0)</f>
        <v>2</v>
      </c>
      <c r="BA48" s="113">
        <f>IF(OR(AND($F47&lt;=BA$3, $F48 &gt;= BA$3), AND($F48&lt;BA$3, WORKDAY($F48, 22,Holiday!$A$1:$A$30)&gt;BA$3)), 1, 0)+IF(AND((BA$3-$B$2)&gt;=0,(BA$3-$B$2)&lt;30), 2,0)</f>
        <v>0</v>
      </c>
      <c r="BB48" s="113">
        <f>IF(OR(AND($F47&lt;=BB$3, $F48 &gt;= BB$3), AND($F48&lt;BB$3, WORKDAY($F48, 22,Holiday!$A$1:$A$30)&gt;BB$3)), 1, 0)+IF(AND((BB$3-$B$2)&gt;=0,(BB$3-$B$2)&lt;30), 2,0)</f>
        <v>0</v>
      </c>
    </row>
    <row r="49" spans="2:54" ht="15" x14ac:dyDescent="0.2">
      <c r="B49" t="s">
        <v>173</v>
      </c>
      <c r="C49" s="112" t="s">
        <v>78</v>
      </c>
      <c r="D49" s="111">
        <v>6</v>
      </c>
      <c r="E49" s="86">
        <f t="shared" si="0"/>
        <v>9</v>
      </c>
      <c r="F49" s="122">
        <f>WORKDAY(F48,E49,Holiday!A45:A74)</f>
        <v>46706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0</v>
      </c>
      <c r="O49" s="113">
        <f>IF(OR(AND($F48&lt;=O$3, $F49 &gt;= O$3), AND($F49&lt;O$3, WORKDAY($F49, 22,Holiday!$A$1:$A$30)&gt;O$3)), 1, 0)+IF(AND((O$3-$B$2)&gt;=0,(O$3-$B$2)&lt;30), 2,0)</f>
        <v>0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0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1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  <c r="AP49" s="113">
        <f>IF(OR(AND($F48&lt;=AP$3, $F49 &gt;= AP$3), AND($F49&lt;AP$3, WORKDAY($F49, 22,Holiday!$A$1:$A$30)&gt;AP$3)), 1, 0)+IF(AND((AP$3-$B$2)&gt;=0,(AP$3-$B$2)&lt;30), 2,0)</f>
        <v>0</v>
      </c>
      <c r="AQ49" s="113">
        <f>IF(OR(AND($F48&lt;=AQ$3, $F49 &gt;= AQ$3), AND($F49&lt;AQ$3, WORKDAY($F49, 22,Holiday!$A$1:$A$30)&gt;AQ$3)), 1, 0)+IF(AND((AQ$3-$B$2)&gt;=0,(AQ$3-$B$2)&lt;30), 2,0)</f>
        <v>0</v>
      </c>
      <c r="AR49" s="113">
        <f>IF(OR(AND($F48&lt;=AR$3, $F49 &gt;= AR$3), AND($F49&lt;AR$3, WORKDAY($F49, 22,Holiday!$A$1:$A$30)&gt;AR$3)), 1, 0)+IF(AND((AR$3-$B$2)&gt;=0,(AR$3-$B$2)&lt;30), 2,0)</f>
        <v>0</v>
      </c>
      <c r="AS49" s="113">
        <f>IF(OR(AND($F48&lt;=AS$3, $F49 &gt;= AS$3), AND($F49&lt;AS$3, WORKDAY($F49, 22,Holiday!$A$1:$A$30)&gt;AS$3)), 1, 0)+IF(AND((AS$3-$B$2)&gt;=0,(AS$3-$B$2)&lt;30), 2,0)</f>
        <v>0</v>
      </c>
      <c r="AT49" s="113">
        <f>IF(OR(AND($F48&lt;=AT$3, $F49 &gt;= AT$3), AND($F49&lt;AT$3, WORKDAY($F49, 22,Holiday!$A$1:$A$30)&gt;AT$3)), 1, 0)+IF(AND((AT$3-$B$2)&gt;=0,(AT$3-$B$2)&lt;30), 2,0)</f>
        <v>0</v>
      </c>
      <c r="AU49" s="113">
        <f>IF(OR(AND($F48&lt;=AU$3, $F49 &gt;= AU$3), AND($F49&lt;AU$3, WORKDAY($F49, 22,Holiday!$A$1:$A$30)&gt;AU$3)), 1, 0)+IF(AND((AU$3-$B$2)&gt;=0,(AU$3-$B$2)&lt;30), 2,0)</f>
        <v>0</v>
      </c>
      <c r="AV49" s="113">
        <f>IF(OR(AND($F48&lt;=AV$3, $F49 &gt;= AV$3), AND($F49&lt;AV$3, WORKDAY($F49, 22,Holiday!$A$1:$A$30)&gt;AV$3)), 1, 0)+IF(AND((AV$3-$B$2)&gt;=0,(AV$3-$B$2)&lt;30), 2,0)</f>
        <v>0</v>
      </c>
      <c r="AW49" s="113">
        <f>IF(OR(AND($F48&lt;=AW$3, $F49 &gt;= AW$3), AND($F49&lt;AW$3, WORKDAY($F49, 22,Holiday!$A$1:$A$30)&gt;AW$3)), 1, 0)+IF(AND((AW$3-$B$2)&gt;=0,(AW$3-$B$2)&lt;30), 2,0)</f>
        <v>0</v>
      </c>
      <c r="AX49" s="113">
        <f>IF(OR(AND($F48&lt;=AX$3, $F49 &gt;= AX$3), AND($F49&lt;AX$3, WORKDAY($F49, 22,Holiday!$A$1:$A$30)&gt;AX$3)), 1, 0)+IF(AND((AX$3-$B$2)&gt;=0,(AX$3-$B$2)&lt;30), 2,0)</f>
        <v>0</v>
      </c>
      <c r="AY49" s="113">
        <f>IF(OR(AND($F48&lt;=AY$3, $F49 &gt;= AY$3), AND($F49&lt;AY$3, WORKDAY($F49, 22,Holiday!$A$1:$A$30)&gt;AY$3)), 1, 0)+IF(AND((AY$3-$B$2)&gt;=0,(AY$3-$B$2)&lt;30), 2,0)</f>
        <v>0</v>
      </c>
      <c r="AZ49" s="113">
        <f>IF(OR(AND($F48&lt;=AZ$3, $F49 &gt;= AZ$3), AND($F49&lt;AZ$3, WORKDAY($F49, 22,Holiday!$A$1:$A$30)&gt;AZ$3)), 1, 0)+IF(AND((AZ$3-$B$2)&gt;=0,(AZ$3-$B$2)&lt;30), 2,0)</f>
        <v>2</v>
      </c>
      <c r="BA49" s="113">
        <f>IF(OR(AND($F48&lt;=BA$3, $F49 &gt;= BA$3), AND($F49&lt;BA$3, WORKDAY($F49, 22,Holiday!$A$1:$A$30)&gt;BA$3)), 1, 0)+IF(AND((BA$3-$B$2)&gt;=0,(BA$3-$B$2)&lt;30), 2,0)</f>
        <v>0</v>
      </c>
      <c r="BB49" s="113">
        <f>IF(OR(AND($F48&lt;=BB$3, $F49 &gt;= BB$3), AND($F49&lt;BB$3, WORKDAY($F49, 22,Holiday!$A$1:$A$30)&gt;BB$3)), 1, 0)+IF(AND((BB$3-$B$2)&gt;=0,(BB$3-$B$2)&lt;30), 2,0)</f>
        <v>0</v>
      </c>
    </row>
    <row r="50" spans="2:54" ht="15" x14ac:dyDescent="0.2">
      <c r="B50" t="s">
        <v>165</v>
      </c>
      <c r="C50" s="112" t="s">
        <v>78</v>
      </c>
      <c r="D50" s="111">
        <v>6</v>
      </c>
      <c r="E50" s="86">
        <f t="shared" si="0"/>
        <v>9</v>
      </c>
      <c r="F50" s="122">
        <f>WORKDAY(F49,E50,Holiday!A46:A75)</f>
        <v>46717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0</v>
      </c>
      <c r="O50" s="113">
        <f>IF(OR(AND($F49&lt;=O$3, $F50 &gt;= O$3), AND($F50&lt;O$3, WORKDAY($F50, 22,Holiday!$A$1:$A$30)&gt;O$3)), 1, 0)+IF(AND((O$3-$B$2)&gt;=0,(O$3-$B$2)&lt;30), 2,0)</f>
        <v>0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0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1</v>
      </c>
      <c r="AC50" s="113">
        <f>IF(OR(AND($F49&lt;=AC$3, $F50 &gt;= AC$3), AND($F50&lt;AC$3, WORKDAY($F50, 22,Holiday!$A$1:$A$30)&gt;AC$3)), 1, 0)+IF(AND((AC$3-$B$2)&gt;=0,(AC$3-$B$2)&lt;30), 2,0)</f>
        <v>1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  <c r="AP50" s="113">
        <f>IF(OR(AND($F49&lt;=AP$3, $F50 &gt;= AP$3), AND($F50&lt;AP$3, WORKDAY($F50, 22,Holiday!$A$1:$A$30)&gt;AP$3)), 1, 0)+IF(AND((AP$3-$B$2)&gt;=0,(AP$3-$B$2)&lt;30), 2,0)</f>
        <v>0</v>
      </c>
      <c r="AQ50" s="113">
        <f>IF(OR(AND($F49&lt;=AQ$3, $F50 &gt;= AQ$3), AND($F50&lt;AQ$3, WORKDAY($F50, 22,Holiday!$A$1:$A$30)&gt;AQ$3)), 1, 0)+IF(AND((AQ$3-$B$2)&gt;=0,(AQ$3-$B$2)&lt;30), 2,0)</f>
        <v>0</v>
      </c>
      <c r="AR50" s="113">
        <f>IF(OR(AND($F49&lt;=AR$3, $F50 &gt;= AR$3), AND($F50&lt;AR$3, WORKDAY($F50, 22,Holiday!$A$1:$A$30)&gt;AR$3)), 1, 0)+IF(AND((AR$3-$B$2)&gt;=0,(AR$3-$B$2)&lt;30), 2,0)</f>
        <v>0</v>
      </c>
      <c r="AS50" s="113">
        <f>IF(OR(AND($F49&lt;=AS$3, $F50 &gt;= AS$3), AND($F50&lt;AS$3, WORKDAY($F50, 22,Holiday!$A$1:$A$30)&gt;AS$3)), 1, 0)+IF(AND((AS$3-$B$2)&gt;=0,(AS$3-$B$2)&lt;30), 2,0)</f>
        <v>0</v>
      </c>
      <c r="AT50" s="113">
        <f>IF(OR(AND($F49&lt;=AT$3, $F50 &gt;= AT$3), AND($F50&lt;AT$3, WORKDAY($F50, 22,Holiday!$A$1:$A$30)&gt;AT$3)), 1, 0)+IF(AND((AT$3-$B$2)&gt;=0,(AT$3-$B$2)&lt;30), 2,0)</f>
        <v>0</v>
      </c>
      <c r="AU50" s="113">
        <f>IF(OR(AND($F49&lt;=AU$3, $F50 &gt;= AU$3), AND($F50&lt;AU$3, WORKDAY($F50, 22,Holiday!$A$1:$A$30)&gt;AU$3)), 1, 0)+IF(AND((AU$3-$B$2)&gt;=0,(AU$3-$B$2)&lt;30), 2,0)</f>
        <v>0</v>
      </c>
      <c r="AV50" s="113">
        <f>IF(OR(AND($F49&lt;=AV$3, $F50 &gt;= AV$3), AND($F50&lt;AV$3, WORKDAY($F50, 22,Holiday!$A$1:$A$30)&gt;AV$3)), 1, 0)+IF(AND((AV$3-$B$2)&gt;=0,(AV$3-$B$2)&lt;30), 2,0)</f>
        <v>0</v>
      </c>
      <c r="AW50" s="113">
        <f>IF(OR(AND($F49&lt;=AW$3, $F50 &gt;= AW$3), AND($F50&lt;AW$3, WORKDAY($F50, 22,Holiday!$A$1:$A$30)&gt;AW$3)), 1, 0)+IF(AND((AW$3-$B$2)&gt;=0,(AW$3-$B$2)&lt;30), 2,0)</f>
        <v>0</v>
      </c>
      <c r="AX50" s="113">
        <f>IF(OR(AND($F49&lt;=AX$3, $F50 &gt;= AX$3), AND($F50&lt;AX$3, WORKDAY($F50, 22,Holiday!$A$1:$A$30)&gt;AX$3)), 1, 0)+IF(AND((AX$3-$B$2)&gt;=0,(AX$3-$B$2)&lt;30), 2,0)</f>
        <v>0</v>
      </c>
      <c r="AY50" s="113">
        <f>IF(OR(AND($F49&lt;=AY$3, $F50 &gt;= AY$3), AND($F50&lt;AY$3, WORKDAY($F50, 22,Holiday!$A$1:$A$30)&gt;AY$3)), 1, 0)+IF(AND((AY$3-$B$2)&gt;=0,(AY$3-$B$2)&lt;30), 2,0)</f>
        <v>0</v>
      </c>
      <c r="AZ50" s="113">
        <f>IF(OR(AND($F49&lt;=AZ$3, $F50 &gt;= AZ$3), AND($F50&lt;AZ$3, WORKDAY($F50, 22,Holiday!$A$1:$A$30)&gt;AZ$3)), 1, 0)+IF(AND((AZ$3-$B$2)&gt;=0,(AZ$3-$B$2)&lt;30), 2,0)</f>
        <v>2</v>
      </c>
      <c r="BA50" s="113">
        <f>IF(OR(AND($F49&lt;=BA$3, $F50 &gt;= BA$3), AND($F50&lt;BA$3, WORKDAY($F50, 22,Holiday!$A$1:$A$30)&gt;BA$3)), 1, 0)+IF(AND((BA$3-$B$2)&gt;=0,(BA$3-$B$2)&lt;30), 2,0)</f>
        <v>0</v>
      </c>
      <c r="BB50" s="113">
        <f>IF(OR(AND($F49&lt;=BB$3, $F50 &gt;= BB$3), AND($F50&lt;BB$3, WORKDAY($F50, 22,Holiday!$A$1:$A$30)&gt;BB$3)), 1, 0)+IF(AND((BB$3-$B$2)&gt;=0,(BB$3-$B$2)&lt;30), 2,0)</f>
        <v>0</v>
      </c>
    </row>
    <row r="51" spans="2:54" ht="15" x14ac:dyDescent="0.2">
      <c r="B51" t="s">
        <v>174</v>
      </c>
      <c r="C51" s="112" t="s">
        <v>78</v>
      </c>
      <c r="D51" s="111">
        <v>6</v>
      </c>
      <c r="E51" s="86">
        <f t="shared" si="0"/>
        <v>9</v>
      </c>
      <c r="F51" s="122">
        <f>WORKDAY(F50,E51,Holiday!A47:A76)</f>
        <v>46730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0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0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1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  <c r="AP51" s="113">
        <f>IF(OR(AND($F50&lt;=AP$3, $F51 &gt;= AP$3), AND($F51&lt;AP$3, WORKDAY($F51, 22,Holiday!$A$1:$A$30)&gt;AP$3)), 1, 0)+IF(AND((AP$3-$B$2)&gt;=0,(AP$3-$B$2)&lt;30), 2,0)</f>
        <v>0</v>
      </c>
      <c r="AQ51" s="113">
        <f>IF(OR(AND($F50&lt;=AQ$3, $F51 &gt;= AQ$3), AND($F51&lt;AQ$3, WORKDAY($F51, 22,Holiday!$A$1:$A$30)&gt;AQ$3)), 1, 0)+IF(AND((AQ$3-$B$2)&gt;=0,(AQ$3-$B$2)&lt;30), 2,0)</f>
        <v>0</v>
      </c>
      <c r="AR51" s="113">
        <f>IF(OR(AND($F50&lt;=AR$3, $F51 &gt;= AR$3), AND($F51&lt;AR$3, WORKDAY($F51, 22,Holiday!$A$1:$A$30)&gt;AR$3)), 1, 0)+IF(AND((AR$3-$B$2)&gt;=0,(AR$3-$B$2)&lt;30), 2,0)</f>
        <v>0</v>
      </c>
      <c r="AS51" s="113">
        <f>IF(OR(AND($F50&lt;=AS$3, $F51 &gt;= AS$3), AND($F51&lt;AS$3, WORKDAY($F51, 22,Holiday!$A$1:$A$30)&gt;AS$3)), 1, 0)+IF(AND((AS$3-$B$2)&gt;=0,(AS$3-$B$2)&lt;30), 2,0)</f>
        <v>0</v>
      </c>
      <c r="AT51" s="113">
        <f>IF(OR(AND($F50&lt;=AT$3, $F51 &gt;= AT$3), AND($F51&lt;AT$3, WORKDAY($F51, 22,Holiday!$A$1:$A$30)&gt;AT$3)), 1, 0)+IF(AND((AT$3-$B$2)&gt;=0,(AT$3-$B$2)&lt;30), 2,0)</f>
        <v>0</v>
      </c>
      <c r="AU51" s="113">
        <f>IF(OR(AND($F50&lt;=AU$3, $F51 &gt;= AU$3), AND($F51&lt;AU$3, WORKDAY($F51, 22,Holiday!$A$1:$A$30)&gt;AU$3)), 1, 0)+IF(AND((AU$3-$B$2)&gt;=0,(AU$3-$B$2)&lt;30), 2,0)</f>
        <v>0</v>
      </c>
      <c r="AV51" s="113">
        <f>IF(OR(AND($F50&lt;=AV$3, $F51 &gt;= AV$3), AND($F51&lt;AV$3, WORKDAY($F51, 22,Holiday!$A$1:$A$30)&gt;AV$3)), 1, 0)+IF(AND((AV$3-$B$2)&gt;=0,(AV$3-$B$2)&lt;30), 2,0)</f>
        <v>0</v>
      </c>
      <c r="AW51" s="113">
        <f>IF(OR(AND($F50&lt;=AW$3, $F51 &gt;= AW$3), AND($F51&lt;AW$3, WORKDAY($F51, 22,Holiday!$A$1:$A$30)&gt;AW$3)), 1, 0)+IF(AND((AW$3-$B$2)&gt;=0,(AW$3-$B$2)&lt;30), 2,0)</f>
        <v>0</v>
      </c>
      <c r="AX51" s="113">
        <f>IF(OR(AND($F50&lt;=AX$3, $F51 &gt;= AX$3), AND($F51&lt;AX$3, WORKDAY($F51, 22,Holiday!$A$1:$A$30)&gt;AX$3)), 1, 0)+IF(AND((AX$3-$B$2)&gt;=0,(AX$3-$B$2)&lt;30), 2,0)</f>
        <v>0</v>
      </c>
      <c r="AY51" s="113">
        <f>IF(OR(AND($F50&lt;=AY$3, $F51 &gt;= AY$3), AND($F51&lt;AY$3, WORKDAY($F51, 22,Holiday!$A$1:$A$30)&gt;AY$3)), 1, 0)+IF(AND((AY$3-$B$2)&gt;=0,(AY$3-$B$2)&lt;30), 2,0)</f>
        <v>0</v>
      </c>
      <c r="AZ51" s="113">
        <f>IF(OR(AND($F50&lt;=AZ$3, $F51 &gt;= AZ$3), AND($F51&lt;AZ$3, WORKDAY($F51, 22,Holiday!$A$1:$A$30)&gt;AZ$3)), 1, 0)+IF(AND((AZ$3-$B$2)&gt;=0,(AZ$3-$B$2)&lt;30), 2,0)</f>
        <v>2</v>
      </c>
      <c r="BA51" s="113">
        <f>IF(OR(AND($F50&lt;=BA$3, $F51 &gt;= BA$3), AND($F51&lt;BA$3, WORKDAY($F51, 22,Holiday!$A$1:$A$30)&gt;BA$3)), 1, 0)+IF(AND((BA$3-$B$2)&gt;=0,(BA$3-$B$2)&lt;30), 2,0)</f>
        <v>0</v>
      </c>
      <c r="BB51" s="113">
        <f>IF(OR(AND($F50&lt;=BB$3, $F51 &gt;= BB$3), AND($F51&lt;BB$3, WORKDAY($F51, 22,Holiday!$A$1:$A$30)&gt;BB$3)), 1, 0)+IF(AND((BB$3-$B$2)&gt;=0,(BB$3-$B$2)&lt;30), 2,0)</f>
        <v>0</v>
      </c>
    </row>
    <row r="52" spans="2:54" ht="15" x14ac:dyDescent="0.2">
      <c r="B52" t="s">
        <v>182</v>
      </c>
      <c r="C52" s="112" t="s">
        <v>78</v>
      </c>
      <c r="D52" s="111">
        <v>6</v>
      </c>
      <c r="E52" s="86">
        <f t="shared" si="0"/>
        <v>9</v>
      </c>
      <c r="F52" s="122">
        <f>WORKDAY(F51,E52,Holiday!A48:A77)</f>
        <v>46743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0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0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1</v>
      </c>
      <c r="AD52" s="113">
        <f>IF(OR(AND($F51&lt;=AD$3, $F52 &gt;= AD$3), AND($F52&lt;AD$3, WORKDAY($F52, 22,Holiday!$A$1:$A$30)&gt;AD$3)), 1, 0)+IF(AND((AD$3-$B$2)&gt;=0,(AD$3-$B$2)&lt;30), 2,0)</f>
        <v>1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  <c r="AP52" s="113">
        <f>IF(OR(AND($F51&lt;=AP$3, $F52 &gt;= AP$3), AND($F52&lt;AP$3, WORKDAY($F52, 22,Holiday!$A$1:$A$30)&gt;AP$3)), 1, 0)+IF(AND((AP$3-$B$2)&gt;=0,(AP$3-$B$2)&lt;30), 2,0)</f>
        <v>0</v>
      </c>
      <c r="AQ52" s="113">
        <f>IF(OR(AND($F51&lt;=AQ$3, $F52 &gt;= AQ$3), AND($F52&lt;AQ$3, WORKDAY($F52, 22,Holiday!$A$1:$A$30)&gt;AQ$3)), 1, 0)+IF(AND((AQ$3-$B$2)&gt;=0,(AQ$3-$B$2)&lt;30), 2,0)</f>
        <v>0</v>
      </c>
      <c r="AR52" s="113">
        <f>IF(OR(AND($F51&lt;=AR$3, $F52 &gt;= AR$3), AND($F52&lt;AR$3, WORKDAY($F52, 22,Holiday!$A$1:$A$30)&gt;AR$3)), 1, 0)+IF(AND((AR$3-$B$2)&gt;=0,(AR$3-$B$2)&lt;30), 2,0)</f>
        <v>0</v>
      </c>
      <c r="AS52" s="113">
        <f>IF(OR(AND($F51&lt;=AS$3, $F52 &gt;= AS$3), AND($F52&lt;AS$3, WORKDAY($F52, 22,Holiday!$A$1:$A$30)&gt;AS$3)), 1, 0)+IF(AND((AS$3-$B$2)&gt;=0,(AS$3-$B$2)&lt;30), 2,0)</f>
        <v>0</v>
      </c>
      <c r="AT52" s="113">
        <f>IF(OR(AND($F51&lt;=AT$3, $F52 &gt;= AT$3), AND($F52&lt;AT$3, WORKDAY($F52, 22,Holiday!$A$1:$A$30)&gt;AT$3)), 1, 0)+IF(AND((AT$3-$B$2)&gt;=0,(AT$3-$B$2)&lt;30), 2,0)</f>
        <v>0</v>
      </c>
      <c r="AU52" s="113">
        <f>IF(OR(AND($F51&lt;=AU$3, $F52 &gt;= AU$3), AND($F52&lt;AU$3, WORKDAY($F52, 22,Holiday!$A$1:$A$30)&gt;AU$3)), 1, 0)+IF(AND((AU$3-$B$2)&gt;=0,(AU$3-$B$2)&lt;30), 2,0)</f>
        <v>0</v>
      </c>
      <c r="AV52" s="113">
        <f>IF(OR(AND($F51&lt;=AV$3, $F52 &gt;= AV$3), AND($F52&lt;AV$3, WORKDAY($F52, 22,Holiday!$A$1:$A$30)&gt;AV$3)), 1, 0)+IF(AND((AV$3-$B$2)&gt;=0,(AV$3-$B$2)&lt;30), 2,0)</f>
        <v>0</v>
      </c>
      <c r="AW52" s="113">
        <f>IF(OR(AND($F51&lt;=AW$3, $F52 &gt;= AW$3), AND($F52&lt;AW$3, WORKDAY($F52, 22,Holiday!$A$1:$A$30)&gt;AW$3)), 1, 0)+IF(AND((AW$3-$B$2)&gt;=0,(AW$3-$B$2)&lt;30), 2,0)</f>
        <v>0</v>
      </c>
      <c r="AX52" s="113">
        <f>IF(OR(AND($F51&lt;=AX$3, $F52 &gt;= AX$3), AND($F52&lt;AX$3, WORKDAY($F52, 22,Holiday!$A$1:$A$30)&gt;AX$3)), 1, 0)+IF(AND((AX$3-$B$2)&gt;=0,(AX$3-$B$2)&lt;30), 2,0)</f>
        <v>0</v>
      </c>
      <c r="AY52" s="113">
        <f>IF(OR(AND($F51&lt;=AY$3, $F52 &gt;= AY$3), AND($F52&lt;AY$3, WORKDAY($F52, 22,Holiday!$A$1:$A$30)&gt;AY$3)), 1, 0)+IF(AND((AY$3-$B$2)&gt;=0,(AY$3-$B$2)&lt;30), 2,0)</f>
        <v>0</v>
      </c>
      <c r="AZ52" s="113">
        <f>IF(OR(AND($F51&lt;=AZ$3, $F52 &gt;= AZ$3), AND($F52&lt;AZ$3, WORKDAY($F52, 22,Holiday!$A$1:$A$30)&gt;AZ$3)), 1, 0)+IF(AND((AZ$3-$B$2)&gt;=0,(AZ$3-$B$2)&lt;30), 2,0)</f>
        <v>2</v>
      </c>
      <c r="BA52" s="113">
        <f>IF(OR(AND($F51&lt;=BA$3, $F52 &gt;= BA$3), AND($F52&lt;BA$3, WORKDAY($F52, 22,Holiday!$A$1:$A$30)&gt;BA$3)), 1, 0)+IF(AND((BA$3-$B$2)&gt;=0,(BA$3-$B$2)&lt;30), 2,0)</f>
        <v>0</v>
      </c>
      <c r="BB52" s="113">
        <f>IF(OR(AND($F51&lt;=BB$3, $F52 &gt;= BB$3), AND($F52&lt;BB$3, WORKDAY($F52, 22,Holiday!$A$1:$A$30)&gt;BB$3)), 1, 0)+IF(AND((BB$3-$B$2)&gt;=0,(BB$3-$B$2)&lt;30), 2,0)</f>
        <v>0</v>
      </c>
    </row>
    <row r="53" spans="2:54" ht="15" x14ac:dyDescent="0.2">
      <c r="B53" t="s">
        <v>207</v>
      </c>
      <c r="C53" s="112" t="s">
        <v>78</v>
      </c>
      <c r="D53" s="111">
        <v>6</v>
      </c>
      <c r="E53" s="86">
        <f t="shared" si="0"/>
        <v>9</v>
      </c>
      <c r="F53" s="122">
        <f>WORKDAY(F52,E53,Holiday!A49:A78)</f>
        <v>46756</v>
      </c>
      <c r="G53" s="113">
        <f>IF(OR(AND($F52&lt;=G$3, $F53 &gt;= G$3), AND($F53&lt;G$3, WORKDAY($F53, 22,Holiday!$A$1:$A$30)&gt;G$3)), 1, 0)+IF(AND((G$3-$B$2)&gt;=0,(G$3-$B$2)&lt;30), 2,0)</f>
        <v>0</v>
      </c>
      <c r="H53" s="113">
        <f>IF(OR(AND($F52&lt;=H$3, $F53 &gt;= H$3), AND($F53&lt;H$3, WORKDAY($F53, 22,Holiday!$A$1:$A$30)&gt;H$3)), 1, 0)+IF(AND((H$3-$B$2)&gt;=0,(H$3-$B$2)&lt;30), 2,0)</f>
        <v>0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0</v>
      </c>
      <c r="L53" s="113">
        <f>IF(OR(AND($F52&lt;=L$3, $F53 &gt;= L$3), AND($F53&lt;L$3, WORKDAY($F53, 22,Holiday!$A$1:$A$30)&gt;L$3)), 1, 0)+IF(AND((L$3-$B$2)&gt;=0,(L$3-$B$2)&lt;30), 2,0)</f>
        <v>0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0</v>
      </c>
      <c r="P53" s="113">
        <f>IF(OR(AND($F52&lt;=P$3, $F53 &gt;= P$3), AND($F53&lt;P$3, WORKDAY($F53, 22,Holiday!$A$1:$A$30)&gt;P$3)), 1, 0)+IF(AND((P$3-$B$2)&gt;=0,(P$3-$B$2)&lt;30), 2,0)</f>
        <v>0</v>
      </c>
      <c r="Q53" s="113">
        <f>IF(OR(AND($F52&lt;=Q$3, $F53 &gt;= Q$3), AND($F53&lt;Q$3, WORKDAY($F53, 22,Holiday!$A$1:$A$30)&gt;Q$3)), 1, 0)+IF(AND((Q$3-$B$2)&gt;=0,(Q$3-$B$2)&lt;30), 2,0)</f>
        <v>0</v>
      </c>
      <c r="R53" s="113">
        <f>IF(OR(AND($F52&lt;=R$3, $F53 &gt;= R$3), AND($F53&lt;R$3, WORKDAY($F53, 22,Holiday!$A$1:$A$30)&gt;R$3)), 1, 0)+IF(AND((R$3-$B$2)&gt;=0,(R$3-$B$2)&lt;30), 2,0)</f>
        <v>0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0</v>
      </c>
      <c r="V53" s="113">
        <f>IF(OR(AND($F52&lt;=V$3, $F53 &gt;= V$3), AND($F53&lt;V$3, WORKDAY($F53, 22,Holiday!$A$1:$A$30)&gt;V$3)), 1, 0)+IF(AND((V$3-$B$2)&gt;=0,(V$3-$B$2)&lt;30), 2,0)</f>
        <v>0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1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  <c r="AP53" s="113">
        <f>IF(OR(AND($F52&lt;=AP$3, $F53 &gt;= AP$3), AND($F53&lt;AP$3, WORKDAY($F53, 22,Holiday!$A$1:$A$30)&gt;AP$3)), 1, 0)+IF(AND((AP$3-$B$2)&gt;=0,(AP$3-$B$2)&lt;30), 2,0)</f>
        <v>0</v>
      </c>
      <c r="AQ53" s="113">
        <f>IF(OR(AND($F52&lt;=AQ$3, $F53 &gt;= AQ$3), AND($F53&lt;AQ$3, WORKDAY($F53, 22,Holiday!$A$1:$A$30)&gt;AQ$3)), 1, 0)+IF(AND((AQ$3-$B$2)&gt;=0,(AQ$3-$B$2)&lt;30), 2,0)</f>
        <v>0</v>
      </c>
      <c r="AR53" s="113">
        <f>IF(OR(AND($F52&lt;=AR$3, $F53 &gt;= AR$3), AND($F53&lt;AR$3, WORKDAY($F53, 22,Holiday!$A$1:$A$30)&gt;AR$3)), 1, 0)+IF(AND((AR$3-$B$2)&gt;=0,(AR$3-$B$2)&lt;30), 2,0)</f>
        <v>0</v>
      </c>
      <c r="AS53" s="113">
        <f>IF(OR(AND($F52&lt;=AS$3, $F53 &gt;= AS$3), AND($F53&lt;AS$3, WORKDAY($F53, 22,Holiday!$A$1:$A$30)&gt;AS$3)), 1, 0)+IF(AND((AS$3-$B$2)&gt;=0,(AS$3-$B$2)&lt;30), 2,0)</f>
        <v>0</v>
      </c>
      <c r="AT53" s="113">
        <f>IF(OR(AND($F52&lt;=AT$3, $F53 &gt;= AT$3), AND($F53&lt;AT$3, WORKDAY($F53, 22,Holiday!$A$1:$A$30)&gt;AT$3)), 1, 0)+IF(AND((AT$3-$B$2)&gt;=0,(AT$3-$B$2)&lt;30), 2,0)</f>
        <v>0</v>
      </c>
      <c r="AU53" s="113">
        <f>IF(OR(AND($F52&lt;=AU$3, $F53 &gt;= AU$3), AND($F53&lt;AU$3, WORKDAY($F53, 22,Holiday!$A$1:$A$30)&gt;AU$3)), 1, 0)+IF(AND((AU$3-$B$2)&gt;=0,(AU$3-$B$2)&lt;30), 2,0)</f>
        <v>0</v>
      </c>
      <c r="AV53" s="113">
        <f>IF(OR(AND($F52&lt;=AV$3, $F53 &gt;= AV$3), AND($F53&lt;AV$3, WORKDAY($F53, 22,Holiday!$A$1:$A$30)&gt;AV$3)), 1, 0)+IF(AND((AV$3-$B$2)&gt;=0,(AV$3-$B$2)&lt;30), 2,0)</f>
        <v>0</v>
      </c>
      <c r="AW53" s="113">
        <f>IF(OR(AND($F52&lt;=AW$3, $F53 &gt;= AW$3), AND($F53&lt;AW$3, WORKDAY($F53, 22,Holiday!$A$1:$A$30)&gt;AW$3)), 1, 0)+IF(AND((AW$3-$B$2)&gt;=0,(AW$3-$B$2)&lt;30), 2,0)</f>
        <v>0</v>
      </c>
      <c r="AX53" s="113">
        <f>IF(OR(AND($F52&lt;=AX$3, $F53 &gt;= AX$3), AND($F53&lt;AX$3, WORKDAY($F53, 22,Holiday!$A$1:$A$30)&gt;AX$3)), 1, 0)+IF(AND((AX$3-$B$2)&gt;=0,(AX$3-$B$2)&lt;30), 2,0)</f>
        <v>0</v>
      </c>
      <c r="AY53" s="113">
        <f>IF(OR(AND($F52&lt;=AY$3, $F53 &gt;= AY$3), AND($F53&lt;AY$3, WORKDAY($F53, 22,Holiday!$A$1:$A$30)&gt;AY$3)), 1, 0)+IF(AND((AY$3-$B$2)&gt;=0,(AY$3-$B$2)&lt;30), 2,0)</f>
        <v>0</v>
      </c>
      <c r="AZ53" s="113">
        <f>IF(OR(AND($F52&lt;=AZ$3, $F53 &gt;= AZ$3), AND($F53&lt;AZ$3, WORKDAY($F53, 22,Holiday!$A$1:$A$30)&gt;AZ$3)), 1, 0)+IF(AND((AZ$3-$B$2)&gt;=0,(AZ$3-$B$2)&lt;30), 2,0)</f>
        <v>2</v>
      </c>
      <c r="BA53" s="113">
        <f>IF(OR(AND($F52&lt;=BA$3, $F53 &gt;= BA$3), AND($F53&lt;BA$3, WORKDAY($F53, 22,Holiday!$A$1:$A$30)&gt;BA$3)), 1, 0)+IF(AND((BA$3-$B$2)&gt;=0,(BA$3-$B$2)&lt;30), 2,0)</f>
        <v>0</v>
      </c>
      <c r="BB53" s="113">
        <f>IF(OR(AND($F52&lt;=BB$3, $F53 &gt;= BB$3), AND($F53&lt;BB$3, WORKDAY($F53, 22,Holiday!$A$1:$A$30)&gt;BB$3)), 1, 0)+IF(AND((BB$3-$B$2)&gt;=0,(BB$3-$B$2)&lt;30), 2,0)</f>
        <v>0</v>
      </c>
    </row>
    <row r="54" spans="2:54" ht="15" x14ac:dyDescent="0.2">
      <c r="B54" t="s">
        <v>205</v>
      </c>
      <c r="C54" s="112" t="s">
        <v>78</v>
      </c>
      <c r="D54" s="111">
        <v>6</v>
      </c>
      <c r="E54" s="86">
        <f t="shared" si="0"/>
        <v>9</v>
      </c>
      <c r="F54" s="122">
        <f>WORKDAY(F53,E54,Holiday!A50:A79)</f>
        <v>46769</v>
      </c>
      <c r="G54" s="113">
        <f>IF(OR(AND($F53&lt;=G$3, $F54 &gt;= G$3), AND($F54&lt;G$3, WORKDAY($F54, 22,Holiday!$A$1:$A$30)&gt;G$3)), 1, 0)+IF(AND((G$3-$B$2)&gt;=0,(G$3-$B$2)&lt;30), 2,0)</f>
        <v>0</v>
      </c>
      <c r="H54" s="113">
        <f>IF(OR(AND($F53&lt;=H$3, $F54 &gt;= H$3), AND($F54&lt;H$3, WORKDAY($F54, 22,Holiday!$A$1:$A$30)&gt;H$3)), 1, 0)+IF(AND((H$3-$B$2)&gt;=0,(H$3-$B$2)&lt;30), 2,0)</f>
        <v>0</v>
      </c>
      <c r="I54" s="113">
        <f>IF(OR(AND($F53&lt;=I$3, $F54 &gt;= I$3), AND($F54&lt;I$3, WORKDAY($F54, 22,Holiday!$A$1:$A$30)&gt;I$3)), 1, 0)+IF(AND((I$3-$B$2)&gt;=0,(I$3-$B$2)&lt;30), 2,0)</f>
        <v>0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0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0</v>
      </c>
      <c r="P54" s="113">
        <f>IF(OR(AND($F53&lt;=P$3, $F54 &gt;= P$3), AND($F54&lt;P$3, WORKDAY($F54, 22,Holiday!$A$1:$A$30)&gt;P$3)), 1, 0)+IF(AND((P$3-$B$2)&gt;=0,(P$3-$B$2)&lt;30), 2,0)</f>
        <v>0</v>
      </c>
      <c r="Q54" s="113">
        <f>IF(OR(AND($F53&lt;=Q$3, $F54 &gt;= Q$3), AND($F54&lt;Q$3, WORKDAY($F54, 22,Holiday!$A$1:$A$30)&gt;Q$3)), 1, 0)+IF(AND((Q$3-$B$2)&gt;=0,(Q$3-$B$2)&lt;30), 2,0)</f>
        <v>0</v>
      </c>
      <c r="R54" s="113">
        <f>IF(OR(AND($F53&lt;=R$3, $F54 &gt;= R$3), AND($F54&lt;R$3, WORKDAY($F54, 22,Holiday!$A$1:$A$30)&gt;R$3)), 1, 0)+IF(AND((R$3-$B$2)&gt;=0,(R$3-$B$2)&lt;30), 2,0)</f>
        <v>0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0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1</v>
      </c>
      <c r="AE54" s="113">
        <f>IF(OR(AND($F53&lt;=AE$3, $F54 &gt;= AE$3), AND($F54&lt;AE$3, WORKDAY($F54, 22,Holiday!$A$1:$A$30)&gt;AE$3)), 1, 0)+IF(AND((AE$3-$B$2)&gt;=0,(AE$3-$B$2)&lt;30), 2,0)</f>
        <v>1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  <c r="AP54" s="113">
        <f>IF(OR(AND($F53&lt;=AP$3, $F54 &gt;= AP$3), AND($F54&lt;AP$3, WORKDAY($F54, 22,Holiday!$A$1:$A$30)&gt;AP$3)), 1, 0)+IF(AND((AP$3-$B$2)&gt;=0,(AP$3-$B$2)&lt;30), 2,0)</f>
        <v>0</v>
      </c>
      <c r="AQ54" s="113">
        <f>IF(OR(AND($F53&lt;=AQ$3, $F54 &gt;= AQ$3), AND($F54&lt;AQ$3, WORKDAY($F54, 22,Holiday!$A$1:$A$30)&gt;AQ$3)), 1, 0)+IF(AND((AQ$3-$B$2)&gt;=0,(AQ$3-$B$2)&lt;30), 2,0)</f>
        <v>0</v>
      </c>
      <c r="AR54" s="113">
        <f>IF(OR(AND($F53&lt;=AR$3, $F54 &gt;= AR$3), AND($F54&lt;AR$3, WORKDAY($F54, 22,Holiday!$A$1:$A$30)&gt;AR$3)), 1, 0)+IF(AND((AR$3-$B$2)&gt;=0,(AR$3-$B$2)&lt;30), 2,0)</f>
        <v>0</v>
      </c>
      <c r="AS54" s="113">
        <f>IF(OR(AND($F53&lt;=AS$3, $F54 &gt;= AS$3), AND($F54&lt;AS$3, WORKDAY($F54, 22,Holiday!$A$1:$A$30)&gt;AS$3)), 1, 0)+IF(AND((AS$3-$B$2)&gt;=0,(AS$3-$B$2)&lt;30), 2,0)</f>
        <v>0</v>
      </c>
      <c r="AT54" s="113">
        <f>IF(OR(AND($F53&lt;=AT$3, $F54 &gt;= AT$3), AND($F54&lt;AT$3, WORKDAY($F54, 22,Holiday!$A$1:$A$30)&gt;AT$3)), 1, 0)+IF(AND((AT$3-$B$2)&gt;=0,(AT$3-$B$2)&lt;30), 2,0)</f>
        <v>0</v>
      </c>
      <c r="AU54" s="113">
        <f>IF(OR(AND($F53&lt;=AU$3, $F54 &gt;= AU$3), AND($F54&lt;AU$3, WORKDAY($F54, 22,Holiday!$A$1:$A$30)&gt;AU$3)), 1, 0)+IF(AND((AU$3-$B$2)&gt;=0,(AU$3-$B$2)&lt;30), 2,0)</f>
        <v>0</v>
      </c>
      <c r="AV54" s="113">
        <f>IF(OR(AND($F53&lt;=AV$3, $F54 &gt;= AV$3), AND($F54&lt;AV$3, WORKDAY($F54, 22,Holiday!$A$1:$A$30)&gt;AV$3)), 1, 0)+IF(AND((AV$3-$B$2)&gt;=0,(AV$3-$B$2)&lt;30), 2,0)</f>
        <v>0</v>
      </c>
      <c r="AW54" s="113">
        <f>IF(OR(AND($F53&lt;=AW$3, $F54 &gt;= AW$3), AND($F54&lt;AW$3, WORKDAY($F54, 22,Holiday!$A$1:$A$30)&gt;AW$3)), 1, 0)+IF(AND((AW$3-$B$2)&gt;=0,(AW$3-$B$2)&lt;30), 2,0)</f>
        <v>0</v>
      </c>
      <c r="AX54" s="113">
        <f>IF(OR(AND($F53&lt;=AX$3, $F54 &gt;= AX$3), AND($F54&lt;AX$3, WORKDAY($F54, 22,Holiday!$A$1:$A$30)&gt;AX$3)), 1, 0)+IF(AND((AX$3-$B$2)&gt;=0,(AX$3-$B$2)&lt;30), 2,0)</f>
        <v>0</v>
      </c>
      <c r="AY54" s="113">
        <f>IF(OR(AND($F53&lt;=AY$3, $F54 &gt;= AY$3), AND($F54&lt;AY$3, WORKDAY($F54, 22,Holiday!$A$1:$A$30)&gt;AY$3)), 1, 0)+IF(AND((AY$3-$B$2)&gt;=0,(AY$3-$B$2)&lt;30), 2,0)</f>
        <v>0</v>
      </c>
      <c r="AZ54" s="113">
        <f>IF(OR(AND($F53&lt;=AZ$3, $F54 &gt;= AZ$3), AND($F54&lt;AZ$3, WORKDAY($F54, 22,Holiday!$A$1:$A$30)&gt;AZ$3)), 1, 0)+IF(AND((AZ$3-$B$2)&gt;=0,(AZ$3-$B$2)&lt;30), 2,0)</f>
        <v>2</v>
      </c>
      <c r="BA54" s="113">
        <f>IF(OR(AND($F53&lt;=BA$3, $F54 &gt;= BA$3), AND($F54&lt;BA$3, WORKDAY($F54, 22,Holiday!$A$1:$A$30)&gt;BA$3)), 1, 0)+IF(AND((BA$3-$B$2)&gt;=0,(BA$3-$B$2)&lt;30), 2,0)</f>
        <v>0</v>
      </c>
      <c r="BB54" s="113">
        <f>IF(OR(AND($F53&lt;=BB$3, $F54 &gt;= BB$3), AND($F54&lt;BB$3, WORKDAY($F54, 22,Holiday!$A$1:$A$30)&gt;BB$3)), 1, 0)+IF(AND((BB$3-$B$2)&gt;=0,(BB$3-$B$2)&lt;30), 2,0)</f>
        <v>0</v>
      </c>
    </row>
    <row r="55" spans="2:54" ht="15" x14ac:dyDescent="0.2">
      <c r="B55" t="s">
        <v>186</v>
      </c>
      <c r="C55" s="112" t="s">
        <v>78</v>
      </c>
      <c r="D55" s="111">
        <v>6</v>
      </c>
      <c r="E55" s="86">
        <f t="shared" si="0"/>
        <v>9</v>
      </c>
      <c r="F55" s="122">
        <f>WORKDAY(F54,E55,Holiday!A51:A80)</f>
        <v>46780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0</v>
      </c>
      <c r="I55" s="113">
        <f>IF(OR(AND($F54&lt;=I$3, $F55 &gt;= I$3), AND($F55&lt;I$3, WORKDAY($F55, 22,Holiday!$A$1:$A$30)&gt;I$3)), 1, 0)+IF(AND((I$3-$B$2)&gt;=0,(I$3-$B$2)&lt;30), 2,0)</f>
        <v>0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0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0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1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  <c r="AP55" s="113">
        <f>IF(OR(AND($F54&lt;=AP$3, $F55 &gt;= AP$3), AND($F55&lt;AP$3, WORKDAY($F55, 22,Holiday!$A$1:$A$30)&gt;AP$3)), 1, 0)+IF(AND((AP$3-$B$2)&gt;=0,(AP$3-$B$2)&lt;30), 2,0)</f>
        <v>0</v>
      </c>
      <c r="AQ55" s="113">
        <f>IF(OR(AND($F54&lt;=AQ$3, $F55 &gt;= AQ$3), AND($F55&lt;AQ$3, WORKDAY($F55, 22,Holiday!$A$1:$A$30)&gt;AQ$3)), 1, 0)+IF(AND((AQ$3-$B$2)&gt;=0,(AQ$3-$B$2)&lt;30), 2,0)</f>
        <v>0</v>
      </c>
      <c r="AR55" s="113">
        <f>IF(OR(AND($F54&lt;=AR$3, $F55 &gt;= AR$3), AND($F55&lt;AR$3, WORKDAY($F55, 22,Holiday!$A$1:$A$30)&gt;AR$3)), 1, 0)+IF(AND((AR$3-$B$2)&gt;=0,(AR$3-$B$2)&lt;30), 2,0)</f>
        <v>0</v>
      </c>
      <c r="AS55" s="113">
        <f>IF(OR(AND($F54&lt;=AS$3, $F55 &gt;= AS$3), AND($F55&lt;AS$3, WORKDAY($F55, 22,Holiday!$A$1:$A$30)&gt;AS$3)), 1, 0)+IF(AND((AS$3-$B$2)&gt;=0,(AS$3-$B$2)&lt;30), 2,0)</f>
        <v>0</v>
      </c>
      <c r="AT55" s="113">
        <f>IF(OR(AND($F54&lt;=AT$3, $F55 &gt;= AT$3), AND($F55&lt;AT$3, WORKDAY($F55, 22,Holiday!$A$1:$A$30)&gt;AT$3)), 1, 0)+IF(AND((AT$3-$B$2)&gt;=0,(AT$3-$B$2)&lt;30), 2,0)</f>
        <v>0</v>
      </c>
      <c r="AU55" s="113">
        <f>IF(OR(AND($F54&lt;=AU$3, $F55 &gt;= AU$3), AND($F55&lt;AU$3, WORKDAY($F55, 22,Holiday!$A$1:$A$30)&gt;AU$3)), 1, 0)+IF(AND((AU$3-$B$2)&gt;=0,(AU$3-$B$2)&lt;30), 2,0)</f>
        <v>0</v>
      </c>
      <c r="AV55" s="113">
        <f>IF(OR(AND($F54&lt;=AV$3, $F55 &gt;= AV$3), AND($F55&lt;AV$3, WORKDAY($F55, 22,Holiday!$A$1:$A$30)&gt;AV$3)), 1, 0)+IF(AND((AV$3-$B$2)&gt;=0,(AV$3-$B$2)&lt;30), 2,0)</f>
        <v>0</v>
      </c>
      <c r="AW55" s="113">
        <f>IF(OR(AND($F54&lt;=AW$3, $F55 &gt;= AW$3), AND($F55&lt;AW$3, WORKDAY($F55, 22,Holiday!$A$1:$A$30)&gt;AW$3)), 1, 0)+IF(AND((AW$3-$B$2)&gt;=0,(AW$3-$B$2)&lt;30), 2,0)</f>
        <v>0</v>
      </c>
      <c r="AX55" s="113">
        <f>IF(OR(AND($F54&lt;=AX$3, $F55 &gt;= AX$3), AND($F55&lt;AX$3, WORKDAY($F55, 22,Holiday!$A$1:$A$30)&gt;AX$3)), 1, 0)+IF(AND((AX$3-$B$2)&gt;=0,(AX$3-$B$2)&lt;30), 2,0)</f>
        <v>0</v>
      </c>
      <c r="AY55" s="113">
        <f>IF(OR(AND($F54&lt;=AY$3, $F55 &gt;= AY$3), AND($F55&lt;AY$3, WORKDAY($F55, 22,Holiday!$A$1:$A$30)&gt;AY$3)), 1, 0)+IF(AND((AY$3-$B$2)&gt;=0,(AY$3-$B$2)&lt;30), 2,0)</f>
        <v>0</v>
      </c>
      <c r="AZ55" s="113">
        <f>IF(OR(AND($F54&lt;=AZ$3, $F55 &gt;= AZ$3), AND($F55&lt;AZ$3, WORKDAY($F55, 22,Holiday!$A$1:$A$30)&gt;AZ$3)), 1, 0)+IF(AND((AZ$3-$B$2)&gt;=0,(AZ$3-$B$2)&lt;30), 2,0)</f>
        <v>2</v>
      </c>
      <c r="BA55" s="113">
        <f>IF(OR(AND($F54&lt;=BA$3, $F55 &gt;= BA$3), AND($F55&lt;BA$3, WORKDAY($F55, 22,Holiday!$A$1:$A$30)&gt;BA$3)), 1, 0)+IF(AND((BA$3-$B$2)&gt;=0,(BA$3-$B$2)&lt;30), 2,0)</f>
        <v>0</v>
      </c>
      <c r="BB55" s="113">
        <f>IF(OR(AND($F54&lt;=BB$3, $F55 &gt;= BB$3), AND($F55&lt;BB$3, WORKDAY($F55, 22,Holiday!$A$1:$A$30)&gt;BB$3)), 1, 0)+IF(AND((BB$3-$B$2)&gt;=0,(BB$3-$B$2)&lt;30), 2,0)</f>
        <v>0</v>
      </c>
    </row>
    <row r="56" spans="2:54" ht="15" x14ac:dyDescent="0.2">
      <c r="B56" t="s">
        <v>171</v>
      </c>
      <c r="C56" s="112" t="s">
        <v>78</v>
      </c>
      <c r="D56" s="111">
        <v>6</v>
      </c>
      <c r="E56" s="86">
        <f t="shared" si="0"/>
        <v>9</v>
      </c>
      <c r="F56" s="122">
        <f>WORKDAY(F55,E56,Holiday!A52:A81)</f>
        <v>46793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0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0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1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  <c r="AP56" s="113">
        <f>IF(OR(AND($F55&lt;=AP$3, $F56 &gt;= AP$3), AND($F56&lt;AP$3, WORKDAY($F56, 22,Holiday!$A$1:$A$30)&gt;AP$3)), 1, 0)+IF(AND((AP$3-$B$2)&gt;=0,(AP$3-$B$2)&lt;30), 2,0)</f>
        <v>0</v>
      </c>
      <c r="AQ56" s="113">
        <f>IF(OR(AND($F55&lt;=AQ$3, $F56 &gt;= AQ$3), AND($F56&lt;AQ$3, WORKDAY($F56, 22,Holiday!$A$1:$A$30)&gt;AQ$3)), 1, 0)+IF(AND((AQ$3-$B$2)&gt;=0,(AQ$3-$B$2)&lt;30), 2,0)</f>
        <v>0</v>
      </c>
      <c r="AR56" s="113">
        <f>IF(OR(AND($F55&lt;=AR$3, $F56 &gt;= AR$3), AND($F56&lt;AR$3, WORKDAY($F56, 22,Holiday!$A$1:$A$30)&gt;AR$3)), 1, 0)+IF(AND((AR$3-$B$2)&gt;=0,(AR$3-$B$2)&lt;30), 2,0)</f>
        <v>0</v>
      </c>
      <c r="AS56" s="113">
        <f>IF(OR(AND($F55&lt;=AS$3, $F56 &gt;= AS$3), AND($F56&lt;AS$3, WORKDAY($F56, 22,Holiday!$A$1:$A$30)&gt;AS$3)), 1, 0)+IF(AND((AS$3-$B$2)&gt;=0,(AS$3-$B$2)&lt;30), 2,0)</f>
        <v>0</v>
      </c>
      <c r="AT56" s="113">
        <f>IF(OR(AND($F55&lt;=AT$3, $F56 &gt;= AT$3), AND($F56&lt;AT$3, WORKDAY($F56, 22,Holiday!$A$1:$A$30)&gt;AT$3)), 1, 0)+IF(AND((AT$3-$B$2)&gt;=0,(AT$3-$B$2)&lt;30), 2,0)</f>
        <v>0</v>
      </c>
      <c r="AU56" s="113">
        <f>IF(OR(AND($F55&lt;=AU$3, $F56 &gt;= AU$3), AND($F56&lt;AU$3, WORKDAY($F56, 22,Holiday!$A$1:$A$30)&gt;AU$3)), 1, 0)+IF(AND((AU$3-$B$2)&gt;=0,(AU$3-$B$2)&lt;30), 2,0)</f>
        <v>0</v>
      </c>
      <c r="AV56" s="113">
        <f>IF(OR(AND($F55&lt;=AV$3, $F56 &gt;= AV$3), AND($F56&lt;AV$3, WORKDAY($F56, 22,Holiday!$A$1:$A$30)&gt;AV$3)), 1, 0)+IF(AND((AV$3-$B$2)&gt;=0,(AV$3-$B$2)&lt;30), 2,0)</f>
        <v>0</v>
      </c>
      <c r="AW56" s="113">
        <f>IF(OR(AND($F55&lt;=AW$3, $F56 &gt;= AW$3), AND($F56&lt;AW$3, WORKDAY($F56, 22,Holiday!$A$1:$A$30)&gt;AW$3)), 1, 0)+IF(AND((AW$3-$B$2)&gt;=0,(AW$3-$B$2)&lt;30), 2,0)</f>
        <v>0</v>
      </c>
      <c r="AX56" s="113">
        <f>IF(OR(AND($F55&lt;=AX$3, $F56 &gt;= AX$3), AND($F56&lt;AX$3, WORKDAY($F56, 22,Holiday!$A$1:$A$30)&gt;AX$3)), 1, 0)+IF(AND((AX$3-$B$2)&gt;=0,(AX$3-$B$2)&lt;30), 2,0)</f>
        <v>0</v>
      </c>
      <c r="AY56" s="113">
        <f>IF(OR(AND($F55&lt;=AY$3, $F56 &gt;= AY$3), AND($F56&lt;AY$3, WORKDAY($F56, 22,Holiday!$A$1:$A$30)&gt;AY$3)), 1, 0)+IF(AND((AY$3-$B$2)&gt;=0,(AY$3-$B$2)&lt;30), 2,0)</f>
        <v>0</v>
      </c>
      <c r="AZ56" s="113">
        <f>IF(OR(AND($F55&lt;=AZ$3, $F56 &gt;= AZ$3), AND($F56&lt;AZ$3, WORKDAY($F56, 22,Holiday!$A$1:$A$30)&gt;AZ$3)), 1, 0)+IF(AND((AZ$3-$B$2)&gt;=0,(AZ$3-$B$2)&lt;30), 2,0)</f>
        <v>2</v>
      </c>
      <c r="BA56" s="113">
        <f>IF(OR(AND($F55&lt;=BA$3, $F56 &gt;= BA$3), AND($F56&lt;BA$3, WORKDAY($F56, 22,Holiday!$A$1:$A$30)&gt;BA$3)), 1, 0)+IF(AND((BA$3-$B$2)&gt;=0,(BA$3-$B$2)&lt;30), 2,0)</f>
        <v>0</v>
      </c>
      <c r="BB56" s="113">
        <f>IF(OR(AND($F55&lt;=BB$3, $F56 &gt;= BB$3), AND($F56&lt;BB$3, WORKDAY($F56, 22,Holiday!$A$1:$A$30)&gt;BB$3)), 1, 0)+IF(AND((BB$3-$B$2)&gt;=0,(BB$3-$B$2)&lt;30), 2,0)</f>
        <v>0</v>
      </c>
    </row>
    <row r="57" spans="2:54" ht="15" x14ac:dyDescent="0.2">
      <c r="B57" t="s">
        <v>184</v>
      </c>
      <c r="C57" s="112" t="s">
        <v>78</v>
      </c>
      <c r="D57" s="111">
        <v>6</v>
      </c>
      <c r="E57" s="86">
        <f t="shared" si="0"/>
        <v>9</v>
      </c>
      <c r="F57" s="122">
        <f>WORKDAY(F56,E57,Holiday!A53:A82)</f>
        <v>46806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0</v>
      </c>
      <c r="J57" s="113">
        <f>IF(OR(AND($F56&lt;=J$3, $F57 &gt;= J$3), AND($F57&lt;J$3, WORKDAY($F57, 22,Holiday!$A$1:$A$30)&gt;J$3)), 1, 0)+IF(AND((J$3-$B$2)&gt;=0,(J$3-$B$2)&lt;30), 2,0)</f>
        <v>0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0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1</v>
      </c>
      <c r="AF57" s="113">
        <f>IF(OR(AND($F56&lt;=AF$3, $F57 &gt;= AF$3), AND($F57&lt;AF$3, WORKDAY($F57, 22,Holiday!$A$1:$A$30)&gt;AF$3)), 1, 0)+IF(AND((AF$3-$B$2)&gt;=0,(AF$3-$B$2)&lt;30), 2,0)</f>
        <v>1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  <c r="AP57" s="113">
        <f>IF(OR(AND($F56&lt;=AP$3, $F57 &gt;= AP$3), AND($F57&lt;AP$3, WORKDAY($F57, 22,Holiday!$A$1:$A$30)&gt;AP$3)), 1, 0)+IF(AND((AP$3-$B$2)&gt;=0,(AP$3-$B$2)&lt;30), 2,0)</f>
        <v>0</v>
      </c>
      <c r="AQ57" s="113">
        <f>IF(OR(AND($F56&lt;=AQ$3, $F57 &gt;= AQ$3), AND($F57&lt;AQ$3, WORKDAY($F57, 22,Holiday!$A$1:$A$30)&gt;AQ$3)), 1, 0)+IF(AND((AQ$3-$B$2)&gt;=0,(AQ$3-$B$2)&lt;30), 2,0)</f>
        <v>0</v>
      </c>
      <c r="AR57" s="113">
        <f>IF(OR(AND($F56&lt;=AR$3, $F57 &gt;= AR$3), AND($F57&lt;AR$3, WORKDAY($F57, 22,Holiday!$A$1:$A$30)&gt;AR$3)), 1, 0)+IF(AND((AR$3-$B$2)&gt;=0,(AR$3-$B$2)&lt;30), 2,0)</f>
        <v>0</v>
      </c>
      <c r="AS57" s="113">
        <f>IF(OR(AND($F56&lt;=AS$3, $F57 &gt;= AS$3), AND($F57&lt;AS$3, WORKDAY($F57, 22,Holiday!$A$1:$A$30)&gt;AS$3)), 1, 0)+IF(AND((AS$3-$B$2)&gt;=0,(AS$3-$B$2)&lt;30), 2,0)</f>
        <v>0</v>
      </c>
      <c r="AT57" s="113">
        <f>IF(OR(AND($F56&lt;=AT$3, $F57 &gt;= AT$3), AND($F57&lt;AT$3, WORKDAY($F57, 22,Holiday!$A$1:$A$30)&gt;AT$3)), 1, 0)+IF(AND((AT$3-$B$2)&gt;=0,(AT$3-$B$2)&lt;30), 2,0)</f>
        <v>0</v>
      </c>
      <c r="AU57" s="113">
        <f>IF(OR(AND($F56&lt;=AU$3, $F57 &gt;= AU$3), AND($F57&lt;AU$3, WORKDAY($F57, 22,Holiday!$A$1:$A$30)&gt;AU$3)), 1, 0)+IF(AND((AU$3-$B$2)&gt;=0,(AU$3-$B$2)&lt;30), 2,0)</f>
        <v>0</v>
      </c>
      <c r="AV57" s="113">
        <f>IF(OR(AND($F56&lt;=AV$3, $F57 &gt;= AV$3), AND($F57&lt;AV$3, WORKDAY($F57, 22,Holiday!$A$1:$A$30)&gt;AV$3)), 1, 0)+IF(AND((AV$3-$B$2)&gt;=0,(AV$3-$B$2)&lt;30), 2,0)</f>
        <v>0</v>
      </c>
      <c r="AW57" s="113">
        <f>IF(OR(AND($F56&lt;=AW$3, $F57 &gt;= AW$3), AND($F57&lt;AW$3, WORKDAY($F57, 22,Holiday!$A$1:$A$30)&gt;AW$3)), 1, 0)+IF(AND((AW$3-$B$2)&gt;=0,(AW$3-$B$2)&lt;30), 2,0)</f>
        <v>0</v>
      </c>
      <c r="AX57" s="113">
        <f>IF(OR(AND($F56&lt;=AX$3, $F57 &gt;= AX$3), AND($F57&lt;AX$3, WORKDAY($F57, 22,Holiday!$A$1:$A$30)&gt;AX$3)), 1, 0)+IF(AND((AX$3-$B$2)&gt;=0,(AX$3-$B$2)&lt;30), 2,0)</f>
        <v>0</v>
      </c>
      <c r="AY57" s="113">
        <f>IF(OR(AND($F56&lt;=AY$3, $F57 &gt;= AY$3), AND($F57&lt;AY$3, WORKDAY($F57, 22,Holiday!$A$1:$A$30)&gt;AY$3)), 1, 0)+IF(AND((AY$3-$B$2)&gt;=0,(AY$3-$B$2)&lt;30), 2,0)</f>
        <v>0</v>
      </c>
      <c r="AZ57" s="113">
        <f>IF(OR(AND($F56&lt;=AZ$3, $F57 &gt;= AZ$3), AND($F57&lt;AZ$3, WORKDAY($F57, 22,Holiday!$A$1:$A$30)&gt;AZ$3)), 1, 0)+IF(AND((AZ$3-$B$2)&gt;=0,(AZ$3-$B$2)&lt;30), 2,0)</f>
        <v>2</v>
      </c>
      <c r="BA57" s="113">
        <f>IF(OR(AND($F56&lt;=BA$3, $F57 &gt;= BA$3), AND($F57&lt;BA$3, WORKDAY($F57, 22,Holiday!$A$1:$A$30)&gt;BA$3)), 1, 0)+IF(AND((BA$3-$B$2)&gt;=0,(BA$3-$B$2)&lt;30), 2,0)</f>
        <v>0</v>
      </c>
      <c r="BB57" s="113">
        <f>IF(OR(AND($F56&lt;=BB$3, $F57 &gt;= BB$3), AND($F57&lt;BB$3, WORKDAY($F57, 22,Holiday!$A$1:$A$30)&gt;BB$3)), 1, 0)+IF(AND((BB$3-$B$2)&gt;=0,(BB$3-$B$2)&lt;30), 2,0)</f>
        <v>0</v>
      </c>
    </row>
    <row r="58" spans="2:54" ht="15" x14ac:dyDescent="0.2">
      <c r="B58" t="s">
        <v>146</v>
      </c>
      <c r="C58" s="112" t="s">
        <v>78</v>
      </c>
      <c r="D58" s="111">
        <v>6</v>
      </c>
      <c r="E58" s="86">
        <f t="shared" si="0"/>
        <v>9</v>
      </c>
      <c r="F58" s="122">
        <f>WORKDAY(F57,E58,Holiday!A54:A83)</f>
        <v>46819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0</v>
      </c>
      <c r="J58" s="113">
        <f>IF(OR(AND($F57&lt;=J$3, $F58 &gt;= J$3), AND($F58&lt;J$3, WORKDAY($F58, 22,Holiday!$A$1:$A$30)&gt;J$3)), 1, 0)+IF(AND((J$3-$B$2)&gt;=0,(J$3-$B$2)&lt;30), 2,0)</f>
        <v>0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0</v>
      </c>
      <c r="R58" s="113">
        <f>IF(OR(AND($F57&lt;=R$3, $F58 &gt;= R$3), AND($F58&lt;R$3, WORKDAY($F58, 22,Holiday!$A$1:$A$30)&gt;R$3)), 1, 0)+IF(AND((R$3-$B$2)&gt;=0,(R$3-$B$2)&lt;30), 2,0)</f>
        <v>0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1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  <c r="AP58" s="113">
        <f>IF(OR(AND($F57&lt;=AP$3, $F58 &gt;= AP$3), AND($F58&lt;AP$3, WORKDAY($F58, 22,Holiday!$A$1:$A$30)&gt;AP$3)), 1, 0)+IF(AND((AP$3-$B$2)&gt;=0,(AP$3-$B$2)&lt;30), 2,0)</f>
        <v>0</v>
      </c>
      <c r="AQ58" s="113">
        <f>IF(OR(AND($F57&lt;=AQ$3, $F58 &gt;= AQ$3), AND($F58&lt;AQ$3, WORKDAY($F58, 22,Holiday!$A$1:$A$30)&gt;AQ$3)), 1, 0)+IF(AND((AQ$3-$B$2)&gt;=0,(AQ$3-$B$2)&lt;30), 2,0)</f>
        <v>0</v>
      </c>
      <c r="AR58" s="113">
        <f>IF(OR(AND($F57&lt;=AR$3, $F58 &gt;= AR$3), AND($F58&lt;AR$3, WORKDAY($F58, 22,Holiday!$A$1:$A$30)&gt;AR$3)), 1, 0)+IF(AND((AR$3-$B$2)&gt;=0,(AR$3-$B$2)&lt;30), 2,0)</f>
        <v>0</v>
      </c>
      <c r="AS58" s="113">
        <f>IF(OR(AND($F57&lt;=AS$3, $F58 &gt;= AS$3), AND($F58&lt;AS$3, WORKDAY($F58, 22,Holiday!$A$1:$A$30)&gt;AS$3)), 1, 0)+IF(AND((AS$3-$B$2)&gt;=0,(AS$3-$B$2)&lt;30), 2,0)</f>
        <v>0</v>
      </c>
      <c r="AT58" s="113">
        <f>IF(OR(AND($F57&lt;=AT$3, $F58 &gt;= AT$3), AND($F58&lt;AT$3, WORKDAY($F58, 22,Holiday!$A$1:$A$30)&gt;AT$3)), 1, 0)+IF(AND((AT$3-$B$2)&gt;=0,(AT$3-$B$2)&lt;30), 2,0)</f>
        <v>0</v>
      </c>
      <c r="AU58" s="113">
        <f>IF(OR(AND($F57&lt;=AU$3, $F58 &gt;= AU$3), AND($F58&lt;AU$3, WORKDAY($F58, 22,Holiday!$A$1:$A$30)&gt;AU$3)), 1, 0)+IF(AND((AU$3-$B$2)&gt;=0,(AU$3-$B$2)&lt;30), 2,0)</f>
        <v>0</v>
      </c>
      <c r="AV58" s="113">
        <f>IF(OR(AND($F57&lt;=AV$3, $F58 &gt;= AV$3), AND($F58&lt;AV$3, WORKDAY($F58, 22,Holiday!$A$1:$A$30)&gt;AV$3)), 1, 0)+IF(AND((AV$3-$B$2)&gt;=0,(AV$3-$B$2)&lt;30), 2,0)</f>
        <v>0</v>
      </c>
      <c r="AW58" s="113">
        <f>IF(OR(AND($F57&lt;=AW$3, $F58 &gt;= AW$3), AND($F58&lt;AW$3, WORKDAY($F58, 22,Holiday!$A$1:$A$30)&gt;AW$3)), 1, 0)+IF(AND((AW$3-$B$2)&gt;=0,(AW$3-$B$2)&lt;30), 2,0)</f>
        <v>0</v>
      </c>
      <c r="AX58" s="113">
        <f>IF(OR(AND($F57&lt;=AX$3, $F58 &gt;= AX$3), AND($F58&lt;AX$3, WORKDAY($F58, 22,Holiday!$A$1:$A$30)&gt;AX$3)), 1, 0)+IF(AND((AX$3-$B$2)&gt;=0,(AX$3-$B$2)&lt;30), 2,0)</f>
        <v>0</v>
      </c>
      <c r="AY58" s="113">
        <f>IF(OR(AND($F57&lt;=AY$3, $F58 &gt;= AY$3), AND($F58&lt;AY$3, WORKDAY($F58, 22,Holiday!$A$1:$A$30)&gt;AY$3)), 1, 0)+IF(AND((AY$3-$B$2)&gt;=0,(AY$3-$B$2)&lt;30), 2,0)</f>
        <v>0</v>
      </c>
      <c r="AZ58" s="113">
        <f>IF(OR(AND($F57&lt;=AZ$3, $F58 &gt;= AZ$3), AND($F58&lt;AZ$3, WORKDAY($F58, 22,Holiday!$A$1:$A$30)&gt;AZ$3)), 1, 0)+IF(AND((AZ$3-$B$2)&gt;=0,(AZ$3-$B$2)&lt;30), 2,0)</f>
        <v>2</v>
      </c>
      <c r="BA58" s="113">
        <f>IF(OR(AND($F57&lt;=BA$3, $F58 &gt;= BA$3), AND($F58&lt;BA$3, WORKDAY($F58, 22,Holiday!$A$1:$A$30)&gt;BA$3)), 1, 0)+IF(AND((BA$3-$B$2)&gt;=0,(BA$3-$B$2)&lt;30), 2,0)</f>
        <v>0</v>
      </c>
      <c r="BB58" s="113">
        <f>IF(OR(AND($F57&lt;=BB$3, $F58 &gt;= BB$3), AND($F58&lt;BB$3, WORKDAY($F58, 22,Holiday!$A$1:$A$30)&gt;BB$3)), 1, 0)+IF(AND((BB$3-$B$2)&gt;=0,(BB$3-$B$2)&lt;30), 2,0)</f>
        <v>0</v>
      </c>
    </row>
    <row r="59" spans="2:54" ht="15" x14ac:dyDescent="0.2">
      <c r="B59" t="s">
        <v>170</v>
      </c>
      <c r="C59" s="112" t="s">
        <v>78</v>
      </c>
      <c r="D59" s="111">
        <v>6</v>
      </c>
      <c r="E59" s="86">
        <f t="shared" si="0"/>
        <v>9</v>
      </c>
      <c r="F59" s="122">
        <f>WORKDAY(F58,E59,Holiday!A55:A84)</f>
        <v>46832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0</v>
      </c>
      <c r="K59" s="113">
        <f>IF(OR(AND($F58&lt;=K$3, $F59 &gt;= K$3), AND($F59&lt;K$3, WORKDAY($F59, 22,Holiday!$A$1:$A$30)&gt;K$3)), 1, 0)+IF(AND((K$3-$B$2)&gt;=0,(K$3-$B$2)&lt;30), 2,0)</f>
        <v>0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0</v>
      </c>
      <c r="R59" s="113">
        <f>IF(OR(AND($F58&lt;=R$3, $F59 &gt;= R$3), AND($F59&lt;R$3, WORKDAY($F59, 22,Holiday!$A$1:$A$30)&gt;R$3)), 1, 0)+IF(AND((R$3-$B$2)&gt;=0,(R$3-$B$2)&lt;30), 2,0)</f>
        <v>0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1</v>
      </c>
      <c r="AG59" s="113">
        <f>IF(OR(AND($F58&lt;=AG$3, $F59 &gt;= AG$3), AND($F59&lt;AG$3, WORKDAY($F59, 22,Holiday!$A$1:$A$30)&gt;AG$3)), 1, 0)+IF(AND((AG$3-$B$2)&gt;=0,(AG$3-$B$2)&lt;30), 2,0)</f>
        <v>1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  <c r="AP59" s="113">
        <f>IF(OR(AND($F58&lt;=AP$3, $F59 &gt;= AP$3), AND($F59&lt;AP$3, WORKDAY($F59, 22,Holiday!$A$1:$A$30)&gt;AP$3)), 1, 0)+IF(AND((AP$3-$B$2)&gt;=0,(AP$3-$B$2)&lt;30), 2,0)</f>
        <v>0</v>
      </c>
      <c r="AQ59" s="113">
        <f>IF(OR(AND($F58&lt;=AQ$3, $F59 &gt;= AQ$3), AND($F59&lt;AQ$3, WORKDAY($F59, 22,Holiday!$A$1:$A$30)&gt;AQ$3)), 1, 0)+IF(AND((AQ$3-$B$2)&gt;=0,(AQ$3-$B$2)&lt;30), 2,0)</f>
        <v>0</v>
      </c>
      <c r="AR59" s="113">
        <f>IF(OR(AND($F58&lt;=AR$3, $F59 &gt;= AR$3), AND($F59&lt;AR$3, WORKDAY($F59, 22,Holiday!$A$1:$A$30)&gt;AR$3)), 1, 0)+IF(AND((AR$3-$B$2)&gt;=0,(AR$3-$B$2)&lt;30), 2,0)</f>
        <v>0</v>
      </c>
      <c r="AS59" s="113">
        <f>IF(OR(AND($F58&lt;=AS$3, $F59 &gt;= AS$3), AND($F59&lt;AS$3, WORKDAY($F59, 22,Holiday!$A$1:$A$30)&gt;AS$3)), 1, 0)+IF(AND((AS$3-$B$2)&gt;=0,(AS$3-$B$2)&lt;30), 2,0)</f>
        <v>0</v>
      </c>
      <c r="AT59" s="113">
        <f>IF(OR(AND($F58&lt;=AT$3, $F59 &gt;= AT$3), AND($F59&lt;AT$3, WORKDAY($F59, 22,Holiday!$A$1:$A$30)&gt;AT$3)), 1, 0)+IF(AND((AT$3-$B$2)&gt;=0,(AT$3-$B$2)&lt;30), 2,0)</f>
        <v>0</v>
      </c>
      <c r="AU59" s="113">
        <f>IF(OR(AND($F58&lt;=AU$3, $F59 &gt;= AU$3), AND($F59&lt;AU$3, WORKDAY($F59, 22,Holiday!$A$1:$A$30)&gt;AU$3)), 1, 0)+IF(AND((AU$3-$B$2)&gt;=0,(AU$3-$B$2)&lt;30), 2,0)</f>
        <v>0</v>
      </c>
      <c r="AV59" s="113">
        <f>IF(OR(AND($F58&lt;=AV$3, $F59 &gt;= AV$3), AND($F59&lt;AV$3, WORKDAY($F59, 22,Holiday!$A$1:$A$30)&gt;AV$3)), 1, 0)+IF(AND((AV$3-$B$2)&gt;=0,(AV$3-$B$2)&lt;30), 2,0)</f>
        <v>0</v>
      </c>
      <c r="AW59" s="113">
        <f>IF(OR(AND($F58&lt;=AW$3, $F59 &gt;= AW$3), AND($F59&lt;AW$3, WORKDAY($F59, 22,Holiday!$A$1:$A$30)&gt;AW$3)), 1, 0)+IF(AND((AW$3-$B$2)&gt;=0,(AW$3-$B$2)&lt;30), 2,0)</f>
        <v>0</v>
      </c>
      <c r="AX59" s="113">
        <f>IF(OR(AND($F58&lt;=AX$3, $F59 &gt;= AX$3), AND($F59&lt;AX$3, WORKDAY($F59, 22,Holiday!$A$1:$A$30)&gt;AX$3)), 1, 0)+IF(AND((AX$3-$B$2)&gt;=0,(AX$3-$B$2)&lt;30), 2,0)</f>
        <v>0</v>
      </c>
      <c r="AY59" s="113">
        <f>IF(OR(AND($F58&lt;=AY$3, $F59 &gt;= AY$3), AND($F59&lt;AY$3, WORKDAY($F59, 22,Holiday!$A$1:$A$30)&gt;AY$3)), 1, 0)+IF(AND((AY$3-$B$2)&gt;=0,(AY$3-$B$2)&lt;30), 2,0)</f>
        <v>0</v>
      </c>
      <c r="AZ59" s="113">
        <f>IF(OR(AND($F58&lt;=AZ$3, $F59 &gt;= AZ$3), AND($F59&lt;AZ$3, WORKDAY($F59, 22,Holiday!$A$1:$A$30)&gt;AZ$3)), 1, 0)+IF(AND((AZ$3-$B$2)&gt;=0,(AZ$3-$B$2)&lt;30), 2,0)</f>
        <v>2</v>
      </c>
      <c r="BA59" s="113">
        <f>IF(OR(AND($F58&lt;=BA$3, $F59 &gt;= BA$3), AND($F59&lt;BA$3, WORKDAY($F59, 22,Holiday!$A$1:$A$30)&gt;BA$3)), 1, 0)+IF(AND((BA$3-$B$2)&gt;=0,(BA$3-$B$2)&lt;30), 2,0)</f>
        <v>0</v>
      </c>
      <c r="BB59" s="113">
        <f>IF(OR(AND($F58&lt;=BB$3, $F59 &gt;= BB$3), AND($F59&lt;BB$3, WORKDAY($F59, 22,Holiday!$A$1:$A$30)&gt;BB$3)), 1, 0)+IF(AND((BB$3-$B$2)&gt;=0,(BB$3-$B$2)&lt;30), 2,0)</f>
        <v>0</v>
      </c>
    </row>
    <row r="60" spans="2:54" ht="15" x14ac:dyDescent="0.2">
      <c r="B60" t="s">
        <v>169</v>
      </c>
      <c r="C60" s="112" t="s">
        <v>78</v>
      </c>
      <c r="D60" s="111">
        <v>6</v>
      </c>
      <c r="E60" s="86">
        <f t="shared" si="0"/>
        <v>9</v>
      </c>
      <c r="F60" s="122">
        <f>WORKDAY(F59,E60,Holiday!A56:A85)</f>
        <v>46843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0</v>
      </c>
      <c r="K60" s="113">
        <f>IF(OR(AND($F59&lt;=K$3, $F60 &gt;= K$3), AND($F60&lt;K$3, WORKDAY($F60, 22,Holiday!$A$1:$A$30)&gt;K$3)), 1, 0)+IF(AND((K$3-$B$2)&gt;=0,(K$3-$B$2)&lt;30), 2,0)</f>
        <v>0</v>
      </c>
      <c r="L60" s="113">
        <f>IF(OR(AND($F59&lt;=L$3, $F60 &gt;= L$3), AND($F60&lt;L$3, WORKDAY($F60, 22,Holiday!$A$1:$A$30)&gt;L$3)), 1, 0)+IF(AND((L$3-$B$2)&gt;=0,(L$3-$B$2)&lt;30), 2,0)</f>
        <v>0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0</v>
      </c>
      <c r="R60" s="113">
        <f>IF(OR(AND($F59&lt;=R$3, $F60 &gt;= R$3), AND($F60&lt;R$3, WORKDAY($F60, 22,Holiday!$A$1:$A$30)&gt;R$3)), 1, 0)+IF(AND((R$3-$B$2)&gt;=0,(R$3-$B$2)&lt;30), 2,0)</f>
        <v>0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1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  <c r="AP60" s="113">
        <f>IF(OR(AND($F59&lt;=AP$3, $F60 &gt;= AP$3), AND($F60&lt;AP$3, WORKDAY($F60, 22,Holiday!$A$1:$A$30)&gt;AP$3)), 1, 0)+IF(AND((AP$3-$B$2)&gt;=0,(AP$3-$B$2)&lt;30), 2,0)</f>
        <v>0</v>
      </c>
      <c r="AQ60" s="113">
        <f>IF(OR(AND($F59&lt;=AQ$3, $F60 &gt;= AQ$3), AND($F60&lt;AQ$3, WORKDAY($F60, 22,Holiday!$A$1:$A$30)&gt;AQ$3)), 1, 0)+IF(AND((AQ$3-$B$2)&gt;=0,(AQ$3-$B$2)&lt;30), 2,0)</f>
        <v>0</v>
      </c>
      <c r="AR60" s="113">
        <f>IF(OR(AND($F59&lt;=AR$3, $F60 &gt;= AR$3), AND($F60&lt;AR$3, WORKDAY($F60, 22,Holiday!$A$1:$A$30)&gt;AR$3)), 1, 0)+IF(AND((AR$3-$B$2)&gt;=0,(AR$3-$B$2)&lt;30), 2,0)</f>
        <v>0</v>
      </c>
      <c r="AS60" s="113">
        <f>IF(OR(AND($F59&lt;=AS$3, $F60 &gt;= AS$3), AND($F60&lt;AS$3, WORKDAY($F60, 22,Holiday!$A$1:$A$30)&gt;AS$3)), 1, 0)+IF(AND((AS$3-$B$2)&gt;=0,(AS$3-$B$2)&lt;30), 2,0)</f>
        <v>0</v>
      </c>
      <c r="AT60" s="113">
        <f>IF(OR(AND($F59&lt;=AT$3, $F60 &gt;= AT$3), AND($F60&lt;AT$3, WORKDAY($F60, 22,Holiday!$A$1:$A$30)&gt;AT$3)), 1, 0)+IF(AND((AT$3-$B$2)&gt;=0,(AT$3-$B$2)&lt;30), 2,0)</f>
        <v>0</v>
      </c>
      <c r="AU60" s="113">
        <f>IF(OR(AND($F59&lt;=AU$3, $F60 &gt;= AU$3), AND($F60&lt;AU$3, WORKDAY($F60, 22,Holiday!$A$1:$A$30)&gt;AU$3)), 1, 0)+IF(AND((AU$3-$B$2)&gt;=0,(AU$3-$B$2)&lt;30), 2,0)</f>
        <v>0</v>
      </c>
      <c r="AV60" s="113">
        <f>IF(OR(AND($F59&lt;=AV$3, $F60 &gt;= AV$3), AND($F60&lt;AV$3, WORKDAY($F60, 22,Holiday!$A$1:$A$30)&gt;AV$3)), 1, 0)+IF(AND((AV$3-$B$2)&gt;=0,(AV$3-$B$2)&lt;30), 2,0)</f>
        <v>0</v>
      </c>
      <c r="AW60" s="113">
        <f>IF(OR(AND($F59&lt;=AW$3, $F60 &gt;= AW$3), AND($F60&lt;AW$3, WORKDAY($F60, 22,Holiday!$A$1:$A$30)&gt;AW$3)), 1, 0)+IF(AND((AW$3-$B$2)&gt;=0,(AW$3-$B$2)&lt;30), 2,0)</f>
        <v>0</v>
      </c>
      <c r="AX60" s="113">
        <f>IF(OR(AND($F59&lt;=AX$3, $F60 &gt;= AX$3), AND($F60&lt;AX$3, WORKDAY($F60, 22,Holiday!$A$1:$A$30)&gt;AX$3)), 1, 0)+IF(AND((AX$3-$B$2)&gt;=0,(AX$3-$B$2)&lt;30), 2,0)</f>
        <v>0</v>
      </c>
      <c r="AY60" s="113">
        <f>IF(OR(AND($F59&lt;=AY$3, $F60 &gt;= AY$3), AND($F60&lt;AY$3, WORKDAY($F60, 22,Holiday!$A$1:$A$30)&gt;AY$3)), 1, 0)+IF(AND((AY$3-$B$2)&gt;=0,(AY$3-$B$2)&lt;30), 2,0)</f>
        <v>0</v>
      </c>
      <c r="AZ60" s="113">
        <f>IF(OR(AND($F59&lt;=AZ$3, $F60 &gt;= AZ$3), AND($F60&lt;AZ$3, WORKDAY($F60, 22,Holiday!$A$1:$A$30)&gt;AZ$3)), 1, 0)+IF(AND((AZ$3-$B$2)&gt;=0,(AZ$3-$B$2)&lt;30), 2,0)</f>
        <v>2</v>
      </c>
      <c r="BA60" s="113">
        <f>IF(OR(AND($F59&lt;=BA$3, $F60 &gt;= BA$3), AND($F60&lt;BA$3, WORKDAY($F60, 22,Holiday!$A$1:$A$30)&gt;BA$3)), 1, 0)+IF(AND((BA$3-$B$2)&gt;=0,(BA$3-$B$2)&lt;30), 2,0)</f>
        <v>0</v>
      </c>
      <c r="BB60" s="113">
        <f>IF(OR(AND($F59&lt;=BB$3, $F60 &gt;= BB$3), AND($F60&lt;BB$3, WORKDAY($F60, 22,Holiday!$A$1:$A$30)&gt;BB$3)), 1, 0)+IF(AND((BB$3-$B$2)&gt;=0,(BB$3-$B$2)&lt;30), 2,0)</f>
        <v>0</v>
      </c>
    </row>
    <row r="61" spans="2:54" ht="15" x14ac:dyDescent="0.2">
      <c r="B61" t="s">
        <v>178</v>
      </c>
      <c r="C61" s="112" t="s">
        <v>78</v>
      </c>
      <c r="D61" s="111">
        <v>6</v>
      </c>
      <c r="E61" s="86">
        <f t="shared" si="0"/>
        <v>9</v>
      </c>
      <c r="F61" s="122">
        <f>WORKDAY(F60,E61,Holiday!A57:A86)</f>
        <v>46856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0</v>
      </c>
      <c r="L61" s="113">
        <f>IF(OR(AND($F60&lt;=L$3, $F61 &gt;= L$3), AND($F61&lt;L$3, WORKDAY($F61, 22,Holiday!$A$1:$A$30)&gt;L$3)), 1, 0)+IF(AND((L$3-$B$2)&gt;=0,(L$3-$B$2)&lt;30), 2,0)</f>
        <v>0</v>
      </c>
      <c r="M61" s="113">
        <f>IF(OR(AND($F60&lt;=M$3, $F61 &gt;= M$3), AND($F61&lt;M$3, WORKDAY($F61, 22,Holiday!$A$1:$A$30)&gt;M$3)), 1, 0)+IF(AND((M$3-$B$2)&gt;=0,(M$3-$B$2)&lt;30), 2,0)</f>
        <v>0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0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1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  <c r="AP61" s="113">
        <f>IF(OR(AND($F60&lt;=AP$3, $F61 &gt;= AP$3), AND($F61&lt;AP$3, WORKDAY($F61, 22,Holiday!$A$1:$A$30)&gt;AP$3)), 1, 0)+IF(AND((AP$3-$B$2)&gt;=0,(AP$3-$B$2)&lt;30), 2,0)</f>
        <v>0</v>
      </c>
      <c r="AQ61" s="113">
        <f>IF(OR(AND($F60&lt;=AQ$3, $F61 &gt;= AQ$3), AND($F61&lt;AQ$3, WORKDAY($F61, 22,Holiday!$A$1:$A$30)&gt;AQ$3)), 1, 0)+IF(AND((AQ$3-$B$2)&gt;=0,(AQ$3-$B$2)&lt;30), 2,0)</f>
        <v>0</v>
      </c>
      <c r="AR61" s="113">
        <f>IF(OR(AND($F60&lt;=AR$3, $F61 &gt;= AR$3), AND($F61&lt;AR$3, WORKDAY($F61, 22,Holiday!$A$1:$A$30)&gt;AR$3)), 1, 0)+IF(AND((AR$3-$B$2)&gt;=0,(AR$3-$B$2)&lt;30), 2,0)</f>
        <v>0</v>
      </c>
      <c r="AS61" s="113">
        <f>IF(OR(AND($F60&lt;=AS$3, $F61 &gt;= AS$3), AND($F61&lt;AS$3, WORKDAY($F61, 22,Holiday!$A$1:$A$30)&gt;AS$3)), 1, 0)+IF(AND((AS$3-$B$2)&gt;=0,(AS$3-$B$2)&lt;30), 2,0)</f>
        <v>0</v>
      </c>
      <c r="AT61" s="113">
        <f>IF(OR(AND($F60&lt;=AT$3, $F61 &gt;= AT$3), AND($F61&lt;AT$3, WORKDAY($F61, 22,Holiday!$A$1:$A$30)&gt;AT$3)), 1, 0)+IF(AND((AT$3-$B$2)&gt;=0,(AT$3-$B$2)&lt;30), 2,0)</f>
        <v>0</v>
      </c>
      <c r="AU61" s="113">
        <f>IF(OR(AND($F60&lt;=AU$3, $F61 &gt;= AU$3), AND($F61&lt;AU$3, WORKDAY($F61, 22,Holiday!$A$1:$A$30)&gt;AU$3)), 1, 0)+IF(AND((AU$3-$B$2)&gt;=0,(AU$3-$B$2)&lt;30), 2,0)</f>
        <v>0</v>
      </c>
      <c r="AV61" s="113">
        <f>IF(OR(AND($F60&lt;=AV$3, $F61 &gt;= AV$3), AND($F61&lt;AV$3, WORKDAY($F61, 22,Holiday!$A$1:$A$30)&gt;AV$3)), 1, 0)+IF(AND((AV$3-$B$2)&gt;=0,(AV$3-$B$2)&lt;30), 2,0)</f>
        <v>0</v>
      </c>
      <c r="AW61" s="113">
        <f>IF(OR(AND($F60&lt;=AW$3, $F61 &gt;= AW$3), AND($F61&lt;AW$3, WORKDAY($F61, 22,Holiday!$A$1:$A$30)&gt;AW$3)), 1, 0)+IF(AND((AW$3-$B$2)&gt;=0,(AW$3-$B$2)&lt;30), 2,0)</f>
        <v>0</v>
      </c>
      <c r="AX61" s="113">
        <f>IF(OR(AND($F60&lt;=AX$3, $F61 &gt;= AX$3), AND($F61&lt;AX$3, WORKDAY($F61, 22,Holiday!$A$1:$A$30)&gt;AX$3)), 1, 0)+IF(AND((AX$3-$B$2)&gt;=0,(AX$3-$B$2)&lt;30), 2,0)</f>
        <v>0</v>
      </c>
      <c r="AY61" s="113">
        <f>IF(OR(AND($F60&lt;=AY$3, $F61 &gt;= AY$3), AND($F61&lt;AY$3, WORKDAY($F61, 22,Holiday!$A$1:$A$30)&gt;AY$3)), 1, 0)+IF(AND((AY$3-$B$2)&gt;=0,(AY$3-$B$2)&lt;30), 2,0)</f>
        <v>0</v>
      </c>
      <c r="AZ61" s="113">
        <f>IF(OR(AND($F60&lt;=AZ$3, $F61 &gt;= AZ$3), AND($F61&lt;AZ$3, WORKDAY($F61, 22,Holiday!$A$1:$A$30)&gt;AZ$3)), 1, 0)+IF(AND((AZ$3-$B$2)&gt;=0,(AZ$3-$B$2)&lt;30), 2,0)</f>
        <v>2</v>
      </c>
      <c r="BA61" s="113">
        <f>IF(OR(AND($F60&lt;=BA$3, $F61 &gt;= BA$3), AND($F61&lt;BA$3, WORKDAY($F61, 22,Holiday!$A$1:$A$30)&gt;BA$3)), 1, 0)+IF(AND((BA$3-$B$2)&gt;=0,(BA$3-$B$2)&lt;30), 2,0)</f>
        <v>0</v>
      </c>
      <c r="BB61" s="113">
        <f>IF(OR(AND($F60&lt;=BB$3, $F61 &gt;= BB$3), AND($F61&lt;BB$3, WORKDAY($F61, 22,Holiday!$A$1:$A$30)&gt;BB$3)), 1, 0)+IF(AND((BB$3-$B$2)&gt;=0,(BB$3-$B$2)&lt;30), 2,0)</f>
        <v>0</v>
      </c>
    </row>
    <row r="62" spans="2:54" ht="15" x14ac:dyDescent="0.2">
      <c r="B62" t="s">
        <v>145</v>
      </c>
      <c r="C62" s="112" t="s">
        <v>78</v>
      </c>
      <c r="D62" s="111">
        <v>6</v>
      </c>
      <c r="E62" s="86">
        <f t="shared" si="0"/>
        <v>9</v>
      </c>
      <c r="F62" s="122">
        <f>WORKDAY(F61,E62,Holiday!A58:A87)</f>
        <v>46869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0</v>
      </c>
      <c r="L62" s="113">
        <f>IF(OR(AND($F61&lt;=L$3, $F62 &gt;= L$3), AND($F62&lt;L$3, WORKDAY($F62, 22,Holiday!$A$1:$A$30)&gt;L$3)), 1, 0)+IF(AND((L$3-$B$2)&gt;=0,(L$3-$B$2)&lt;30), 2,0)</f>
        <v>0</v>
      </c>
      <c r="M62" s="113">
        <f>IF(OR(AND($F61&lt;=M$3, $F62 &gt;= M$3), AND($F62&lt;M$3, WORKDAY($F62, 22,Holiday!$A$1:$A$30)&gt;M$3)), 1, 0)+IF(AND((M$3-$B$2)&gt;=0,(M$3-$B$2)&lt;30), 2,0)</f>
        <v>0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0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1</v>
      </c>
      <c r="AH62" s="113">
        <f>IF(OR(AND($F61&lt;=AH$3, $F62 &gt;= AH$3), AND($F62&lt;AH$3, WORKDAY($F62, 22,Holiday!$A$1:$A$30)&gt;AH$3)), 1, 0)+IF(AND((AH$3-$B$2)&gt;=0,(AH$3-$B$2)&lt;30), 2,0)</f>
        <v>1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  <c r="AP62" s="113">
        <f>IF(OR(AND($F61&lt;=AP$3, $F62 &gt;= AP$3), AND($F62&lt;AP$3, WORKDAY($F62, 22,Holiday!$A$1:$A$30)&gt;AP$3)), 1, 0)+IF(AND((AP$3-$B$2)&gt;=0,(AP$3-$B$2)&lt;30), 2,0)</f>
        <v>0</v>
      </c>
      <c r="AQ62" s="113">
        <f>IF(OR(AND($F61&lt;=AQ$3, $F62 &gt;= AQ$3), AND($F62&lt;AQ$3, WORKDAY($F62, 22,Holiday!$A$1:$A$30)&gt;AQ$3)), 1, 0)+IF(AND((AQ$3-$B$2)&gt;=0,(AQ$3-$B$2)&lt;30), 2,0)</f>
        <v>0</v>
      </c>
      <c r="AR62" s="113">
        <f>IF(OR(AND($F61&lt;=AR$3, $F62 &gt;= AR$3), AND($F62&lt;AR$3, WORKDAY($F62, 22,Holiday!$A$1:$A$30)&gt;AR$3)), 1, 0)+IF(AND((AR$3-$B$2)&gt;=0,(AR$3-$B$2)&lt;30), 2,0)</f>
        <v>0</v>
      </c>
      <c r="AS62" s="113">
        <f>IF(OR(AND($F61&lt;=AS$3, $F62 &gt;= AS$3), AND($F62&lt;AS$3, WORKDAY($F62, 22,Holiday!$A$1:$A$30)&gt;AS$3)), 1, 0)+IF(AND((AS$3-$B$2)&gt;=0,(AS$3-$B$2)&lt;30), 2,0)</f>
        <v>0</v>
      </c>
      <c r="AT62" s="113">
        <f>IF(OR(AND($F61&lt;=AT$3, $F62 &gt;= AT$3), AND($F62&lt;AT$3, WORKDAY($F62, 22,Holiday!$A$1:$A$30)&gt;AT$3)), 1, 0)+IF(AND((AT$3-$B$2)&gt;=0,(AT$3-$B$2)&lt;30), 2,0)</f>
        <v>0</v>
      </c>
      <c r="AU62" s="113">
        <f>IF(OR(AND($F61&lt;=AU$3, $F62 &gt;= AU$3), AND($F62&lt;AU$3, WORKDAY($F62, 22,Holiday!$A$1:$A$30)&gt;AU$3)), 1, 0)+IF(AND((AU$3-$B$2)&gt;=0,(AU$3-$B$2)&lt;30), 2,0)</f>
        <v>0</v>
      </c>
      <c r="AV62" s="113">
        <f>IF(OR(AND($F61&lt;=AV$3, $F62 &gt;= AV$3), AND($F62&lt;AV$3, WORKDAY($F62, 22,Holiday!$A$1:$A$30)&gt;AV$3)), 1, 0)+IF(AND((AV$3-$B$2)&gt;=0,(AV$3-$B$2)&lt;30), 2,0)</f>
        <v>0</v>
      </c>
      <c r="AW62" s="113">
        <f>IF(OR(AND($F61&lt;=AW$3, $F62 &gt;= AW$3), AND($F62&lt;AW$3, WORKDAY($F62, 22,Holiday!$A$1:$A$30)&gt;AW$3)), 1, 0)+IF(AND((AW$3-$B$2)&gt;=0,(AW$3-$B$2)&lt;30), 2,0)</f>
        <v>0</v>
      </c>
      <c r="AX62" s="113">
        <f>IF(OR(AND($F61&lt;=AX$3, $F62 &gt;= AX$3), AND($F62&lt;AX$3, WORKDAY($F62, 22,Holiday!$A$1:$A$30)&gt;AX$3)), 1, 0)+IF(AND((AX$3-$B$2)&gt;=0,(AX$3-$B$2)&lt;30), 2,0)</f>
        <v>0</v>
      </c>
      <c r="AY62" s="113">
        <f>IF(OR(AND($F61&lt;=AY$3, $F62 &gt;= AY$3), AND($F62&lt;AY$3, WORKDAY($F62, 22,Holiday!$A$1:$A$30)&gt;AY$3)), 1, 0)+IF(AND((AY$3-$B$2)&gt;=0,(AY$3-$B$2)&lt;30), 2,0)</f>
        <v>0</v>
      </c>
      <c r="AZ62" s="113">
        <f>IF(OR(AND($F61&lt;=AZ$3, $F62 &gt;= AZ$3), AND($F62&lt;AZ$3, WORKDAY($F62, 22,Holiday!$A$1:$A$30)&gt;AZ$3)), 1, 0)+IF(AND((AZ$3-$B$2)&gt;=0,(AZ$3-$B$2)&lt;30), 2,0)</f>
        <v>2</v>
      </c>
      <c r="BA62" s="113">
        <f>IF(OR(AND($F61&lt;=BA$3, $F62 &gt;= BA$3), AND($F62&lt;BA$3, WORKDAY($F62, 22,Holiday!$A$1:$A$30)&gt;BA$3)), 1, 0)+IF(AND((BA$3-$B$2)&gt;=0,(BA$3-$B$2)&lt;30), 2,0)</f>
        <v>0</v>
      </c>
      <c r="BB62" s="113">
        <f>IF(OR(AND($F61&lt;=BB$3, $F62 &gt;= BB$3), AND($F62&lt;BB$3, WORKDAY($F62, 22,Holiday!$A$1:$A$30)&gt;BB$3)), 1, 0)+IF(AND((BB$3-$B$2)&gt;=0,(BB$3-$B$2)&lt;30), 2,0)</f>
        <v>0</v>
      </c>
    </row>
    <row r="63" spans="2:54" ht="15" x14ac:dyDescent="0.2">
      <c r="B63" t="s">
        <v>143</v>
      </c>
      <c r="C63" s="112" t="s">
        <v>78</v>
      </c>
      <c r="D63" s="111">
        <v>6</v>
      </c>
      <c r="E63" s="86">
        <f t="shared" si="0"/>
        <v>9</v>
      </c>
      <c r="F63" s="122">
        <f>WORKDAY(F62,E63,Holiday!A59:A88)</f>
        <v>46882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0</v>
      </c>
      <c r="L63" s="113">
        <f>IF(OR(AND($F62&lt;=L$3, $F63 &gt;= L$3), AND($F63&lt;L$3, WORKDAY($F63, 22,Holiday!$A$1:$A$30)&gt;L$3)), 1, 0)+IF(AND((L$3-$B$2)&gt;=0,(L$3-$B$2)&lt;30), 2,0)</f>
        <v>0</v>
      </c>
      <c r="M63" s="113">
        <f>IF(OR(AND($F62&lt;=M$3, $F63 &gt;= M$3), AND($F63&lt;M$3, WORKDAY($F63, 22,Holiday!$A$1:$A$30)&gt;M$3)), 1, 0)+IF(AND((M$3-$B$2)&gt;=0,(M$3-$B$2)&lt;30), 2,0)</f>
        <v>0</v>
      </c>
      <c r="N63" s="113">
        <f>IF(OR(AND($F62&lt;=N$3, $F63 &gt;= N$3), AND($F63&lt;N$3, WORKDAY($F63, 22,Holiday!$A$1:$A$30)&gt;N$3)), 1, 0)+IF(AND((N$3-$B$2)&gt;=0,(N$3-$B$2)&lt;30), 2,0)</f>
        <v>0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0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1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  <c r="AP63" s="113">
        <f>IF(OR(AND($F62&lt;=AP$3, $F63 &gt;= AP$3), AND($F63&lt;AP$3, WORKDAY($F63, 22,Holiday!$A$1:$A$30)&gt;AP$3)), 1, 0)+IF(AND((AP$3-$B$2)&gt;=0,(AP$3-$B$2)&lt;30), 2,0)</f>
        <v>0</v>
      </c>
      <c r="AQ63" s="113">
        <f>IF(OR(AND($F62&lt;=AQ$3, $F63 &gt;= AQ$3), AND($F63&lt;AQ$3, WORKDAY($F63, 22,Holiday!$A$1:$A$30)&gt;AQ$3)), 1, 0)+IF(AND((AQ$3-$B$2)&gt;=0,(AQ$3-$B$2)&lt;30), 2,0)</f>
        <v>0</v>
      </c>
      <c r="AR63" s="113">
        <f>IF(OR(AND($F62&lt;=AR$3, $F63 &gt;= AR$3), AND($F63&lt;AR$3, WORKDAY($F63, 22,Holiday!$A$1:$A$30)&gt;AR$3)), 1, 0)+IF(AND((AR$3-$B$2)&gt;=0,(AR$3-$B$2)&lt;30), 2,0)</f>
        <v>0</v>
      </c>
      <c r="AS63" s="113">
        <f>IF(OR(AND($F62&lt;=AS$3, $F63 &gt;= AS$3), AND($F63&lt;AS$3, WORKDAY($F63, 22,Holiday!$A$1:$A$30)&gt;AS$3)), 1, 0)+IF(AND((AS$3-$B$2)&gt;=0,(AS$3-$B$2)&lt;30), 2,0)</f>
        <v>0</v>
      </c>
      <c r="AT63" s="113">
        <f>IF(OR(AND($F62&lt;=AT$3, $F63 &gt;= AT$3), AND($F63&lt;AT$3, WORKDAY($F63, 22,Holiday!$A$1:$A$30)&gt;AT$3)), 1, 0)+IF(AND((AT$3-$B$2)&gt;=0,(AT$3-$B$2)&lt;30), 2,0)</f>
        <v>0</v>
      </c>
      <c r="AU63" s="113">
        <f>IF(OR(AND($F62&lt;=AU$3, $F63 &gt;= AU$3), AND($F63&lt;AU$3, WORKDAY($F63, 22,Holiday!$A$1:$A$30)&gt;AU$3)), 1, 0)+IF(AND((AU$3-$B$2)&gt;=0,(AU$3-$B$2)&lt;30), 2,0)</f>
        <v>0</v>
      </c>
      <c r="AV63" s="113">
        <f>IF(OR(AND($F62&lt;=AV$3, $F63 &gt;= AV$3), AND($F63&lt;AV$3, WORKDAY($F63, 22,Holiday!$A$1:$A$30)&gt;AV$3)), 1, 0)+IF(AND((AV$3-$B$2)&gt;=0,(AV$3-$B$2)&lt;30), 2,0)</f>
        <v>0</v>
      </c>
      <c r="AW63" s="113">
        <f>IF(OR(AND($F62&lt;=AW$3, $F63 &gt;= AW$3), AND($F63&lt;AW$3, WORKDAY($F63, 22,Holiday!$A$1:$A$30)&gt;AW$3)), 1, 0)+IF(AND((AW$3-$B$2)&gt;=0,(AW$3-$B$2)&lt;30), 2,0)</f>
        <v>0</v>
      </c>
      <c r="AX63" s="113">
        <f>IF(OR(AND($F62&lt;=AX$3, $F63 &gt;= AX$3), AND($F63&lt;AX$3, WORKDAY($F63, 22,Holiday!$A$1:$A$30)&gt;AX$3)), 1, 0)+IF(AND((AX$3-$B$2)&gt;=0,(AX$3-$B$2)&lt;30), 2,0)</f>
        <v>0</v>
      </c>
      <c r="AY63" s="113">
        <f>IF(OR(AND($F62&lt;=AY$3, $F63 &gt;= AY$3), AND($F63&lt;AY$3, WORKDAY($F63, 22,Holiday!$A$1:$A$30)&gt;AY$3)), 1, 0)+IF(AND((AY$3-$B$2)&gt;=0,(AY$3-$B$2)&lt;30), 2,0)</f>
        <v>0</v>
      </c>
      <c r="AZ63" s="113">
        <f>IF(OR(AND($F62&lt;=AZ$3, $F63 &gt;= AZ$3), AND($F63&lt;AZ$3, WORKDAY($F63, 22,Holiday!$A$1:$A$30)&gt;AZ$3)), 1, 0)+IF(AND((AZ$3-$B$2)&gt;=0,(AZ$3-$B$2)&lt;30), 2,0)</f>
        <v>2</v>
      </c>
      <c r="BA63" s="113">
        <f>IF(OR(AND($F62&lt;=BA$3, $F63 &gt;= BA$3), AND($F63&lt;BA$3, WORKDAY($F63, 22,Holiday!$A$1:$A$30)&gt;BA$3)), 1, 0)+IF(AND((BA$3-$B$2)&gt;=0,(BA$3-$B$2)&lt;30), 2,0)</f>
        <v>0</v>
      </c>
      <c r="BB63" s="113">
        <f>IF(OR(AND($F62&lt;=BB$3, $F63 &gt;= BB$3), AND($F63&lt;BB$3, WORKDAY($F63, 22,Holiday!$A$1:$A$30)&gt;BB$3)), 1, 0)+IF(AND((BB$3-$B$2)&gt;=0,(BB$3-$B$2)&lt;30), 2,0)</f>
        <v>0</v>
      </c>
    </row>
    <row r="64" spans="2:54" ht="15" x14ac:dyDescent="0.2">
      <c r="B64" t="s">
        <v>144</v>
      </c>
      <c r="C64" s="112" t="s">
        <v>78</v>
      </c>
      <c r="D64" s="111">
        <v>6</v>
      </c>
      <c r="E64" s="86">
        <f t="shared" si="0"/>
        <v>9</v>
      </c>
      <c r="F64" s="122">
        <f>WORKDAY(F63,E64,Holiday!A60:A89)</f>
        <v>46895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0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0</v>
      </c>
      <c r="O64" s="113">
        <f>IF(OR(AND($F63&lt;=O$3, $F64 &gt;= O$3), AND($F64&lt;O$3, WORKDAY($F64, 22,Holiday!$A$1:$A$30)&gt;O$3)), 1, 0)+IF(AND((O$3-$B$2)&gt;=0,(O$3-$B$2)&lt;30), 2,0)</f>
        <v>0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0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1</v>
      </c>
      <c r="AI64" s="113">
        <f>IF(OR(AND($F63&lt;=AI$3, $F64 &gt;= AI$3), AND($F64&lt;AI$3, WORKDAY($F64, 22,Holiday!$A$1:$A$30)&gt;AI$3)), 1, 0)+IF(AND((AI$3-$B$2)&gt;=0,(AI$3-$B$2)&lt;30), 2,0)</f>
        <v>1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  <c r="AP64" s="113">
        <f>IF(OR(AND($F63&lt;=AP$3, $F64 &gt;= AP$3), AND($F64&lt;AP$3, WORKDAY($F64, 22,Holiday!$A$1:$A$30)&gt;AP$3)), 1, 0)+IF(AND((AP$3-$B$2)&gt;=0,(AP$3-$B$2)&lt;30), 2,0)</f>
        <v>0</v>
      </c>
      <c r="AQ64" s="113">
        <f>IF(OR(AND($F63&lt;=AQ$3, $F64 &gt;= AQ$3), AND($F64&lt;AQ$3, WORKDAY($F64, 22,Holiday!$A$1:$A$30)&gt;AQ$3)), 1, 0)+IF(AND((AQ$3-$B$2)&gt;=0,(AQ$3-$B$2)&lt;30), 2,0)</f>
        <v>0</v>
      </c>
      <c r="AR64" s="113">
        <f>IF(OR(AND($F63&lt;=AR$3, $F64 &gt;= AR$3), AND($F64&lt;AR$3, WORKDAY($F64, 22,Holiday!$A$1:$A$30)&gt;AR$3)), 1, 0)+IF(AND((AR$3-$B$2)&gt;=0,(AR$3-$B$2)&lt;30), 2,0)</f>
        <v>0</v>
      </c>
      <c r="AS64" s="113">
        <f>IF(OR(AND($F63&lt;=AS$3, $F64 &gt;= AS$3), AND($F64&lt;AS$3, WORKDAY($F64, 22,Holiday!$A$1:$A$30)&gt;AS$3)), 1, 0)+IF(AND((AS$3-$B$2)&gt;=0,(AS$3-$B$2)&lt;30), 2,0)</f>
        <v>0</v>
      </c>
      <c r="AT64" s="113">
        <f>IF(OR(AND($F63&lt;=AT$3, $F64 &gt;= AT$3), AND($F64&lt;AT$3, WORKDAY($F64, 22,Holiday!$A$1:$A$30)&gt;AT$3)), 1, 0)+IF(AND((AT$3-$B$2)&gt;=0,(AT$3-$B$2)&lt;30), 2,0)</f>
        <v>0</v>
      </c>
      <c r="AU64" s="113">
        <f>IF(OR(AND($F63&lt;=AU$3, $F64 &gt;= AU$3), AND($F64&lt;AU$3, WORKDAY($F64, 22,Holiday!$A$1:$A$30)&gt;AU$3)), 1, 0)+IF(AND((AU$3-$B$2)&gt;=0,(AU$3-$B$2)&lt;30), 2,0)</f>
        <v>0</v>
      </c>
      <c r="AV64" s="113">
        <f>IF(OR(AND($F63&lt;=AV$3, $F64 &gt;= AV$3), AND($F64&lt;AV$3, WORKDAY($F64, 22,Holiday!$A$1:$A$30)&gt;AV$3)), 1, 0)+IF(AND((AV$3-$B$2)&gt;=0,(AV$3-$B$2)&lt;30), 2,0)</f>
        <v>0</v>
      </c>
      <c r="AW64" s="113">
        <f>IF(OR(AND($F63&lt;=AW$3, $F64 &gt;= AW$3), AND($F64&lt;AW$3, WORKDAY($F64, 22,Holiday!$A$1:$A$30)&gt;AW$3)), 1, 0)+IF(AND((AW$3-$B$2)&gt;=0,(AW$3-$B$2)&lt;30), 2,0)</f>
        <v>0</v>
      </c>
      <c r="AX64" s="113">
        <f>IF(OR(AND($F63&lt;=AX$3, $F64 &gt;= AX$3), AND($F64&lt;AX$3, WORKDAY($F64, 22,Holiday!$A$1:$A$30)&gt;AX$3)), 1, 0)+IF(AND((AX$3-$B$2)&gt;=0,(AX$3-$B$2)&lt;30), 2,0)</f>
        <v>0</v>
      </c>
      <c r="AY64" s="113">
        <f>IF(OR(AND($F63&lt;=AY$3, $F64 &gt;= AY$3), AND($F64&lt;AY$3, WORKDAY($F64, 22,Holiday!$A$1:$A$30)&gt;AY$3)), 1, 0)+IF(AND((AY$3-$B$2)&gt;=0,(AY$3-$B$2)&lt;30), 2,0)</f>
        <v>0</v>
      </c>
      <c r="AZ64" s="113">
        <f>IF(OR(AND($F63&lt;=AZ$3, $F64 &gt;= AZ$3), AND($F64&lt;AZ$3, WORKDAY($F64, 22,Holiday!$A$1:$A$30)&gt;AZ$3)), 1, 0)+IF(AND((AZ$3-$B$2)&gt;=0,(AZ$3-$B$2)&lt;30), 2,0)</f>
        <v>2</v>
      </c>
      <c r="BA64" s="113">
        <f>IF(OR(AND($F63&lt;=BA$3, $F64 &gt;= BA$3), AND($F64&lt;BA$3, WORKDAY($F64, 22,Holiday!$A$1:$A$30)&gt;BA$3)), 1, 0)+IF(AND((BA$3-$B$2)&gt;=0,(BA$3-$B$2)&lt;30), 2,0)</f>
        <v>0</v>
      </c>
      <c r="BB64" s="113">
        <f>IF(OR(AND($F63&lt;=BB$3, $F64 &gt;= BB$3), AND($F64&lt;BB$3, WORKDAY($F64, 22,Holiday!$A$1:$A$30)&gt;BB$3)), 1, 0)+IF(AND((BB$3-$B$2)&gt;=0,(BB$3-$B$2)&lt;30), 2,0)</f>
        <v>0</v>
      </c>
    </row>
    <row r="65" spans="2:54" ht="15" x14ac:dyDescent="0.2">
      <c r="B65" t="s">
        <v>159</v>
      </c>
      <c r="C65" s="112" t="s">
        <v>78</v>
      </c>
      <c r="D65" s="111">
        <v>6</v>
      </c>
      <c r="E65" s="86">
        <f t="shared" si="0"/>
        <v>9</v>
      </c>
      <c r="F65" s="122">
        <f>WORKDAY(F64,E65,Holiday!A61:A90)</f>
        <v>46906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0</v>
      </c>
      <c r="M65" s="113">
        <f>IF(OR(AND($F64&lt;=M$3, $F65 &gt;= M$3), AND($F65&lt;M$3, WORKDAY($F65, 22,Holiday!$A$1:$A$30)&gt;M$3)), 1, 0)+IF(AND((M$3-$B$2)&gt;=0,(M$3-$B$2)&lt;30), 2,0)</f>
        <v>0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0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0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1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  <c r="AP65" s="113">
        <f>IF(OR(AND($F64&lt;=AP$3, $F65 &gt;= AP$3), AND($F65&lt;AP$3, WORKDAY($F65, 22,Holiday!$A$1:$A$30)&gt;AP$3)), 1, 0)+IF(AND((AP$3-$B$2)&gt;=0,(AP$3-$B$2)&lt;30), 2,0)</f>
        <v>0</v>
      </c>
      <c r="AQ65" s="113">
        <f>IF(OR(AND($F64&lt;=AQ$3, $F65 &gt;= AQ$3), AND($F65&lt;AQ$3, WORKDAY($F65, 22,Holiday!$A$1:$A$30)&gt;AQ$3)), 1, 0)+IF(AND((AQ$3-$B$2)&gt;=0,(AQ$3-$B$2)&lt;30), 2,0)</f>
        <v>0</v>
      </c>
      <c r="AR65" s="113">
        <f>IF(OR(AND($F64&lt;=AR$3, $F65 &gt;= AR$3), AND($F65&lt;AR$3, WORKDAY($F65, 22,Holiday!$A$1:$A$30)&gt;AR$3)), 1, 0)+IF(AND((AR$3-$B$2)&gt;=0,(AR$3-$B$2)&lt;30), 2,0)</f>
        <v>0</v>
      </c>
      <c r="AS65" s="113">
        <f>IF(OR(AND($F64&lt;=AS$3, $F65 &gt;= AS$3), AND($F65&lt;AS$3, WORKDAY($F65, 22,Holiday!$A$1:$A$30)&gt;AS$3)), 1, 0)+IF(AND((AS$3-$B$2)&gt;=0,(AS$3-$B$2)&lt;30), 2,0)</f>
        <v>0</v>
      </c>
      <c r="AT65" s="113">
        <f>IF(OR(AND($F64&lt;=AT$3, $F65 &gt;= AT$3), AND($F65&lt;AT$3, WORKDAY($F65, 22,Holiday!$A$1:$A$30)&gt;AT$3)), 1, 0)+IF(AND((AT$3-$B$2)&gt;=0,(AT$3-$B$2)&lt;30), 2,0)</f>
        <v>0</v>
      </c>
      <c r="AU65" s="113">
        <f>IF(OR(AND($F64&lt;=AU$3, $F65 &gt;= AU$3), AND($F65&lt;AU$3, WORKDAY($F65, 22,Holiday!$A$1:$A$30)&gt;AU$3)), 1, 0)+IF(AND((AU$3-$B$2)&gt;=0,(AU$3-$B$2)&lt;30), 2,0)</f>
        <v>0</v>
      </c>
      <c r="AV65" s="113">
        <f>IF(OR(AND($F64&lt;=AV$3, $F65 &gt;= AV$3), AND($F65&lt;AV$3, WORKDAY($F65, 22,Holiday!$A$1:$A$30)&gt;AV$3)), 1, 0)+IF(AND((AV$3-$B$2)&gt;=0,(AV$3-$B$2)&lt;30), 2,0)</f>
        <v>0</v>
      </c>
      <c r="AW65" s="113">
        <f>IF(OR(AND($F64&lt;=AW$3, $F65 &gt;= AW$3), AND($F65&lt;AW$3, WORKDAY($F65, 22,Holiday!$A$1:$A$30)&gt;AW$3)), 1, 0)+IF(AND((AW$3-$B$2)&gt;=0,(AW$3-$B$2)&lt;30), 2,0)</f>
        <v>0</v>
      </c>
      <c r="AX65" s="113">
        <f>IF(OR(AND($F64&lt;=AX$3, $F65 &gt;= AX$3), AND($F65&lt;AX$3, WORKDAY($F65, 22,Holiday!$A$1:$A$30)&gt;AX$3)), 1, 0)+IF(AND((AX$3-$B$2)&gt;=0,(AX$3-$B$2)&lt;30), 2,0)</f>
        <v>0</v>
      </c>
      <c r="AY65" s="113">
        <f>IF(OR(AND($F64&lt;=AY$3, $F65 &gt;= AY$3), AND($F65&lt;AY$3, WORKDAY($F65, 22,Holiday!$A$1:$A$30)&gt;AY$3)), 1, 0)+IF(AND((AY$3-$B$2)&gt;=0,(AY$3-$B$2)&lt;30), 2,0)</f>
        <v>0</v>
      </c>
      <c r="AZ65" s="113">
        <f>IF(OR(AND($F64&lt;=AZ$3, $F65 &gt;= AZ$3), AND($F65&lt;AZ$3, WORKDAY($F65, 22,Holiday!$A$1:$A$30)&gt;AZ$3)), 1, 0)+IF(AND((AZ$3-$B$2)&gt;=0,(AZ$3-$B$2)&lt;30), 2,0)</f>
        <v>2</v>
      </c>
      <c r="BA65" s="113">
        <f>IF(OR(AND($F64&lt;=BA$3, $F65 &gt;= BA$3), AND($F65&lt;BA$3, WORKDAY($F65, 22,Holiday!$A$1:$A$30)&gt;BA$3)), 1, 0)+IF(AND((BA$3-$B$2)&gt;=0,(BA$3-$B$2)&lt;30), 2,0)</f>
        <v>0</v>
      </c>
      <c r="BB65" s="113">
        <f>IF(OR(AND($F64&lt;=BB$3, $F65 &gt;= BB$3), AND($F65&lt;BB$3, WORKDAY($F65, 22,Holiday!$A$1:$A$30)&gt;BB$3)), 1, 0)+IF(AND((BB$3-$B$2)&gt;=0,(BB$3-$B$2)&lt;30), 2,0)</f>
        <v>0</v>
      </c>
    </row>
    <row r="66" spans="2:54" ht="15" x14ac:dyDescent="0.2">
      <c r="B66" t="s">
        <v>156</v>
      </c>
      <c r="C66" s="112" t="s">
        <v>78</v>
      </c>
      <c r="D66" s="111">
        <v>6</v>
      </c>
      <c r="E66" s="86">
        <f t="shared" si="0"/>
        <v>9</v>
      </c>
      <c r="F66" s="122">
        <f>WORKDAY(F65,E66,Holiday!A62:A91)</f>
        <v>46919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0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0</v>
      </c>
      <c r="P66" s="113">
        <f>IF(OR(AND($F65&lt;=P$3, $F66 &gt;= P$3), AND($F66&lt;P$3, WORKDAY($F66, 22,Holiday!$A$1:$A$30)&gt;P$3)), 1, 0)+IF(AND((P$3-$B$2)&gt;=0,(P$3-$B$2)&lt;30), 2,0)</f>
        <v>0</v>
      </c>
      <c r="Q66" s="113">
        <f>IF(OR(AND($F65&lt;=Q$3, $F66 &gt;= Q$3), AND($F66&lt;Q$3, WORKDAY($F66, 22,Holiday!$A$1:$A$30)&gt;Q$3)), 1, 0)+IF(AND((Q$3-$B$2)&gt;=0,(Q$3-$B$2)&lt;30), 2,0)</f>
        <v>0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1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  <c r="AP66" s="113">
        <f>IF(OR(AND($F65&lt;=AP$3, $F66 &gt;= AP$3), AND($F66&lt;AP$3, WORKDAY($F66, 22,Holiday!$A$1:$A$30)&gt;AP$3)), 1, 0)+IF(AND((AP$3-$B$2)&gt;=0,(AP$3-$B$2)&lt;30), 2,0)</f>
        <v>0</v>
      </c>
      <c r="AQ66" s="113">
        <f>IF(OR(AND($F65&lt;=AQ$3, $F66 &gt;= AQ$3), AND($F66&lt;AQ$3, WORKDAY($F66, 22,Holiday!$A$1:$A$30)&gt;AQ$3)), 1, 0)+IF(AND((AQ$3-$B$2)&gt;=0,(AQ$3-$B$2)&lt;30), 2,0)</f>
        <v>0</v>
      </c>
      <c r="AR66" s="113">
        <f>IF(OR(AND($F65&lt;=AR$3, $F66 &gt;= AR$3), AND($F66&lt;AR$3, WORKDAY($F66, 22,Holiday!$A$1:$A$30)&gt;AR$3)), 1, 0)+IF(AND((AR$3-$B$2)&gt;=0,(AR$3-$B$2)&lt;30), 2,0)</f>
        <v>0</v>
      </c>
      <c r="AS66" s="113">
        <f>IF(OR(AND($F65&lt;=AS$3, $F66 &gt;= AS$3), AND($F66&lt;AS$3, WORKDAY($F66, 22,Holiday!$A$1:$A$30)&gt;AS$3)), 1, 0)+IF(AND((AS$3-$B$2)&gt;=0,(AS$3-$B$2)&lt;30), 2,0)</f>
        <v>0</v>
      </c>
      <c r="AT66" s="113">
        <f>IF(OR(AND($F65&lt;=AT$3, $F66 &gt;= AT$3), AND($F66&lt;AT$3, WORKDAY($F66, 22,Holiday!$A$1:$A$30)&gt;AT$3)), 1, 0)+IF(AND((AT$3-$B$2)&gt;=0,(AT$3-$B$2)&lt;30), 2,0)</f>
        <v>0</v>
      </c>
      <c r="AU66" s="113">
        <f>IF(OR(AND($F65&lt;=AU$3, $F66 &gt;= AU$3), AND($F66&lt;AU$3, WORKDAY($F66, 22,Holiday!$A$1:$A$30)&gt;AU$3)), 1, 0)+IF(AND((AU$3-$B$2)&gt;=0,(AU$3-$B$2)&lt;30), 2,0)</f>
        <v>0</v>
      </c>
      <c r="AV66" s="113">
        <f>IF(OR(AND($F65&lt;=AV$3, $F66 &gt;= AV$3), AND($F66&lt;AV$3, WORKDAY($F66, 22,Holiday!$A$1:$A$30)&gt;AV$3)), 1, 0)+IF(AND((AV$3-$B$2)&gt;=0,(AV$3-$B$2)&lt;30), 2,0)</f>
        <v>0</v>
      </c>
      <c r="AW66" s="113">
        <f>IF(OR(AND($F65&lt;=AW$3, $F66 &gt;= AW$3), AND($F66&lt;AW$3, WORKDAY($F66, 22,Holiday!$A$1:$A$30)&gt;AW$3)), 1, 0)+IF(AND((AW$3-$B$2)&gt;=0,(AW$3-$B$2)&lt;30), 2,0)</f>
        <v>0</v>
      </c>
      <c r="AX66" s="113">
        <f>IF(OR(AND($F65&lt;=AX$3, $F66 &gt;= AX$3), AND($F66&lt;AX$3, WORKDAY($F66, 22,Holiday!$A$1:$A$30)&gt;AX$3)), 1, 0)+IF(AND((AX$3-$B$2)&gt;=0,(AX$3-$B$2)&lt;30), 2,0)</f>
        <v>0</v>
      </c>
      <c r="AY66" s="113">
        <f>IF(OR(AND($F65&lt;=AY$3, $F66 &gt;= AY$3), AND($F66&lt;AY$3, WORKDAY($F66, 22,Holiday!$A$1:$A$30)&gt;AY$3)), 1, 0)+IF(AND((AY$3-$B$2)&gt;=0,(AY$3-$B$2)&lt;30), 2,0)</f>
        <v>0</v>
      </c>
      <c r="AZ66" s="113">
        <f>IF(OR(AND($F65&lt;=AZ$3, $F66 &gt;= AZ$3), AND($F66&lt;AZ$3, WORKDAY($F66, 22,Holiday!$A$1:$A$30)&gt;AZ$3)), 1, 0)+IF(AND((AZ$3-$B$2)&gt;=0,(AZ$3-$B$2)&lt;30), 2,0)</f>
        <v>2</v>
      </c>
      <c r="BA66" s="113">
        <f>IF(OR(AND($F65&lt;=BA$3, $F66 &gt;= BA$3), AND($F66&lt;BA$3, WORKDAY($F66, 22,Holiday!$A$1:$A$30)&gt;BA$3)), 1, 0)+IF(AND((BA$3-$B$2)&gt;=0,(BA$3-$B$2)&lt;30), 2,0)</f>
        <v>0</v>
      </c>
      <c r="BB66" s="113">
        <f>IF(OR(AND($F65&lt;=BB$3, $F66 &gt;= BB$3), AND($F66&lt;BB$3, WORKDAY($F66, 22,Holiday!$A$1:$A$30)&gt;BB$3)), 1, 0)+IF(AND((BB$3-$B$2)&gt;=0,(BB$3-$B$2)&lt;30), 2,0)</f>
        <v>0</v>
      </c>
    </row>
    <row r="67" spans="2:54" ht="15" x14ac:dyDescent="0.2">
      <c r="B67" t="s">
        <v>179</v>
      </c>
      <c r="C67" s="112" t="s">
        <v>78</v>
      </c>
      <c r="D67" s="111">
        <v>6</v>
      </c>
      <c r="E67" s="86">
        <f t="shared" si="0"/>
        <v>9</v>
      </c>
      <c r="F67" s="122">
        <f>WORKDAY(F66,E67,Holiday!A63:A92)</f>
        <v>46932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0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0</v>
      </c>
      <c r="Q67" s="113">
        <f>IF(OR(AND($F66&lt;=Q$3, $F67 &gt;= Q$3), AND($F67&lt;Q$3, WORKDAY($F67, 22,Holiday!$A$1:$A$30)&gt;Q$3)), 1, 0)+IF(AND((Q$3-$B$2)&gt;=0,(Q$3-$B$2)&lt;30), 2,0)</f>
        <v>0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1</v>
      </c>
      <c r="AJ67" s="113">
        <f>IF(OR(AND($F66&lt;=AJ$3, $F67 &gt;= AJ$3), AND($F67&lt;AJ$3, WORKDAY($F67, 22,Holiday!$A$1:$A$30)&gt;AJ$3)), 1, 0)+IF(AND((AJ$3-$B$2)&gt;=0,(AJ$3-$B$2)&lt;30), 2,0)</f>
        <v>1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  <c r="AP67" s="113">
        <f>IF(OR(AND($F66&lt;=AP$3, $F67 &gt;= AP$3), AND($F67&lt;AP$3, WORKDAY($F67, 22,Holiday!$A$1:$A$30)&gt;AP$3)), 1, 0)+IF(AND((AP$3-$B$2)&gt;=0,(AP$3-$B$2)&lt;30), 2,0)</f>
        <v>0</v>
      </c>
      <c r="AQ67" s="113">
        <f>IF(OR(AND($F66&lt;=AQ$3, $F67 &gt;= AQ$3), AND($F67&lt;AQ$3, WORKDAY($F67, 22,Holiday!$A$1:$A$30)&gt;AQ$3)), 1, 0)+IF(AND((AQ$3-$B$2)&gt;=0,(AQ$3-$B$2)&lt;30), 2,0)</f>
        <v>0</v>
      </c>
      <c r="AR67" s="113">
        <f>IF(OR(AND($F66&lt;=AR$3, $F67 &gt;= AR$3), AND($F67&lt;AR$3, WORKDAY($F67, 22,Holiday!$A$1:$A$30)&gt;AR$3)), 1, 0)+IF(AND((AR$3-$B$2)&gt;=0,(AR$3-$B$2)&lt;30), 2,0)</f>
        <v>0</v>
      </c>
      <c r="AS67" s="113">
        <f>IF(OR(AND($F66&lt;=AS$3, $F67 &gt;= AS$3), AND($F67&lt;AS$3, WORKDAY($F67, 22,Holiday!$A$1:$A$30)&gt;AS$3)), 1, 0)+IF(AND((AS$3-$B$2)&gt;=0,(AS$3-$B$2)&lt;30), 2,0)</f>
        <v>0</v>
      </c>
      <c r="AT67" s="113">
        <f>IF(OR(AND($F66&lt;=AT$3, $F67 &gt;= AT$3), AND($F67&lt;AT$3, WORKDAY($F67, 22,Holiday!$A$1:$A$30)&gt;AT$3)), 1, 0)+IF(AND((AT$3-$B$2)&gt;=0,(AT$3-$B$2)&lt;30), 2,0)</f>
        <v>0</v>
      </c>
      <c r="AU67" s="113">
        <f>IF(OR(AND($F66&lt;=AU$3, $F67 &gt;= AU$3), AND($F67&lt;AU$3, WORKDAY($F67, 22,Holiday!$A$1:$A$30)&gt;AU$3)), 1, 0)+IF(AND((AU$3-$B$2)&gt;=0,(AU$3-$B$2)&lt;30), 2,0)</f>
        <v>0</v>
      </c>
      <c r="AV67" s="113">
        <f>IF(OR(AND($F66&lt;=AV$3, $F67 &gt;= AV$3), AND($F67&lt;AV$3, WORKDAY($F67, 22,Holiday!$A$1:$A$30)&gt;AV$3)), 1, 0)+IF(AND((AV$3-$B$2)&gt;=0,(AV$3-$B$2)&lt;30), 2,0)</f>
        <v>0</v>
      </c>
      <c r="AW67" s="113">
        <f>IF(OR(AND($F66&lt;=AW$3, $F67 &gt;= AW$3), AND($F67&lt;AW$3, WORKDAY($F67, 22,Holiday!$A$1:$A$30)&gt;AW$3)), 1, 0)+IF(AND((AW$3-$B$2)&gt;=0,(AW$3-$B$2)&lt;30), 2,0)</f>
        <v>0</v>
      </c>
      <c r="AX67" s="113">
        <f>IF(OR(AND($F66&lt;=AX$3, $F67 &gt;= AX$3), AND($F67&lt;AX$3, WORKDAY($F67, 22,Holiday!$A$1:$A$30)&gt;AX$3)), 1, 0)+IF(AND((AX$3-$B$2)&gt;=0,(AX$3-$B$2)&lt;30), 2,0)</f>
        <v>0</v>
      </c>
      <c r="AY67" s="113">
        <f>IF(OR(AND($F66&lt;=AY$3, $F67 &gt;= AY$3), AND($F67&lt;AY$3, WORKDAY($F67, 22,Holiday!$A$1:$A$30)&gt;AY$3)), 1, 0)+IF(AND((AY$3-$B$2)&gt;=0,(AY$3-$B$2)&lt;30), 2,0)</f>
        <v>0</v>
      </c>
      <c r="AZ67" s="113">
        <f>IF(OR(AND($F66&lt;=AZ$3, $F67 &gt;= AZ$3), AND($F67&lt;AZ$3, WORKDAY($F67, 22,Holiday!$A$1:$A$30)&gt;AZ$3)), 1, 0)+IF(AND((AZ$3-$B$2)&gt;=0,(AZ$3-$B$2)&lt;30), 2,0)</f>
        <v>2</v>
      </c>
      <c r="BA67" s="113">
        <f>IF(OR(AND($F66&lt;=BA$3, $F67 &gt;= BA$3), AND($F67&lt;BA$3, WORKDAY($F67, 22,Holiday!$A$1:$A$30)&gt;BA$3)), 1, 0)+IF(AND((BA$3-$B$2)&gt;=0,(BA$3-$B$2)&lt;30), 2,0)</f>
        <v>0</v>
      </c>
      <c r="BB67" s="113">
        <f>IF(OR(AND($F66&lt;=BB$3, $F67 &gt;= BB$3), AND($F67&lt;BB$3, WORKDAY($F67, 22,Holiday!$A$1:$A$30)&gt;BB$3)), 1, 0)+IF(AND((BB$3-$B$2)&gt;=0,(BB$3-$B$2)&lt;30), 2,0)</f>
        <v>0</v>
      </c>
    </row>
    <row r="68" spans="2:54" ht="15" x14ac:dyDescent="0.2">
      <c r="B68" t="s">
        <v>202</v>
      </c>
      <c r="C68" s="112" t="s">
        <v>78</v>
      </c>
      <c r="D68" s="111">
        <v>6</v>
      </c>
      <c r="E68" s="86">
        <f t="shared" si="0"/>
        <v>9</v>
      </c>
      <c r="F68" s="122">
        <f>WORKDAY(F67,E68,Holiday!A64:A93)</f>
        <v>46945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0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0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1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  <c r="AP68" s="113">
        <f>IF(OR(AND($F67&lt;=AP$3, $F68 &gt;= AP$3), AND($F68&lt;AP$3, WORKDAY($F68, 22,Holiday!$A$1:$A$30)&gt;AP$3)), 1, 0)+IF(AND((AP$3-$B$2)&gt;=0,(AP$3-$B$2)&lt;30), 2,0)</f>
        <v>0</v>
      </c>
      <c r="AQ68" s="113">
        <f>IF(OR(AND($F67&lt;=AQ$3, $F68 &gt;= AQ$3), AND($F68&lt;AQ$3, WORKDAY($F68, 22,Holiday!$A$1:$A$30)&gt;AQ$3)), 1, 0)+IF(AND((AQ$3-$B$2)&gt;=0,(AQ$3-$B$2)&lt;30), 2,0)</f>
        <v>0</v>
      </c>
      <c r="AR68" s="113">
        <f>IF(OR(AND($F67&lt;=AR$3, $F68 &gt;= AR$3), AND($F68&lt;AR$3, WORKDAY($F68, 22,Holiday!$A$1:$A$30)&gt;AR$3)), 1, 0)+IF(AND((AR$3-$B$2)&gt;=0,(AR$3-$B$2)&lt;30), 2,0)</f>
        <v>0</v>
      </c>
      <c r="AS68" s="113">
        <f>IF(OR(AND($F67&lt;=AS$3, $F68 &gt;= AS$3), AND($F68&lt;AS$3, WORKDAY($F68, 22,Holiday!$A$1:$A$30)&gt;AS$3)), 1, 0)+IF(AND((AS$3-$B$2)&gt;=0,(AS$3-$B$2)&lt;30), 2,0)</f>
        <v>0</v>
      </c>
      <c r="AT68" s="113">
        <f>IF(OR(AND($F67&lt;=AT$3, $F68 &gt;= AT$3), AND($F68&lt;AT$3, WORKDAY($F68, 22,Holiday!$A$1:$A$30)&gt;AT$3)), 1, 0)+IF(AND((AT$3-$B$2)&gt;=0,(AT$3-$B$2)&lt;30), 2,0)</f>
        <v>0</v>
      </c>
      <c r="AU68" s="113">
        <f>IF(OR(AND($F67&lt;=AU$3, $F68 &gt;= AU$3), AND($F68&lt;AU$3, WORKDAY($F68, 22,Holiday!$A$1:$A$30)&gt;AU$3)), 1, 0)+IF(AND((AU$3-$B$2)&gt;=0,(AU$3-$B$2)&lt;30), 2,0)</f>
        <v>0</v>
      </c>
      <c r="AV68" s="113">
        <f>IF(OR(AND($F67&lt;=AV$3, $F68 &gt;= AV$3), AND($F68&lt;AV$3, WORKDAY($F68, 22,Holiday!$A$1:$A$30)&gt;AV$3)), 1, 0)+IF(AND((AV$3-$B$2)&gt;=0,(AV$3-$B$2)&lt;30), 2,0)</f>
        <v>0</v>
      </c>
      <c r="AW68" s="113">
        <f>IF(OR(AND($F67&lt;=AW$3, $F68 &gt;= AW$3), AND($F68&lt;AW$3, WORKDAY($F68, 22,Holiday!$A$1:$A$30)&gt;AW$3)), 1, 0)+IF(AND((AW$3-$B$2)&gt;=0,(AW$3-$B$2)&lt;30), 2,0)</f>
        <v>0</v>
      </c>
      <c r="AX68" s="113">
        <f>IF(OR(AND($F67&lt;=AX$3, $F68 &gt;= AX$3), AND($F68&lt;AX$3, WORKDAY($F68, 22,Holiday!$A$1:$A$30)&gt;AX$3)), 1, 0)+IF(AND((AX$3-$B$2)&gt;=0,(AX$3-$B$2)&lt;30), 2,0)</f>
        <v>0</v>
      </c>
      <c r="AY68" s="113">
        <f>IF(OR(AND($F67&lt;=AY$3, $F68 &gt;= AY$3), AND($F68&lt;AY$3, WORKDAY($F68, 22,Holiday!$A$1:$A$30)&gt;AY$3)), 1, 0)+IF(AND((AY$3-$B$2)&gt;=0,(AY$3-$B$2)&lt;30), 2,0)</f>
        <v>0</v>
      </c>
      <c r="AZ68" s="113">
        <f>IF(OR(AND($F67&lt;=AZ$3, $F68 &gt;= AZ$3), AND($F68&lt;AZ$3, WORKDAY($F68, 22,Holiday!$A$1:$A$30)&gt;AZ$3)), 1, 0)+IF(AND((AZ$3-$B$2)&gt;=0,(AZ$3-$B$2)&lt;30), 2,0)</f>
        <v>2</v>
      </c>
      <c r="BA68" s="113">
        <f>IF(OR(AND($F67&lt;=BA$3, $F68 &gt;= BA$3), AND($F68&lt;BA$3, WORKDAY($F68, 22,Holiday!$A$1:$A$30)&gt;BA$3)), 1, 0)+IF(AND((BA$3-$B$2)&gt;=0,(BA$3-$B$2)&lt;30), 2,0)</f>
        <v>0</v>
      </c>
      <c r="BB68" s="113">
        <f>IF(OR(AND($F67&lt;=BB$3, $F68 &gt;= BB$3), AND($F68&lt;BB$3, WORKDAY($F68, 22,Holiday!$A$1:$A$30)&gt;BB$3)), 1, 0)+IF(AND((BB$3-$B$2)&gt;=0,(BB$3-$B$2)&lt;30), 2,0)</f>
        <v>0</v>
      </c>
    </row>
    <row r="69" spans="2:54" ht="15" x14ac:dyDescent="0.2">
      <c r="B69" t="s">
        <v>180</v>
      </c>
      <c r="C69" s="112" t="s">
        <v>78</v>
      </c>
      <c r="D69" s="111">
        <v>6</v>
      </c>
      <c r="E69" s="86">
        <f t="shared" si="0"/>
        <v>9</v>
      </c>
      <c r="F69" s="122">
        <f>WORKDAY(F68,E69,Holiday!A65:A94)</f>
        <v>46958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0</v>
      </c>
      <c r="O69" s="113">
        <f>IF(OR(AND($F68&lt;=O$3, $F69 &gt;= O$3), AND($F69&lt;O$3, WORKDAY($F69, 22,Holiday!$A$1:$A$30)&gt;O$3)), 1, 0)+IF(AND((O$3-$B$2)&gt;=0,(O$3-$B$2)&lt;30), 2,0)</f>
        <v>0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0</v>
      </c>
      <c r="R69" s="113">
        <f>IF(OR(AND($F68&lt;=R$3, $F69 &gt;= R$3), AND($F69&lt;R$3, WORKDAY($F69, 22,Holiday!$A$1:$A$30)&gt;R$3)), 1, 0)+IF(AND((R$3-$B$2)&gt;=0,(R$3-$B$2)&lt;30), 2,0)</f>
        <v>0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1</v>
      </c>
      <c r="AK69" s="113">
        <f>IF(OR(AND($F68&lt;=AK$3, $F69 &gt;= AK$3), AND($F69&lt;AK$3, WORKDAY($F69, 22,Holiday!$A$1:$A$30)&gt;AK$3)), 1, 0)+IF(AND((AK$3-$B$2)&gt;=0,(AK$3-$B$2)&lt;30), 2,0)</f>
        <v>1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  <c r="AP69" s="113">
        <f>IF(OR(AND($F68&lt;=AP$3, $F69 &gt;= AP$3), AND($F69&lt;AP$3, WORKDAY($F69, 22,Holiday!$A$1:$A$30)&gt;AP$3)), 1, 0)+IF(AND((AP$3-$B$2)&gt;=0,(AP$3-$B$2)&lt;30), 2,0)</f>
        <v>0</v>
      </c>
      <c r="AQ69" s="113">
        <f>IF(OR(AND($F68&lt;=AQ$3, $F69 &gt;= AQ$3), AND($F69&lt;AQ$3, WORKDAY($F69, 22,Holiday!$A$1:$A$30)&gt;AQ$3)), 1, 0)+IF(AND((AQ$3-$B$2)&gt;=0,(AQ$3-$B$2)&lt;30), 2,0)</f>
        <v>0</v>
      </c>
      <c r="AR69" s="113">
        <f>IF(OR(AND($F68&lt;=AR$3, $F69 &gt;= AR$3), AND($F69&lt;AR$3, WORKDAY($F69, 22,Holiday!$A$1:$A$30)&gt;AR$3)), 1, 0)+IF(AND((AR$3-$B$2)&gt;=0,(AR$3-$B$2)&lt;30), 2,0)</f>
        <v>0</v>
      </c>
      <c r="AS69" s="113">
        <f>IF(OR(AND($F68&lt;=AS$3, $F69 &gt;= AS$3), AND($F69&lt;AS$3, WORKDAY($F69, 22,Holiday!$A$1:$A$30)&gt;AS$3)), 1, 0)+IF(AND((AS$3-$B$2)&gt;=0,(AS$3-$B$2)&lt;30), 2,0)</f>
        <v>0</v>
      </c>
      <c r="AT69" s="113">
        <f>IF(OR(AND($F68&lt;=AT$3, $F69 &gt;= AT$3), AND($F69&lt;AT$3, WORKDAY($F69, 22,Holiday!$A$1:$A$30)&gt;AT$3)), 1, 0)+IF(AND((AT$3-$B$2)&gt;=0,(AT$3-$B$2)&lt;30), 2,0)</f>
        <v>0</v>
      </c>
      <c r="AU69" s="113">
        <f>IF(OR(AND($F68&lt;=AU$3, $F69 &gt;= AU$3), AND($F69&lt;AU$3, WORKDAY($F69, 22,Holiday!$A$1:$A$30)&gt;AU$3)), 1, 0)+IF(AND((AU$3-$B$2)&gt;=0,(AU$3-$B$2)&lt;30), 2,0)</f>
        <v>0</v>
      </c>
      <c r="AV69" s="113">
        <f>IF(OR(AND($F68&lt;=AV$3, $F69 &gt;= AV$3), AND($F69&lt;AV$3, WORKDAY($F69, 22,Holiday!$A$1:$A$30)&gt;AV$3)), 1, 0)+IF(AND((AV$3-$B$2)&gt;=0,(AV$3-$B$2)&lt;30), 2,0)</f>
        <v>0</v>
      </c>
      <c r="AW69" s="113">
        <f>IF(OR(AND($F68&lt;=AW$3, $F69 &gt;= AW$3), AND($F69&lt;AW$3, WORKDAY($F69, 22,Holiday!$A$1:$A$30)&gt;AW$3)), 1, 0)+IF(AND((AW$3-$B$2)&gt;=0,(AW$3-$B$2)&lt;30), 2,0)</f>
        <v>0</v>
      </c>
      <c r="AX69" s="113">
        <f>IF(OR(AND($F68&lt;=AX$3, $F69 &gt;= AX$3), AND($F69&lt;AX$3, WORKDAY($F69, 22,Holiday!$A$1:$A$30)&gt;AX$3)), 1, 0)+IF(AND((AX$3-$B$2)&gt;=0,(AX$3-$B$2)&lt;30), 2,0)</f>
        <v>0</v>
      </c>
      <c r="AY69" s="113">
        <f>IF(OR(AND($F68&lt;=AY$3, $F69 &gt;= AY$3), AND($F69&lt;AY$3, WORKDAY($F69, 22,Holiday!$A$1:$A$30)&gt;AY$3)), 1, 0)+IF(AND((AY$3-$B$2)&gt;=0,(AY$3-$B$2)&lt;30), 2,0)</f>
        <v>0</v>
      </c>
      <c r="AZ69" s="113">
        <f>IF(OR(AND($F68&lt;=AZ$3, $F69 &gt;= AZ$3), AND($F69&lt;AZ$3, WORKDAY($F69, 22,Holiday!$A$1:$A$30)&gt;AZ$3)), 1, 0)+IF(AND((AZ$3-$B$2)&gt;=0,(AZ$3-$B$2)&lt;30), 2,0)</f>
        <v>2</v>
      </c>
      <c r="BA69" s="113">
        <f>IF(OR(AND($F68&lt;=BA$3, $F69 &gt;= BA$3), AND($F69&lt;BA$3, WORKDAY($F69, 22,Holiday!$A$1:$A$30)&gt;BA$3)), 1, 0)+IF(AND((BA$3-$B$2)&gt;=0,(BA$3-$B$2)&lt;30), 2,0)</f>
        <v>0</v>
      </c>
      <c r="BB69" s="113">
        <f>IF(OR(AND($F68&lt;=BB$3, $F69 &gt;= BB$3), AND($F69&lt;BB$3, WORKDAY($F69, 22,Holiday!$A$1:$A$30)&gt;BB$3)), 1, 0)+IF(AND((BB$3-$B$2)&gt;=0,(BB$3-$B$2)&lt;30), 2,0)</f>
        <v>0</v>
      </c>
    </row>
    <row r="70" spans="2:54" ht="15" x14ac:dyDescent="0.2">
      <c r="B70" t="s">
        <v>175</v>
      </c>
      <c r="C70" s="112" t="s">
        <v>78</v>
      </c>
      <c r="D70" s="111">
        <v>6</v>
      </c>
      <c r="E70" s="86">
        <f t="shared" ref="E70:E103" si="1">ROUNDUP(D70*(1+$D$2),0)</f>
        <v>9</v>
      </c>
      <c r="F70" s="122">
        <f>WORKDAY(F69,E70,Holiday!A66:A95)</f>
        <v>46969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0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0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0</v>
      </c>
      <c r="R70" s="113">
        <f>IF(OR(AND($F69&lt;=R$3, $F70 &gt;= R$3), AND($F70&lt;R$3, WORKDAY($F70, 22,Holiday!$A$1:$A$30)&gt;R$3)), 1, 0)+IF(AND((R$3-$B$2)&gt;=0,(R$3-$B$2)&lt;30), 2,0)</f>
        <v>0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1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  <c r="AP70" s="113">
        <f>IF(OR(AND($F69&lt;=AP$3, $F70 &gt;= AP$3), AND($F70&lt;AP$3, WORKDAY($F70, 22,Holiday!$A$1:$A$30)&gt;AP$3)), 1, 0)+IF(AND((AP$3-$B$2)&gt;=0,(AP$3-$B$2)&lt;30), 2,0)</f>
        <v>0</v>
      </c>
      <c r="AQ70" s="113">
        <f>IF(OR(AND($F69&lt;=AQ$3, $F70 &gt;= AQ$3), AND($F70&lt;AQ$3, WORKDAY($F70, 22,Holiday!$A$1:$A$30)&gt;AQ$3)), 1, 0)+IF(AND((AQ$3-$B$2)&gt;=0,(AQ$3-$B$2)&lt;30), 2,0)</f>
        <v>0</v>
      </c>
      <c r="AR70" s="113">
        <f>IF(OR(AND($F69&lt;=AR$3, $F70 &gt;= AR$3), AND($F70&lt;AR$3, WORKDAY($F70, 22,Holiday!$A$1:$A$30)&gt;AR$3)), 1, 0)+IF(AND((AR$3-$B$2)&gt;=0,(AR$3-$B$2)&lt;30), 2,0)</f>
        <v>0</v>
      </c>
      <c r="AS70" s="113">
        <f>IF(OR(AND($F69&lt;=AS$3, $F70 &gt;= AS$3), AND($F70&lt;AS$3, WORKDAY($F70, 22,Holiday!$A$1:$A$30)&gt;AS$3)), 1, 0)+IF(AND((AS$3-$B$2)&gt;=0,(AS$3-$B$2)&lt;30), 2,0)</f>
        <v>0</v>
      </c>
      <c r="AT70" s="113">
        <f>IF(OR(AND($F69&lt;=AT$3, $F70 &gt;= AT$3), AND($F70&lt;AT$3, WORKDAY($F70, 22,Holiday!$A$1:$A$30)&gt;AT$3)), 1, 0)+IF(AND((AT$3-$B$2)&gt;=0,(AT$3-$B$2)&lt;30), 2,0)</f>
        <v>0</v>
      </c>
      <c r="AU70" s="113">
        <f>IF(OR(AND($F69&lt;=AU$3, $F70 &gt;= AU$3), AND($F70&lt;AU$3, WORKDAY($F70, 22,Holiday!$A$1:$A$30)&gt;AU$3)), 1, 0)+IF(AND((AU$3-$B$2)&gt;=0,(AU$3-$B$2)&lt;30), 2,0)</f>
        <v>0</v>
      </c>
      <c r="AV70" s="113">
        <f>IF(OR(AND($F69&lt;=AV$3, $F70 &gt;= AV$3), AND($F70&lt;AV$3, WORKDAY($F70, 22,Holiday!$A$1:$A$30)&gt;AV$3)), 1, 0)+IF(AND((AV$3-$B$2)&gt;=0,(AV$3-$B$2)&lt;30), 2,0)</f>
        <v>0</v>
      </c>
      <c r="AW70" s="113">
        <f>IF(OR(AND($F69&lt;=AW$3, $F70 &gt;= AW$3), AND($F70&lt;AW$3, WORKDAY($F70, 22,Holiday!$A$1:$A$30)&gt;AW$3)), 1, 0)+IF(AND((AW$3-$B$2)&gt;=0,(AW$3-$B$2)&lt;30), 2,0)</f>
        <v>0</v>
      </c>
      <c r="AX70" s="113">
        <f>IF(OR(AND($F69&lt;=AX$3, $F70 &gt;= AX$3), AND($F70&lt;AX$3, WORKDAY($F70, 22,Holiday!$A$1:$A$30)&gt;AX$3)), 1, 0)+IF(AND((AX$3-$B$2)&gt;=0,(AX$3-$B$2)&lt;30), 2,0)</f>
        <v>0</v>
      </c>
      <c r="AY70" s="113">
        <f>IF(OR(AND($F69&lt;=AY$3, $F70 &gt;= AY$3), AND($F70&lt;AY$3, WORKDAY($F70, 22,Holiday!$A$1:$A$30)&gt;AY$3)), 1, 0)+IF(AND((AY$3-$B$2)&gt;=0,(AY$3-$B$2)&lt;30), 2,0)</f>
        <v>0</v>
      </c>
      <c r="AZ70" s="113">
        <f>IF(OR(AND($F69&lt;=AZ$3, $F70 &gt;= AZ$3), AND($F70&lt;AZ$3, WORKDAY($F70, 22,Holiday!$A$1:$A$30)&gt;AZ$3)), 1, 0)+IF(AND((AZ$3-$B$2)&gt;=0,(AZ$3-$B$2)&lt;30), 2,0)</f>
        <v>2</v>
      </c>
      <c r="BA70" s="113">
        <f>IF(OR(AND($F69&lt;=BA$3, $F70 &gt;= BA$3), AND($F70&lt;BA$3, WORKDAY($F70, 22,Holiday!$A$1:$A$30)&gt;BA$3)), 1, 0)+IF(AND((BA$3-$B$2)&gt;=0,(BA$3-$B$2)&lt;30), 2,0)</f>
        <v>0</v>
      </c>
      <c r="BB70" s="113">
        <f>IF(OR(AND($F69&lt;=BB$3, $F70 &gt;= BB$3), AND($F70&lt;BB$3, WORKDAY($F70, 22,Holiday!$A$1:$A$30)&gt;BB$3)), 1, 0)+IF(AND((BB$3-$B$2)&gt;=0,(BB$3-$B$2)&lt;30), 2,0)</f>
        <v>0</v>
      </c>
    </row>
    <row r="71" spans="2:54" ht="15" x14ac:dyDescent="0.2">
      <c r="B71" t="s">
        <v>161</v>
      </c>
      <c r="C71" s="112" t="s">
        <v>78</v>
      </c>
      <c r="D71" s="111">
        <v>6</v>
      </c>
      <c r="E71" s="86">
        <f t="shared" si="1"/>
        <v>9</v>
      </c>
      <c r="F71" s="122">
        <f>WORKDAY(F70,E71,Holiday!A67:A96)</f>
        <v>46982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0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0</v>
      </c>
      <c r="R71" s="113">
        <f>IF(OR(AND($F70&lt;=R$3, $F71 &gt;= R$3), AND($F71&lt;R$3, WORKDAY($F71, 22,Holiday!$A$1:$A$30)&gt;R$3)), 1, 0)+IF(AND((R$3-$B$2)&gt;=0,(R$3-$B$2)&lt;30), 2,0)</f>
        <v>0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1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  <c r="AP71" s="113">
        <f>IF(OR(AND($F70&lt;=AP$3, $F71 &gt;= AP$3), AND($F71&lt;AP$3, WORKDAY($F71, 22,Holiday!$A$1:$A$30)&gt;AP$3)), 1, 0)+IF(AND((AP$3-$B$2)&gt;=0,(AP$3-$B$2)&lt;30), 2,0)</f>
        <v>0</v>
      </c>
      <c r="AQ71" s="113">
        <f>IF(OR(AND($F70&lt;=AQ$3, $F71 &gt;= AQ$3), AND($F71&lt;AQ$3, WORKDAY($F71, 22,Holiday!$A$1:$A$30)&gt;AQ$3)), 1, 0)+IF(AND((AQ$3-$B$2)&gt;=0,(AQ$3-$B$2)&lt;30), 2,0)</f>
        <v>0</v>
      </c>
      <c r="AR71" s="113">
        <f>IF(OR(AND($F70&lt;=AR$3, $F71 &gt;= AR$3), AND($F71&lt;AR$3, WORKDAY($F71, 22,Holiday!$A$1:$A$30)&gt;AR$3)), 1, 0)+IF(AND((AR$3-$B$2)&gt;=0,(AR$3-$B$2)&lt;30), 2,0)</f>
        <v>0</v>
      </c>
      <c r="AS71" s="113">
        <f>IF(OR(AND($F70&lt;=AS$3, $F71 &gt;= AS$3), AND($F71&lt;AS$3, WORKDAY($F71, 22,Holiday!$A$1:$A$30)&gt;AS$3)), 1, 0)+IF(AND((AS$3-$B$2)&gt;=0,(AS$3-$B$2)&lt;30), 2,0)</f>
        <v>0</v>
      </c>
      <c r="AT71" s="113">
        <f>IF(OR(AND($F70&lt;=AT$3, $F71 &gt;= AT$3), AND($F71&lt;AT$3, WORKDAY($F71, 22,Holiday!$A$1:$A$30)&gt;AT$3)), 1, 0)+IF(AND((AT$3-$B$2)&gt;=0,(AT$3-$B$2)&lt;30), 2,0)</f>
        <v>0</v>
      </c>
      <c r="AU71" s="113">
        <f>IF(OR(AND($F70&lt;=AU$3, $F71 &gt;= AU$3), AND($F71&lt;AU$3, WORKDAY($F71, 22,Holiday!$A$1:$A$30)&gt;AU$3)), 1, 0)+IF(AND((AU$3-$B$2)&gt;=0,(AU$3-$B$2)&lt;30), 2,0)</f>
        <v>0</v>
      </c>
      <c r="AV71" s="113">
        <f>IF(OR(AND($F70&lt;=AV$3, $F71 &gt;= AV$3), AND($F71&lt;AV$3, WORKDAY($F71, 22,Holiday!$A$1:$A$30)&gt;AV$3)), 1, 0)+IF(AND((AV$3-$B$2)&gt;=0,(AV$3-$B$2)&lt;30), 2,0)</f>
        <v>0</v>
      </c>
      <c r="AW71" s="113">
        <f>IF(OR(AND($F70&lt;=AW$3, $F71 &gt;= AW$3), AND($F71&lt;AW$3, WORKDAY($F71, 22,Holiday!$A$1:$A$30)&gt;AW$3)), 1, 0)+IF(AND((AW$3-$B$2)&gt;=0,(AW$3-$B$2)&lt;30), 2,0)</f>
        <v>0</v>
      </c>
      <c r="AX71" s="113">
        <f>IF(OR(AND($F70&lt;=AX$3, $F71 &gt;= AX$3), AND($F71&lt;AX$3, WORKDAY($F71, 22,Holiday!$A$1:$A$30)&gt;AX$3)), 1, 0)+IF(AND((AX$3-$B$2)&gt;=0,(AX$3-$B$2)&lt;30), 2,0)</f>
        <v>0</v>
      </c>
      <c r="AY71" s="113">
        <f>IF(OR(AND($F70&lt;=AY$3, $F71 &gt;= AY$3), AND($F71&lt;AY$3, WORKDAY($F71, 22,Holiday!$A$1:$A$30)&gt;AY$3)), 1, 0)+IF(AND((AY$3-$B$2)&gt;=0,(AY$3-$B$2)&lt;30), 2,0)</f>
        <v>0</v>
      </c>
      <c r="AZ71" s="113">
        <f>IF(OR(AND($F70&lt;=AZ$3, $F71 &gt;= AZ$3), AND($F71&lt;AZ$3, WORKDAY($F71, 22,Holiday!$A$1:$A$30)&gt;AZ$3)), 1, 0)+IF(AND((AZ$3-$B$2)&gt;=0,(AZ$3-$B$2)&lt;30), 2,0)</f>
        <v>2</v>
      </c>
      <c r="BA71" s="113">
        <f>IF(OR(AND($F70&lt;=BA$3, $F71 &gt;= BA$3), AND($F71&lt;BA$3, WORKDAY($F71, 22,Holiday!$A$1:$A$30)&gt;BA$3)), 1, 0)+IF(AND((BA$3-$B$2)&gt;=0,(BA$3-$B$2)&lt;30), 2,0)</f>
        <v>0</v>
      </c>
      <c r="BB71" s="113">
        <f>IF(OR(AND($F70&lt;=BB$3, $F71 &gt;= BB$3), AND($F71&lt;BB$3, WORKDAY($F71, 22,Holiday!$A$1:$A$30)&gt;BB$3)), 1, 0)+IF(AND((BB$3-$B$2)&gt;=0,(BB$3-$B$2)&lt;30), 2,0)</f>
        <v>0</v>
      </c>
    </row>
    <row r="72" spans="2:54" ht="15" x14ac:dyDescent="0.2">
      <c r="B72" t="s">
        <v>172</v>
      </c>
      <c r="C72" s="112" t="s">
        <v>78</v>
      </c>
      <c r="D72" s="111">
        <v>6</v>
      </c>
      <c r="E72" s="86">
        <f t="shared" si="1"/>
        <v>9</v>
      </c>
      <c r="F72" s="122">
        <f>WORKDAY(F71,E72,Holiday!A68:A97)</f>
        <v>46995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0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0</v>
      </c>
      <c r="P72" s="113">
        <f>IF(OR(AND($F71&lt;=P$3, $F72 &gt;= P$3), AND($F72&lt;P$3, WORKDAY($F72, 22,Holiday!$A$1:$A$30)&gt;P$3)), 1, 0)+IF(AND((P$3-$B$2)&gt;=0,(P$3-$B$2)&lt;30), 2,0)</f>
        <v>0</v>
      </c>
      <c r="Q72" s="113">
        <f>IF(OR(AND($F71&lt;=Q$3, $F72 &gt;= Q$3), AND($F72&lt;Q$3, WORKDAY($F72, 22,Holiday!$A$1:$A$30)&gt;Q$3)), 1, 0)+IF(AND((Q$3-$B$2)&gt;=0,(Q$3-$B$2)&lt;30), 2,0)</f>
        <v>0</v>
      </c>
      <c r="R72" s="113">
        <f>IF(OR(AND($F71&lt;=R$3, $F72 &gt;= R$3), AND($F72&lt;R$3, WORKDAY($F72, 22,Holiday!$A$1:$A$30)&gt;R$3)), 1, 0)+IF(AND((R$3-$B$2)&gt;=0,(R$3-$B$2)&lt;30), 2,0)</f>
        <v>0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1</v>
      </c>
      <c r="AL72" s="113">
        <f>IF(OR(AND($F71&lt;=AL$3, $F72 &gt;= AL$3), AND($F72&lt;AL$3, WORKDAY($F72, 22,Holiday!$A$1:$A$30)&gt;AL$3)), 1, 0)+IF(AND((AL$3-$B$2)&gt;=0,(AL$3-$B$2)&lt;30), 2,0)</f>
        <v>1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  <c r="AP72" s="113">
        <f>IF(OR(AND($F71&lt;=AP$3, $F72 &gt;= AP$3), AND($F72&lt;AP$3, WORKDAY($F72, 22,Holiday!$A$1:$A$30)&gt;AP$3)), 1, 0)+IF(AND((AP$3-$B$2)&gt;=0,(AP$3-$B$2)&lt;30), 2,0)</f>
        <v>0</v>
      </c>
      <c r="AQ72" s="113">
        <f>IF(OR(AND($F71&lt;=AQ$3, $F72 &gt;= AQ$3), AND($F72&lt;AQ$3, WORKDAY($F72, 22,Holiday!$A$1:$A$30)&gt;AQ$3)), 1, 0)+IF(AND((AQ$3-$B$2)&gt;=0,(AQ$3-$B$2)&lt;30), 2,0)</f>
        <v>0</v>
      </c>
      <c r="AR72" s="113">
        <f>IF(OR(AND($F71&lt;=AR$3, $F72 &gt;= AR$3), AND($F72&lt;AR$3, WORKDAY($F72, 22,Holiday!$A$1:$A$30)&gt;AR$3)), 1, 0)+IF(AND((AR$3-$B$2)&gt;=0,(AR$3-$B$2)&lt;30), 2,0)</f>
        <v>0</v>
      </c>
      <c r="AS72" s="113">
        <f>IF(OR(AND($F71&lt;=AS$3, $F72 &gt;= AS$3), AND($F72&lt;AS$3, WORKDAY($F72, 22,Holiday!$A$1:$A$30)&gt;AS$3)), 1, 0)+IF(AND((AS$3-$B$2)&gt;=0,(AS$3-$B$2)&lt;30), 2,0)</f>
        <v>0</v>
      </c>
      <c r="AT72" s="113">
        <f>IF(OR(AND($F71&lt;=AT$3, $F72 &gt;= AT$3), AND($F72&lt;AT$3, WORKDAY($F72, 22,Holiday!$A$1:$A$30)&gt;AT$3)), 1, 0)+IF(AND((AT$3-$B$2)&gt;=0,(AT$3-$B$2)&lt;30), 2,0)</f>
        <v>0</v>
      </c>
      <c r="AU72" s="113">
        <f>IF(OR(AND($F71&lt;=AU$3, $F72 &gt;= AU$3), AND($F72&lt;AU$3, WORKDAY($F72, 22,Holiday!$A$1:$A$30)&gt;AU$3)), 1, 0)+IF(AND((AU$3-$B$2)&gt;=0,(AU$3-$B$2)&lt;30), 2,0)</f>
        <v>0</v>
      </c>
      <c r="AV72" s="113">
        <f>IF(OR(AND($F71&lt;=AV$3, $F72 &gt;= AV$3), AND($F72&lt;AV$3, WORKDAY($F72, 22,Holiday!$A$1:$A$30)&gt;AV$3)), 1, 0)+IF(AND((AV$3-$B$2)&gt;=0,(AV$3-$B$2)&lt;30), 2,0)</f>
        <v>0</v>
      </c>
      <c r="AW72" s="113">
        <f>IF(OR(AND($F71&lt;=AW$3, $F72 &gt;= AW$3), AND($F72&lt;AW$3, WORKDAY($F72, 22,Holiday!$A$1:$A$30)&gt;AW$3)), 1, 0)+IF(AND((AW$3-$B$2)&gt;=0,(AW$3-$B$2)&lt;30), 2,0)</f>
        <v>0</v>
      </c>
      <c r="AX72" s="113">
        <f>IF(OR(AND($F71&lt;=AX$3, $F72 &gt;= AX$3), AND($F72&lt;AX$3, WORKDAY($F72, 22,Holiday!$A$1:$A$30)&gt;AX$3)), 1, 0)+IF(AND((AX$3-$B$2)&gt;=0,(AX$3-$B$2)&lt;30), 2,0)</f>
        <v>0</v>
      </c>
      <c r="AY72" s="113">
        <f>IF(OR(AND($F71&lt;=AY$3, $F72 &gt;= AY$3), AND($F72&lt;AY$3, WORKDAY($F72, 22,Holiday!$A$1:$A$30)&gt;AY$3)), 1, 0)+IF(AND((AY$3-$B$2)&gt;=0,(AY$3-$B$2)&lt;30), 2,0)</f>
        <v>0</v>
      </c>
      <c r="AZ72" s="113">
        <f>IF(OR(AND($F71&lt;=AZ$3, $F72 &gt;= AZ$3), AND($F72&lt;AZ$3, WORKDAY($F72, 22,Holiday!$A$1:$A$30)&gt;AZ$3)), 1, 0)+IF(AND((AZ$3-$B$2)&gt;=0,(AZ$3-$B$2)&lt;30), 2,0)</f>
        <v>2</v>
      </c>
      <c r="BA72" s="113">
        <f>IF(OR(AND($F71&lt;=BA$3, $F72 &gt;= BA$3), AND($F72&lt;BA$3, WORKDAY($F72, 22,Holiday!$A$1:$A$30)&gt;BA$3)), 1, 0)+IF(AND((BA$3-$B$2)&gt;=0,(BA$3-$B$2)&lt;30), 2,0)</f>
        <v>0</v>
      </c>
      <c r="BB72" s="113">
        <f>IF(OR(AND($F71&lt;=BB$3, $F72 &gt;= BB$3), AND($F72&lt;BB$3, WORKDAY($F72, 22,Holiday!$A$1:$A$30)&gt;BB$3)), 1, 0)+IF(AND((BB$3-$B$2)&gt;=0,(BB$3-$B$2)&lt;30), 2,0)</f>
        <v>0</v>
      </c>
    </row>
    <row r="73" spans="2:54" ht="15" x14ac:dyDescent="0.2">
      <c r="B73" t="s">
        <v>209</v>
      </c>
      <c r="C73" s="112" t="s">
        <v>78</v>
      </c>
      <c r="D73" s="111">
        <v>6</v>
      </c>
      <c r="E73" s="86">
        <f t="shared" si="1"/>
        <v>9</v>
      </c>
      <c r="F73" s="122">
        <f>WORKDAY(F72,E73,Holiday!A69:A98)</f>
        <v>47008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0</v>
      </c>
      <c r="I73" s="113">
        <f>IF(OR(AND($F72&lt;=I$3, $F73 &gt;= I$3), AND($F73&lt;I$3, WORKDAY($F73, 22,Holiday!$A$1:$A$30)&gt;I$3)), 1, 0)+IF(AND((I$3-$B$2)&gt;=0,(I$3-$B$2)&lt;30), 2,0)</f>
        <v>0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0</v>
      </c>
      <c r="Q73" s="113">
        <f>IF(OR(AND($F72&lt;=Q$3, $F73 &gt;= Q$3), AND($F73&lt;Q$3, WORKDAY($F73, 22,Holiday!$A$1:$A$30)&gt;Q$3)), 1, 0)+IF(AND((Q$3-$B$2)&gt;=0,(Q$3-$B$2)&lt;30), 2,0)</f>
        <v>0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1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  <c r="AP73" s="113">
        <f>IF(OR(AND($F72&lt;=AP$3, $F73 &gt;= AP$3), AND($F73&lt;AP$3, WORKDAY($F73, 22,Holiday!$A$1:$A$30)&gt;AP$3)), 1, 0)+IF(AND((AP$3-$B$2)&gt;=0,(AP$3-$B$2)&lt;30), 2,0)</f>
        <v>0</v>
      </c>
      <c r="AQ73" s="113">
        <f>IF(OR(AND($F72&lt;=AQ$3, $F73 &gt;= AQ$3), AND($F73&lt;AQ$3, WORKDAY($F73, 22,Holiday!$A$1:$A$30)&gt;AQ$3)), 1, 0)+IF(AND((AQ$3-$B$2)&gt;=0,(AQ$3-$B$2)&lt;30), 2,0)</f>
        <v>0</v>
      </c>
      <c r="AR73" s="113">
        <f>IF(OR(AND($F72&lt;=AR$3, $F73 &gt;= AR$3), AND($F73&lt;AR$3, WORKDAY($F73, 22,Holiday!$A$1:$A$30)&gt;AR$3)), 1, 0)+IF(AND((AR$3-$B$2)&gt;=0,(AR$3-$B$2)&lt;30), 2,0)</f>
        <v>0</v>
      </c>
      <c r="AS73" s="113">
        <f>IF(OR(AND($F72&lt;=AS$3, $F73 &gt;= AS$3), AND($F73&lt;AS$3, WORKDAY($F73, 22,Holiday!$A$1:$A$30)&gt;AS$3)), 1, 0)+IF(AND((AS$3-$B$2)&gt;=0,(AS$3-$B$2)&lt;30), 2,0)</f>
        <v>0</v>
      </c>
      <c r="AT73" s="113">
        <f>IF(OR(AND($F72&lt;=AT$3, $F73 &gt;= AT$3), AND($F73&lt;AT$3, WORKDAY($F73, 22,Holiday!$A$1:$A$30)&gt;AT$3)), 1, 0)+IF(AND((AT$3-$B$2)&gt;=0,(AT$3-$B$2)&lt;30), 2,0)</f>
        <v>0</v>
      </c>
      <c r="AU73" s="113">
        <f>IF(OR(AND($F72&lt;=AU$3, $F73 &gt;= AU$3), AND($F73&lt;AU$3, WORKDAY($F73, 22,Holiday!$A$1:$A$30)&gt;AU$3)), 1, 0)+IF(AND((AU$3-$B$2)&gt;=0,(AU$3-$B$2)&lt;30), 2,0)</f>
        <v>0</v>
      </c>
      <c r="AV73" s="113">
        <f>IF(OR(AND($F72&lt;=AV$3, $F73 &gt;= AV$3), AND($F73&lt;AV$3, WORKDAY($F73, 22,Holiday!$A$1:$A$30)&gt;AV$3)), 1, 0)+IF(AND((AV$3-$B$2)&gt;=0,(AV$3-$B$2)&lt;30), 2,0)</f>
        <v>0</v>
      </c>
      <c r="AW73" s="113">
        <f>IF(OR(AND($F72&lt;=AW$3, $F73 &gt;= AW$3), AND($F73&lt;AW$3, WORKDAY($F73, 22,Holiday!$A$1:$A$30)&gt;AW$3)), 1, 0)+IF(AND((AW$3-$B$2)&gt;=0,(AW$3-$B$2)&lt;30), 2,0)</f>
        <v>0</v>
      </c>
      <c r="AX73" s="113">
        <f>IF(OR(AND($F72&lt;=AX$3, $F73 &gt;= AX$3), AND($F73&lt;AX$3, WORKDAY($F73, 22,Holiday!$A$1:$A$30)&gt;AX$3)), 1, 0)+IF(AND((AX$3-$B$2)&gt;=0,(AX$3-$B$2)&lt;30), 2,0)</f>
        <v>0</v>
      </c>
      <c r="AY73" s="113">
        <f>IF(OR(AND($F72&lt;=AY$3, $F73 &gt;= AY$3), AND($F73&lt;AY$3, WORKDAY($F73, 22,Holiday!$A$1:$A$30)&gt;AY$3)), 1, 0)+IF(AND((AY$3-$B$2)&gt;=0,(AY$3-$B$2)&lt;30), 2,0)</f>
        <v>0</v>
      </c>
      <c r="AZ73" s="113">
        <f>IF(OR(AND($F72&lt;=AZ$3, $F73 &gt;= AZ$3), AND($F73&lt;AZ$3, WORKDAY($F73, 22,Holiday!$A$1:$A$30)&gt;AZ$3)), 1, 0)+IF(AND((AZ$3-$B$2)&gt;=0,(AZ$3-$B$2)&lt;30), 2,0)</f>
        <v>2</v>
      </c>
      <c r="BA73" s="113">
        <f>IF(OR(AND($F72&lt;=BA$3, $F73 &gt;= BA$3), AND($F73&lt;BA$3, WORKDAY($F73, 22,Holiday!$A$1:$A$30)&gt;BA$3)), 1, 0)+IF(AND((BA$3-$B$2)&gt;=0,(BA$3-$B$2)&lt;30), 2,0)</f>
        <v>0</v>
      </c>
      <c r="BB73" s="113">
        <f>IF(OR(AND($F72&lt;=BB$3, $F73 &gt;= BB$3), AND($F73&lt;BB$3, WORKDAY($F73, 22,Holiday!$A$1:$A$30)&gt;BB$3)), 1, 0)+IF(AND((BB$3-$B$2)&gt;=0,(BB$3-$B$2)&lt;30), 2,0)</f>
        <v>0</v>
      </c>
    </row>
    <row r="74" spans="2:54" ht="15" x14ac:dyDescent="0.2">
      <c r="B74" t="s">
        <v>163</v>
      </c>
      <c r="C74" s="112" t="s">
        <v>78</v>
      </c>
      <c r="D74" s="111">
        <v>6</v>
      </c>
      <c r="E74" s="86">
        <f t="shared" si="1"/>
        <v>9</v>
      </c>
      <c r="F74" s="122">
        <f>WORKDAY(F73,E74,Holiday!A70:A99)</f>
        <v>47021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0</v>
      </c>
      <c r="I74" s="113">
        <f>IF(OR(AND($F73&lt;=I$3, $F74 &gt;= I$3), AND($F74&lt;I$3, WORKDAY($F74, 22,Holiday!$A$1:$A$30)&gt;I$3)), 1, 0)+IF(AND((I$3-$B$2)&gt;=0,(I$3-$B$2)&lt;30), 2,0)</f>
        <v>0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0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1</v>
      </c>
      <c r="AM74" s="113">
        <f>IF(OR(AND($F73&lt;=AM$3, $F74 &gt;= AM$3), AND($F74&lt;AM$3, WORKDAY($F74, 22,Holiday!$A$1:$A$30)&gt;AM$3)), 1, 0)+IF(AND((AM$3-$B$2)&gt;=0,(AM$3-$B$2)&lt;30), 2,0)</f>
        <v>1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  <c r="AP74" s="113">
        <f>IF(OR(AND($F73&lt;=AP$3, $F74 &gt;= AP$3), AND($F74&lt;AP$3, WORKDAY($F74, 22,Holiday!$A$1:$A$30)&gt;AP$3)), 1, 0)+IF(AND((AP$3-$B$2)&gt;=0,(AP$3-$B$2)&lt;30), 2,0)</f>
        <v>0</v>
      </c>
      <c r="AQ74" s="113">
        <f>IF(OR(AND($F73&lt;=AQ$3, $F74 &gt;= AQ$3), AND($F74&lt;AQ$3, WORKDAY($F74, 22,Holiday!$A$1:$A$30)&gt;AQ$3)), 1, 0)+IF(AND((AQ$3-$B$2)&gt;=0,(AQ$3-$B$2)&lt;30), 2,0)</f>
        <v>0</v>
      </c>
      <c r="AR74" s="113">
        <f>IF(OR(AND($F73&lt;=AR$3, $F74 &gt;= AR$3), AND($F74&lt;AR$3, WORKDAY($F74, 22,Holiday!$A$1:$A$30)&gt;AR$3)), 1, 0)+IF(AND((AR$3-$B$2)&gt;=0,(AR$3-$B$2)&lt;30), 2,0)</f>
        <v>0</v>
      </c>
      <c r="AS74" s="113">
        <f>IF(OR(AND($F73&lt;=AS$3, $F74 &gt;= AS$3), AND($F74&lt;AS$3, WORKDAY($F74, 22,Holiday!$A$1:$A$30)&gt;AS$3)), 1, 0)+IF(AND((AS$3-$B$2)&gt;=0,(AS$3-$B$2)&lt;30), 2,0)</f>
        <v>0</v>
      </c>
      <c r="AT74" s="113">
        <f>IF(OR(AND($F73&lt;=AT$3, $F74 &gt;= AT$3), AND($F74&lt;AT$3, WORKDAY($F74, 22,Holiday!$A$1:$A$30)&gt;AT$3)), 1, 0)+IF(AND((AT$3-$B$2)&gt;=0,(AT$3-$B$2)&lt;30), 2,0)</f>
        <v>0</v>
      </c>
      <c r="AU74" s="113">
        <f>IF(OR(AND($F73&lt;=AU$3, $F74 &gt;= AU$3), AND($F74&lt;AU$3, WORKDAY($F74, 22,Holiday!$A$1:$A$30)&gt;AU$3)), 1, 0)+IF(AND((AU$3-$B$2)&gt;=0,(AU$3-$B$2)&lt;30), 2,0)</f>
        <v>0</v>
      </c>
      <c r="AV74" s="113">
        <f>IF(OR(AND($F73&lt;=AV$3, $F74 &gt;= AV$3), AND($F74&lt;AV$3, WORKDAY($F74, 22,Holiday!$A$1:$A$30)&gt;AV$3)), 1, 0)+IF(AND((AV$3-$B$2)&gt;=0,(AV$3-$B$2)&lt;30), 2,0)</f>
        <v>0</v>
      </c>
      <c r="AW74" s="113">
        <f>IF(OR(AND($F73&lt;=AW$3, $F74 &gt;= AW$3), AND($F74&lt;AW$3, WORKDAY($F74, 22,Holiday!$A$1:$A$30)&gt;AW$3)), 1, 0)+IF(AND((AW$3-$B$2)&gt;=0,(AW$3-$B$2)&lt;30), 2,0)</f>
        <v>0</v>
      </c>
      <c r="AX74" s="113">
        <f>IF(OR(AND($F73&lt;=AX$3, $F74 &gt;= AX$3), AND($F74&lt;AX$3, WORKDAY($F74, 22,Holiday!$A$1:$A$30)&gt;AX$3)), 1, 0)+IF(AND((AX$3-$B$2)&gt;=0,(AX$3-$B$2)&lt;30), 2,0)</f>
        <v>0</v>
      </c>
      <c r="AY74" s="113">
        <f>IF(OR(AND($F73&lt;=AY$3, $F74 &gt;= AY$3), AND($F74&lt;AY$3, WORKDAY($F74, 22,Holiday!$A$1:$A$30)&gt;AY$3)), 1, 0)+IF(AND((AY$3-$B$2)&gt;=0,(AY$3-$B$2)&lt;30), 2,0)</f>
        <v>0</v>
      </c>
      <c r="AZ74" s="113">
        <f>IF(OR(AND($F73&lt;=AZ$3, $F74 &gt;= AZ$3), AND($F74&lt;AZ$3, WORKDAY($F74, 22,Holiday!$A$1:$A$30)&gt;AZ$3)), 1, 0)+IF(AND((AZ$3-$B$2)&gt;=0,(AZ$3-$B$2)&lt;30), 2,0)</f>
        <v>2</v>
      </c>
      <c r="BA74" s="113">
        <f>IF(OR(AND($F73&lt;=BA$3, $F74 &gt;= BA$3), AND($F74&lt;BA$3, WORKDAY($F74, 22,Holiday!$A$1:$A$30)&gt;BA$3)), 1, 0)+IF(AND((BA$3-$B$2)&gt;=0,(BA$3-$B$2)&lt;30), 2,0)</f>
        <v>0</v>
      </c>
      <c r="BB74" s="113">
        <f>IF(OR(AND($F73&lt;=BB$3, $F74 &gt;= BB$3), AND($F74&lt;BB$3, WORKDAY($F74, 22,Holiday!$A$1:$A$30)&gt;BB$3)), 1, 0)+IF(AND((BB$3-$B$2)&gt;=0,(BB$3-$B$2)&lt;30), 2,0)</f>
        <v>0</v>
      </c>
    </row>
    <row r="75" spans="2:54" ht="15" x14ac:dyDescent="0.2">
      <c r="B75" t="s">
        <v>211</v>
      </c>
      <c r="C75" s="112" t="s">
        <v>78</v>
      </c>
      <c r="D75" s="111">
        <v>6</v>
      </c>
      <c r="E75" s="86">
        <f t="shared" si="1"/>
        <v>9</v>
      </c>
      <c r="F75" s="122">
        <f>WORKDAY(F74,E75,Holiday!A71:A100)</f>
        <v>47032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0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0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0</v>
      </c>
      <c r="R75" s="113">
        <f>IF(OR(AND($F74&lt;=R$3, $F75 &gt;= R$3), AND($F75&lt;R$3, WORKDAY($F75, 22,Holiday!$A$1:$A$30)&gt;R$3)), 1, 0)+IF(AND((R$3-$B$2)&gt;=0,(R$3-$B$2)&lt;30), 2,0)</f>
        <v>0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1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  <c r="AP75" s="113">
        <f>IF(OR(AND($F74&lt;=AP$3, $F75 &gt;= AP$3), AND($F75&lt;AP$3, WORKDAY($F75, 22,Holiday!$A$1:$A$30)&gt;AP$3)), 1, 0)+IF(AND((AP$3-$B$2)&gt;=0,(AP$3-$B$2)&lt;30), 2,0)</f>
        <v>0</v>
      </c>
      <c r="AQ75" s="113">
        <f>IF(OR(AND($F74&lt;=AQ$3, $F75 &gt;= AQ$3), AND($F75&lt;AQ$3, WORKDAY($F75, 22,Holiday!$A$1:$A$30)&gt;AQ$3)), 1, 0)+IF(AND((AQ$3-$B$2)&gt;=0,(AQ$3-$B$2)&lt;30), 2,0)</f>
        <v>0</v>
      </c>
      <c r="AR75" s="113">
        <f>IF(OR(AND($F74&lt;=AR$3, $F75 &gt;= AR$3), AND($F75&lt;AR$3, WORKDAY($F75, 22,Holiday!$A$1:$A$30)&gt;AR$3)), 1, 0)+IF(AND((AR$3-$B$2)&gt;=0,(AR$3-$B$2)&lt;30), 2,0)</f>
        <v>0</v>
      </c>
      <c r="AS75" s="113">
        <f>IF(OR(AND($F74&lt;=AS$3, $F75 &gt;= AS$3), AND($F75&lt;AS$3, WORKDAY($F75, 22,Holiday!$A$1:$A$30)&gt;AS$3)), 1, 0)+IF(AND((AS$3-$B$2)&gt;=0,(AS$3-$B$2)&lt;30), 2,0)</f>
        <v>0</v>
      </c>
      <c r="AT75" s="113">
        <f>IF(OR(AND($F74&lt;=AT$3, $F75 &gt;= AT$3), AND($F75&lt;AT$3, WORKDAY($F75, 22,Holiday!$A$1:$A$30)&gt;AT$3)), 1, 0)+IF(AND((AT$3-$B$2)&gt;=0,(AT$3-$B$2)&lt;30), 2,0)</f>
        <v>0</v>
      </c>
      <c r="AU75" s="113">
        <f>IF(OR(AND($F74&lt;=AU$3, $F75 &gt;= AU$3), AND($F75&lt;AU$3, WORKDAY($F75, 22,Holiday!$A$1:$A$30)&gt;AU$3)), 1, 0)+IF(AND((AU$3-$B$2)&gt;=0,(AU$3-$B$2)&lt;30), 2,0)</f>
        <v>0</v>
      </c>
      <c r="AV75" s="113">
        <f>IF(OR(AND($F74&lt;=AV$3, $F75 &gt;= AV$3), AND($F75&lt;AV$3, WORKDAY($F75, 22,Holiday!$A$1:$A$30)&gt;AV$3)), 1, 0)+IF(AND((AV$3-$B$2)&gt;=0,(AV$3-$B$2)&lt;30), 2,0)</f>
        <v>0</v>
      </c>
      <c r="AW75" s="113">
        <f>IF(OR(AND($F74&lt;=AW$3, $F75 &gt;= AW$3), AND($F75&lt;AW$3, WORKDAY($F75, 22,Holiday!$A$1:$A$30)&gt;AW$3)), 1, 0)+IF(AND((AW$3-$B$2)&gt;=0,(AW$3-$B$2)&lt;30), 2,0)</f>
        <v>0</v>
      </c>
      <c r="AX75" s="113">
        <f>IF(OR(AND($F74&lt;=AX$3, $F75 &gt;= AX$3), AND($F75&lt;AX$3, WORKDAY($F75, 22,Holiday!$A$1:$A$30)&gt;AX$3)), 1, 0)+IF(AND((AX$3-$B$2)&gt;=0,(AX$3-$B$2)&lt;30), 2,0)</f>
        <v>0</v>
      </c>
      <c r="AY75" s="113">
        <f>IF(OR(AND($F74&lt;=AY$3, $F75 &gt;= AY$3), AND($F75&lt;AY$3, WORKDAY($F75, 22,Holiday!$A$1:$A$30)&gt;AY$3)), 1, 0)+IF(AND((AY$3-$B$2)&gt;=0,(AY$3-$B$2)&lt;30), 2,0)</f>
        <v>0</v>
      </c>
      <c r="AZ75" s="113">
        <f>IF(OR(AND($F74&lt;=AZ$3, $F75 &gt;= AZ$3), AND($F75&lt;AZ$3, WORKDAY($F75, 22,Holiday!$A$1:$A$30)&gt;AZ$3)), 1, 0)+IF(AND((AZ$3-$B$2)&gt;=0,(AZ$3-$B$2)&lt;30), 2,0)</f>
        <v>2</v>
      </c>
      <c r="BA75" s="113">
        <f>IF(OR(AND($F74&lt;=BA$3, $F75 &gt;= BA$3), AND($F75&lt;BA$3, WORKDAY($F75, 22,Holiday!$A$1:$A$30)&gt;BA$3)), 1, 0)+IF(AND((BA$3-$B$2)&gt;=0,(BA$3-$B$2)&lt;30), 2,0)</f>
        <v>0</v>
      </c>
      <c r="BB75" s="113">
        <f>IF(OR(AND($F74&lt;=BB$3, $F75 &gt;= BB$3), AND($F75&lt;BB$3, WORKDAY($F75, 22,Holiday!$A$1:$A$30)&gt;BB$3)), 1, 0)+IF(AND((BB$3-$B$2)&gt;=0,(BB$3-$B$2)&lt;30), 2,0)</f>
        <v>0</v>
      </c>
    </row>
    <row r="76" spans="2:54" ht="15" x14ac:dyDescent="0.2">
      <c r="B76" t="s">
        <v>210</v>
      </c>
      <c r="C76" s="112" t="s">
        <v>78</v>
      </c>
      <c r="D76" s="111">
        <v>6</v>
      </c>
      <c r="E76" s="86">
        <f t="shared" si="1"/>
        <v>9</v>
      </c>
      <c r="F76" s="122">
        <f>WORKDAY(F75,E76,Holiday!A72:A101)</f>
        <v>47045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0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0</v>
      </c>
      <c r="R76" s="113">
        <f>IF(OR(AND($F75&lt;=R$3, $F76 &gt;= R$3), AND($F76&lt;R$3, WORKDAY($F76, 22,Holiday!$A$1:$A$30)&gt;R$3)), 1, 0)+IF(AND((R$3-$B$2)&gt;=0,(R$3-$B$2)&lt;30), 2,0)</f>
        <v>0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1</v>
      </c>
      <c r="AN76" s="113">
        <f>IF(OR(AND($F75&lt;=AN$3, $F76 &gt;= AN$3), AND($F76&lt;AN$3, WORKDAY($F76, 22,Holiday!$A$1:$A$30)&gt;AN$3)), 1, 0)+IF(AND((AN$3-$B$2)&gt;=0,(AN$3-$B$2)&lt;30), 2,0)</f>
        <v>1</v>
      </c>
      <c r="AO76" s="113">
        <f>IF(OR(AND($F75&lt;=AO$3, $F76 &gt;= AO$3), AND($F76&lt;AO$3, WORKDAY($F76, 22,Holiday!$A$1:$A$30)&gt;AO$3)), 1, 0)+IF(AND((AO$3-$B$2)&gt;=0,(AO$3-$B$2)&lt;30), 2,0)</f>
        <v>0</v>
      </c>
      <c r="AP76" s="113">
        <f>IF(OR(AND($F75&lt;=AP$3, $F76 &gt;= AP$3), AND($F76&lt;AP$3, WORKDAY($F76, 22,Holiday!$A$1:$A$30)&gt;AP$3)), 1, 0)+IF(AND((AP$3-$B$2)&gt;=0,(AP$3-$B$2)&lt;30), 2,0)</f>
        <v>0</v>
      </c>
      <c r="AQ76" s="113">
        <f>IF(OR(AND($F75&lt;=AQ$3, $F76 &gt;= AQ$3), AND($F76&lt;AQ$3, WORKDAY($F76, 22,Holiday!$A$1:$A$30)&gt;AQ$3)), 1, 0)+IF(AND((AQ$3-$B$2)&gt;=0,(AQ$3-$B$2)&lt;30), 2,0)</f>
        <v>0</v>
      </c>
      <c r="AR76" s="113">
        <f>IF(OR(AND($F75&lt;=AR$3, $F76 &gt;= AR$3), AND($F76&lt;AR$3, WORKDAY($F76, 22,Holiday!$A$1:$A$30)&gt;AR$3)), 1, 0)+IF(AND((AR$3-$B$2)&gt;=0,(AR$3-$B$2)&lt;30), 2,0)</f>
        <v>0</v>
      </c>
      <c r="AS76" s="113">
        <f>IF(OR(AND($F75&lt;=AS$3, $F76 &gt;= AS$3), AND($F76&lt;AS$3, WORKDAY($F76, 22,Holiday!$A$1:$A$30)&gt;AS$3)), 1, 0)+IF(AND((AS$3-$B$2)&gt;=0,(AS$3-$B$2)&lt;30), 2,0)</f>
        <v>0</v>
      </c>
      <c r="AT76" s="113">
        <f>IF(OR(AND($F75&lt;=AT$3, $F76 &gt;= AT$3), AND($F76&lt;AT$3, WORKDAY($F76, 22,Holiday!$A$1:$A$30)&gt;AT$3)), 1, 0)+IF(AND((AT$3-$B$2)&gt;=0,(AT$3-$B$2)&lt;30), 2,0)</f>
        <v>0</v>
      </c>
      <c r="AU76" s="113">
        <f>IF(OR(AND($F75&lt;=AU$3, $F76 &gt;= AU$3), AND($F76&lt;AU$3, WORKDAY($F76, 22,Holiday!$A$1:$A$30)&gt;AU$3)), 1, 0)+IF(AND((AU$3-$B$2)&gt;=0,(AU$3-$B$2)&lt;30), 2,0)</f>
        <v>0</v>
      </c>
      <c r="AV76" s="113">
        <f>IF(OR(AND($F75&lt;=AV$3, $F76 &gt;= AV$3), AND($F76&lt;AV$3, WORKDAY($F76, 22,Holiday!$A$1:$A$30)&gt;AV$3)), 1, 0)+IF(AND((AV$3-$B$2)&gt;=0,(AV$3-$B$2)&lt;30), 2,0)</f>
        <v>0</v>
      </c>
      <c r="AW76" s="113">
        <f>IF(OR(AND($F75&lt;=AW$3, $F76 &gt;= AW$3), AND($F76&lt;AW$3, WORKDAY($F76, 22,Holiday!$A$1:$A$30)&gt;AW$3)), 1, 0)+IF(AND((AW$3-$B$2)&gt;=0,(AW$3-$B$2)&lt;30), 2,0)</f>
        <v>0</v>
      </c>
      <c r="AX76" s="113">
        <f>IF(OR(AND($F75&lt;=AX$3, $F76 &gt;= AX$3), AND($F76&lt;AX$3, WORKDAY($F76, 22,Holiday!$A$1:$A$30)&gt;AX$3)), 1, 0)+IF(AND((AX$3-$B$2)&gt;=0,(AX$3-$B$2)&lt;30), 2,0)</f>
        <v>0</v>
      </c>
      <c r="AY76" s="113">
        <f>IF(OR(AND($F75&lt;=AY$3, $F76 &gt;= AY$3), AND($F76&lt;AY$3, WORKDAY($F76, 22,Holiday!$A$1:$A$30)&gt;AY$3)), 1, 0)+IF(AND((AY$3-$B$2)&gt;=0,(AY$3-$B$2)&lt;30), 2,0)</f>
        <v>0</v>
      </c>
      <c r="AZ76" s="113">
        <f>IF(OR(AND($F75&lt;=AZ$3, $F76 &gt;= AZ$3), AND($F76&lt;AZ$3, WORKDAY($F76, 22,Holiday!$A$1:$A$30)&gt;AZ$3)), 1, 0)+IF(AND((AZ$3-$B$2)&gt;=0,(AZ$3-$B$2)&lt;30), 2,0)</f>
        <v>2</v>
      </c>
      <c r="BA76" s="113">
        <f>IF(OR(AND($F75&lt;=BA$3, $F76 &gt;= BA$3), AND($F76&lt;BA$3, WORKDAY($F76, 22,Holiday!$A$1:$A$30)&gt;BA$3)), 1, 0)+IF(AND((BA$3-$B$2)&gt;=0,(BA$3-$B$2)&lt;30), 2,0)</f>
        <v>0</v>
      </c>
      <c r="BB76" s="113">
        <f>IF(OR(AND($F75&lt;=BB$3, $F76 &gt;= BB$3), AND($F76&lt;BB$3, WORKDAY($F76, 22,Holiday!$A$1:$A$30)&gt;BB$3)), 1, 0)+IF(AND((BB$3-$B$2)&gt;=0,(BB$3-$B$2)&lt;30), 2,0)</f>
        <v>0</v>
      </c>
    </row>
    <row r="77" spans="2:54" ht="15" x14ac:dyDescent="0.2">
      <c r="B77" t="s">
        <v>203</v>
      </c>
      <c r="C77" s="112" t="s">
        <v>78</v>
      </c>
      <c r="D77" s="111">
        <v>6</v>
      </c>
      <c r="E77" s="86">
        <f t="shared" si="1"/>
        <v>9</v>
      </c>
      <c r="F77" s="122">
        <f>WORKDAY(F76,E77,Holiday!A73:A102)</f>
        <v>47058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0</v>
      </c>
      <c r="J77" s="113">
        <f>IF(OR(AND($F76&lt;=J$3, $F77 &gt;= J$3), AND($F77&lt;J$3, WORKDAY($F77, 22,Holiday!$A$1:$A$30)&gt;J$3)), 1, 0)+IF(AND((J$3-$B$2)&gt;=0,(J$3-$B$2)&lt;30), 2,0)</f>
        <v>0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0</v>
      </c>
      <c r="R77" s="113">
        <f>IF(OR(AND($F76&lt;=R$3, $F77 &gt;= R$3), AND($F77&lt;R$3, WORKDAY($F77, 22,Holiday!$A$1:$A$30)&gt;R$3)), 1, 0)+IF(AND((R$3-$B$2)&gt;=0,(R$3-$B$2)&lt;30), 2,0)</f>
        <v>0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1</v>
      </c>
      <c r="AO77" s="113">
        <f>IF(OR(AND($F76&lt;=AO$3, $F77 &gt;= AO$3), AND($F77&lt;AO$3, WORKDAY($F77, 22,Holiday!$A$1:$A$30)&gt;AO$3)), 1, 0)+IF(AND((AO$3-$B$2)&gt;=0,(AO$3-$B$2)&lt;30), 2,0)</f>
        <v>0</v>
      </c>
      <c r="AP77" s="113">
        <f>IF(OR(AND($F76&lt;=AP$3, $F77 &gt;= AP$3), AND($F77&lt;AP$3, WORKDAY($F77, 22,Holiday!$A$1:$A$30)&gt;AP$3)), 1, 0)+IF(AND((AP$3-$B$2)&gt;=0,(AP$3-$B$2)&lt;30), 2,0)</f>
        <v>0</v>
      </c>
      <c r="AQ77" s="113">
        <f>IF(OR(AND($F76&lt;=AQ$3, $F77 &gt;= AQ$3), AND($F77&lt;AQ$3, WORKDAY($F77, 22,Holiday!$A$1:$A$30)&gt;AQ$3)), 1, 0)+IF(AND((AQ$3-$B$2)&gt;=0,(AQ$3-$B$2)&lt;30), 2,0)</f>
        <v>0</v>
      </c>
      <c r="AR77" s="113">
        <f>IF(OR(AND($F76&lt;=AR$3, $F77 &gt;= AR$3), AND($F77&lt;AR$3, WORKDAY($F77, 22,Holiday!$A$1:$A$30)&gt;AR$3)), 1, 0)+IF(AND((AR$3-$B$2)&gt;=0,(AR$3-$B$2)&lt;30), 2,0)</f>
        <v>0</v>
      </c>
      <c r="AS77" s="113">
        <f>IF(OR(AND($F76&lt;=AS$3, $F77 &gt;= AS$3), AND($F77&lt;AS$3, WORKDAY($F77, 22,Holiday!$A$1:$A$30)&gt;AS$3)), 1, 0)+IF(AND((AS$3-$B$2)&gt;=0,(AS$3-$B$2)&lt;30), 2,0)</f>
        <v>0</v>
      </c>
      <c r="AT77" s="113">
        <f>IF(OR(AND($F76&lt;=AT$3, $F77 &gt;= AT$3), AND($F77&lt;AT$3, WORKDAY($F77, 22,Holiday!$A$1:$A$30)&gt;AT$3)), 1, 0)+IF(AND((AT$3-$B$2)&gt;=0,(AT$3-$B$2)&lt;30), 2,0)</f>
        <v>0</v>
      </c>
      <c r="AU77" s="113">
        <f>IF(OR(AND($F76&lt;=AU$3, $F77 &gt;= AU$3), AND($F77&lt;AU$3, WORKDAY($F77, 22,Holiday!$A$1:$A$30)&gt;AU$3)), 1, 0)+IF(AND((AU$3-$B$2)&gt;=0,(AU$3-$B$2)&lt;30), 2,0)</f>
        <v>0</v>
      </c>
      <c r="AV77" s="113">
        <f>IF(OR(AND($F76&lt;=AV$3, $F77 &gt;= AV$3), AND($F77&lt;AV$3, WORKDAY($F77, 22,Holiday!$A$1:$A$30)&gt;AV$3)), 1, 0)+IF(AND((AV$3-$B$2)&gt;=0,(AV$3-$B$2)&lt;30), 2,0)</f>
        <v>0</v>
      </c>
      <c r="AW77" s="113">
        <f>IF(OR(AND($F76&lt;=AW$3, $F77 &gt;= AW$3), AND($F77&lt;AW$3, WORKDAY($F77, 22,Holiday!$A$1:$A$30)&gt;AW$3)), 1, 0)+IF(AND((AW$3-$B$2)&gt;=0,(AW$3-$B$2)&lt;30), 2,0)</f>
        <v>0</v>
      </c>
      <c r="AX77" s="113">
        <f>IF(OR(AND($F76&lt;=AX$3, $F77 &gt;= AX$3), AND($F77&lt;AX$3, WORKDAY($F77, 22,Holiday!$A$1:$A$30)&gt;AX$3)), 1, 0)+IF(AND((AX$3-$B$2)&gt;=0,(AX$3-$B$2)&lt;30), 2,0)</f>
        <v>0</v>
      </c>
      <c r="AY77" s="113">
        <f>IF(OR(AND($F76&lt;=AY$3, $F77 &gt;= AY$3), AND($F77&lt;AY$3, WORKDAY($F77, 22,Holiday!$A$1:$A$30)&gt;AY$3)), 1, 0)+IF(AND((AY$3-$B$2)&gt;=0,(AY$3-$B$2)&lt;30), 2,0)</f>
        <v>0</v>
      </c>
      <c r="AZ77" s="113">
        <f>IF(OR(AND($F76&lt;=AZ$3, $F77 &gt;= AZ$3), AND($F77&lt;AZ$3, WORKDAY($F77, 22,Holiday!$A$1:$A$30)&gt;AZ$3)), 1, 0)+IF(AND((AZ$3-$B$2)&gt;=0,(AZ$3-$B$2)&lt;30), 2,0)</f>
        <v>2</v>
      </c>
      <c r="BA77" s="113">
        <f>IF(OR(AND($F76&lt;=BA$3, $F77 &gt;= BA$3), AND($F77&lt;BA$3, WORKDAY($F77, 22,Holiday!$A$1:$A$30)&gt;BA$3)), 1, 0)+IF(AND((BA$3-$B$2)&gt;=0,(BA$3-$B$2)&lt;30), 2,0)</f>
        <v>0</v>
      </c>
      <c r="BB77" s="113">
        <f>IF(OR(AND($F76&lt;=BB$3, $F77 &gt;= BB$3), AND($F77&lt;BB$3, WORKDAY($F77, 22,Holiday!$A$1:$A$30)&gt;BB$3)), 1, 0)+IF(AND((BB$3-$B$2)&gt;=0,(BB$3-$B$2)&lt;30), 2,0)</f>
        <v>0</v>
      </c>
    </row>
    <row r="78" spans="2:54" ht="15" x14ac:dyDescent="0.2">
      <c r="B78" t="s">
        <v>160</v>
      </c>
      <c r="C78" s="112" t="s">
        <v>78</v>
      </c>
      <c r="D78" s="111">
        <v>6</v>
      </c>
      <c r="E78" s="86">
        <f t="shared" si="1"/>
        <v>9</v>
      </c>
      <c r="F78" s="122">
        <f>WORKDAY(F77,E78,Holiday!A74:A103)</f>
        <v>47071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0</v>
      </c>
      <c r="K78" s="113">
        <f>IF(OR(AND($F77&lt;=K$3, $F78 &gt;= K$3), AND($F78&lt;K$3, WORKDAY($F78, 22,Holiday!$A$1:$A$30)&gt;K$3)), 1, 0)+IF(AND((K$3-$B$2)&gt;=0,(K$3-$B$2)&lt;30), 2,0)</f>
        <v>0</v>
      </c>
      <c r="L78" s="113">
        <f>IF(OR(AND($F77&lt;=L$3, $F78 &gt;= L$3), AND($F78&lt;L$3, WORKDAY($F78, 22,Holiday!$A$1:$A$30)&gt;L$3)), 1, 0)+IF(AND((L$3-$B$2)&gt;=0,(L$3-$B$2)&lt;30), 2,0)</f>
        <v>0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0</v>
      </c>
      <c r="R78" s="113">
        <f>IF(OR(AND($F77&lt;=R$3, $F78 &gt;= R$3), AND($F78&lt;R$3, WORKDAY($F78, 22,Holiday!$A$1:$A$30)&gt;R$3)), 1, 0)+IF(AND((R$3-$B$2)&gt;=0,(R$3-$B$2)&lt;30), 2,0)</f>
        <v>0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1</v>
      </c>
      <c r="AO78" s="113">
        <f>IF(OR(AND($F77&lt;=AO$3, $F78 &gt;= AO$3), AND($F78&lt;AO$3, WORKDAY($F78, 22,Holiday!$A$1:$A$30)&gt;AO$3)), 1, 0)+IF(AND((AO$3-$B$2)&gt;=0,(AO$3-$B$2)&lt;30), 2,0)</f>
        <v>0</v>
      </c>
      <c r="AP78" s="113">
        <f>IF(OR(AND($F77&lt;=AP$3, $F78 &gt;= AP$3), AND($F78&lt;AP$3, WORKDAY($F78, 22,Holiday!$A$1:$A$30)&gt;AP$3)), 1, 0)+IF(AND((AP$3-$B$2)&gt;=0,(AP$3-$B$2)&lt;30), 2,0)</f>
        <v>0</v>
      </c>
      <c r="AQ78" s="113">
        <f>IF(OR(AND($F77&lt;=AQ$3, $F78 &gt;= AQ$3), AND($F78&lt;AQ$3, WORKDAY($F78, 22,Holiday!$A$1:$A$30)&gt;AQ$3)), 1, 0)+IF(AND((AQ$3-$B$2)&gt;=0,(AQ$3-$B$2)&lt;30), 2,0)</f>
        <v>0</v>
      </c>
      <c r="AR78" s="113">
        <f>IF(OR(AND($F77&lt;=AR$3, $F78 &gt;= AR$3), AND($F78&lt;AR$3, WORKDAY($F78, 22,Holiday!$A$1:$A$30)&gt;AR$3)), 1, 0)+IF(AND((AR$3-$B$2)&gt;=0,(AR$3-$B$2)&lt;30), 2,0)</f>
        <v>0</v>
      </c>
      <c r="AS78" s="113">
        <f>IF(OR(AND($F77&lt;=AS$3, $F78 &gt;= AS$3), AND($F78&lt;AS$3, WORKDAY($F78, 22,Holiday!$A$1:$A$30)&gt;AS$3)), 1, 0)+IF(AND((AS$3-$B$2)&gt;=0,(AS$3-$B$2)&lt;30), 2,0)</f>
        <v>0</v>
      </c>
      <c r="AT78" s="113">
        <f>IF(OR(AND($F77&lt;=AT$3, $F78 &gt;= AT$3), AND($F78&lt;AT$3, WORKDAY($F78, 22,Holiday!$A$1:$A$30)&gt;AT$3)), 1, 0)+IF(AND((AT$3-$B$2)&gt;=0,(AT$3-$B$2)&lt;30), 2,0)</f>
        <v>0</v>
      </c>
      <c r="AU78" s="113">
        <f>IF(OR(AND($F77&lt;=AU$3, $F78 &gt;= AU$3), AND($F78&lt;AU$3, WORKDAY($F78, 22,Holiday!$A$1:$A$30)&gt;AU$3)), 1, 0)+IF(AND((AU$3-$B$2)&gt;=0,(AU$3-$B$2)&lt;30), 2,0)</f>
        <v>0</v>
      </c>
      <c r="AV78" s="113">
        <f>IF(OR(AND($F77&lt;=AV$3, $F78 &gt;= AV$3), AND($F78&lt;AV$3, WORKDAY($F78, 22,Holiday!$A$1:$A$30)&gt;AV$3)), 1, 0)+IF(AND((AV$3-$B$2)&gt;=0,(AV$3-$B$2)&lt;30), 2,0)</f>
        <v>0</v>
      </c>
      <c r="AW78" s="113">
        <f>IF(OR(AND($F77&lt;=AW$3, $F78 &gt;= AW$3), AND($F78&lt;AW$3, WORKDAY($F78, 22,Holiday!$A$1:$A$30)&gt;AW$3)), 1, 0)+IF(AND((AW$3-$B$2)&gt;=0,(AW$3-$B$2)&lt;30), 2,0)</f>
        <v>0</v>
      </c>
      <c r="AX78" s="113">
        <f>IF(OR(AND($F77&lt;=AX$3, $F78 &gt;= AX$3), AND($F78&lt;AX$3, WORKDAY($F78, 22,Holiday!$A$1:$A$30)&gt;AX$3)), 1, 0)+IF(AND((AX$3-$B$2)&gt;=0,(AX$3-$B$2)&lt;30), 2,0)</f>
        <v>0</v>
      </c>
      <c r="AY78" s="113">
        <f>IF(OR(AND($F77&lt;=AY$3, $F78 &gt;= AY$3), AND($F78&lt;AY$3, WORKDAY($F78, 22,Holiday!$A$1:$A$30)&gt;AY$3)), 1, 0)+IF(AND((AY$3-$B$2)&gt;=0,(AY$3-$B$2)&lt;30), 2,0)</f>
        <v>0</v>
      </c>
      <c r="AZ78" s="113">
        <f>IF(OR(AND($F77&lt;=AZ$3, $F78 &gt;= AZ$3), AND($F78&lt;AZ$3, WORKDAY($F78, 22,Holiday!$A$1:$A$30)&gt;AZ$3)), 1, 0)+IF(AND((AZ$3-$B$2)&gt;=0,(AZ$3-$B$2)&lt;30), 2,0)</f>
        <v>2</v>
      </c>
      <c r="BA78" s="113">
        <f>IF(OR(AND($F77&lt;=BA$3, $F78 &gt;= BA$3), AND($F78&lt;BA$3, WORKDAY($F78, 22,Holiday!$A$1:$A$30)&gt;BA$3)), 1, 0)+IF(AND((BA$3-$B$2)&gt;=0,(BA$3-$B$2)&lt;30), 2,0)</f>
        <v>0</v>
      </c>
      <c r="BB78" s="113">
        <f>IF(OR(AND($F77&lt;=BB$3, $F78 &gt;= BB$3), AND($F78&lt;BB$3, WORKDAY($F78, 22,Holiday!$A$1:$A$30)&gt;BB$3)), 1, 0)+IF(AND((BB$3-$B$2)&gt;=0,(BB$3-$B$2)&lt;30), 2,0)</f>
        <v>0</v>
      </c>
    </row>
    <row r="79" spans="2:54" ht="15" x14ac:dyDescent="0.2">
      <c r="B79" t="s">
        <v>158</v>
      </c>
      <c r="C79" s="112" t="s">
        <v>78</v>
      </c>
      <c r="D79" s="111">
        <v>6</v>
      </c>
      <c r="E79" s="86">
        <f t="shared" si="1"/>
        <v>9</v>
      </c>
      <c r="F79" s="122">
        <f>WORKDAY(F78,E79,Holiday!A75:A104)</f>
        <v>47084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0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0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0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1</v>
      </c>
      <c r="AO79" s="113">
        <f>IF(OR(AND($F78&lt;=AO$3, $F79 &gt;= AO$3), AND($F79&lt;AO$3, WORKDAY($F79, 22,Holiday!$A$1:$A$30)&gt;AO$3)), 1, 0)+IF(AND((AO$3-$B$2)&gt;=0,(AO$3-$B$2)&lt;30), 2,0)</f>
        <v>1</v>
      </c>
      <c r="AP79" s="113">
        <f>IF(OR(AND($F78&lt;=AP$3, $F79 &gt;= AP$3), AND($F79&lt;AP$3, WORKDAY($F79, 22,Holiday!$A$1:$A$30)&gt;AP$3)), 1, 0)+IF(AND((AP$3-$B$2)&gt;=0,(AP$3-$B$2)&lt;30), 2,0)</f>
        <v>0</v>
      </c>
      <c r="AQ79" s="113">
        <f>IF(OR(AND($F78&lt;=AQ$3, $F79 &gt;= AQ$3), AND($F79&lt;AQ$3, WORKDAY($F79, 22,Holiday!$A$1:$A$30)&gt;AQ$3)), 1, 0)+IF(AND((AQ$3-$B$2)&gt;=0,(AQ$3-$B$2)&lt;30), 2,0)</f>
        <v>0</v>
      </c>
      <c r="AR79" s="113">
        <f>IF(OR(AND($F78&lt;=AR$3, $F79 &gt;= AR$3), AND($F79&lt;AR$3, WORKDAY($F79, 22,Holiday!$A$1:$A$30)&gt;AR$3)), 1, 0)+IF(AND((AR$3-$B$2)&gt;=0,(AR$3-$B$2)&lt;30), 2,0)</f>
        <v>0</v>
      </c>
      <c r="AS79" s="113">
        <f>IF(OR(AND($F78&lt;=AS$3, $F79 &gt;= AS$3), AND($F79&lt;AS$3, WORKDAY($F79, 22,Holiday!$A$1:$A$30)&gt;AS$3)), 1, 0)+IF(AND((AS$3-$B$2)&gt;=0,(AS$3-$B$2)&lt;30), 2,0)</f>
        <v>0</v>
      </c>
      <c r="AT79" s="113">
        <f>IF(OR(AND($F78&lt;=AT$3, $F79 &gt;= AT$3), AND($F79&lt;AT$3, WORKDAY($F79, 22,Holiday!$A$1:$A$30)&gt;AT$3)), 1, 0)+IF(AND((AT$3-$B$2)&gt;=0,(AT$3-$B$2)&lt;30), 2,0)</f>
        <v>0</v>
      </c>
      <c r="AU79" s="113">
        <f>IF(OR(AND($F78&lt;=AU$3, $F79 &gt;= AU$3), AND($F79&lt;AU$3, WORKDAY($F79, 22,Holiday!$A$1:$A$30)&gt;AU$3)), 1, 0)+IF(AND((AU$3-$B$2)&gt;=0,(AU$3-$B$2)&lt;30), 2,0)</f>
        <v>0</v>
      </c>
      <c r="AV79" s="113">
        <f>IF(OR(AND($F78&lt;=AV$3, $F79 &gt;= AV$3), AND($F79&lt;AV$3, WORKDAY($F79, 22,Holiday!$A$1:$A$30)&gt;AV$3)), 1, 0)+IF(AND((AV$3-$B$2)&gt;=0,(AV$3-$B$2)&lt;30), 2,0)</f>
        <v>0</v>
      </c>
      <c r="AW79" s="113">
        <f>IF(OR(AND($F78&lt;=AW$3, $F79 &gt;= AW$3), AND($F79&lt;AW$3, WORKDAY($F79, 22,Holiday!$A$1:$A$30)&gt;AW$3)), 1, 0)+IF(AND((AW$3-$B$2)&gt;=0,(AW$3-$B$2)&lt;30), 2,0)</f>
        <v>0</v>
      </c>
      <c r="AX79" s="113">
        <f>IF(OR(AND($F78&lt;=AX$3, $F79 &gt;= AX$3), AND($F79&lt;AX$3, WORKDAY($F79, 22,Holiday!$A$1:$A$30)&gt;AX$3)), 1, 0)+IF(AND((AX$3-$B$2)&gt;=0,(AX$3-$B$2)&lt;30), 2,0)</f>
        <v>0</v>
      </c>
      <c r="AY79" s="113">
        <f>IF(OR(AND($F78&lt;=AY$3, $F79 &gt;= AY$3), AND($F79&lt;AY$3, WORKDAY($F79, 22,Holiday!$A$1:$A$30)&gt;AY$3)), 1, 0)+IF(AND((AY$3-$B$2)&gt;=0,(AY$3-$B$2)&lt;30), 2,0)</f>
        <v>0</v>
      </c>
      <c r="AZ79" s="113">
        <f>IF(OR(AND($F78&lt;=AZ$3, $F79 &gt;= AZ$3), AND($F79&lt;AZ$3, WORKDAY($F79, 22,Holiday!$A$1:$A$30)&gt;AZ$3)), 1, 0)+IF(AND((AZ$3-$B$2)&gt;=0,(AZ$3-$B$2)&lt;30), 2,0)</f>
        <v>2</v>
      </c>
      <c r="BA79" s="113">
        <f>IF(OR(AND($F78&lt;=BA$3, $F79 &gt;= BA$3), AND($F79&lt;BA$3, WORKDAY($F79, 22,Holiday!$A$1:$A$30)&gt;BA$3)), 1, 0)+IF(AND((BA$3-$B$2)&gt;=0,(BA$3-$B$2)&lt;30), 2,0)</f>
        <v>0</v>
      </c>
      <c r="BB79" s="113">
        <f>IF(OR(AND($F78&lt;=BB$3, $F79 &gt;= BB$3), AND($F79&lt;BB$3, WORKDAY($F79, 22,Holiday!$A$1:$A$30)&gt;BB$3)), 1, 0)+IF(AND((BB$3-$B$2)&gt;=0,(BB$3-$B$2)&lt;30), 2,0)</f>
        <v>0</v>
      </c>
    </row>
    <row r="80" spans="2:54" ht="15" x14ac:dyDescent="0.2">
      <c r="B80" t="s">
        <v>157</v>
      </c>
      <c r="C80" s="112" t="s">
        <v>78</v>
      </c>
      <c r="D80" s="111">
        <v>6</v>
      </c>
      <c r="E80" s="86">
        <f t="shared" si="1"/>
        <v>9</v>
      </c>
      <c r="F80" s="122">
        <f>WORKDAY(F79,E80,Holiday!A76:A105)</f>
        <v>47095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0</v>
      </c>
      <c r="K80" s="113">
        <f>IF(OR(AND($F79&lt;=K$3, $F80 &gt;= K$3), AND($F80&lt;K$3, WORKDAY($F80, 22,Holiday!$A$1:$A$30)&gt;K$3)), 1, 0)+IF(AND((K$3-$B$2)&gt;=0,(K$3-$B$2)&lt;30), 2,0)</f>
        <v>0</v>
      </c>
      <c r="L80" s="113">
        <f>IF(OR(AND($F79&lt;=L$3, $F80 &gt;= L$3), AND($F80&lt;L$3, WORKDAY($F80, 22,Holiday!$A$1:$A$30)&gt;L$3)), 1, 0)+IF(AND((L$3-$B$2)&gt;=0,(L$3-$B$2)&lt;30), 2,0)</f>
        <v>0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0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1</v>
      </c>
      <c r="AP80" s="113">
        <f>IF(OR(AND($F79&lt;=AP$3, $F80 &gt;= AP$3), AND($F80&lt;AP$3, WORKDAY($F80, 22,Holiday!$A$1:$A$30)&gt;AP$3)), 1, 0)+IF(AND((AP$3-$B$2)&gt;=0,(AP$3-$B$2)&lt;30), 2,0)</f>
        <v>0</v>
      </c>
      <c r="AQ80" s="113">
        <f>IF(OR(AND($F79&lt;=AQ$3, $F80 &gt;= AQ$3), AND($F80&lt;AQ$3, WORKDAY($F80, 22,Holiday!$A$1:$A$30)&gt;AQ$3)), 1, 0)+IF(AND((AQ$3-$B$2)&gt;=0,(AQ$3-$B$2)&lt;30), 2,0)</f>
        <v>0</v>
      </c>
      <c r="AR80" s="113">
        <f>IF(OR(AND($F79&lt;=AR$3, $F80 &gt;= AR$3), AND($F80&lt;AR$3, WORKDAY($F80, 22,Holiday!$A$1:$A$30)&gt;AR$3)), 1, 0)+IF(AND((AR$3-$B$2)&gt;=0,(AR$3-$B$2)&lt;30), 2,0)</f>
        <v>0</v>
      </c>
      <c r="AS80" s="113">
        <f>IF(OR(AND($F79&lt;=AS$3, $F80 &gt;= AS$3), AND($F80&lt;AS$3, WORKDAY($F80, 22,Holiday!$A$1:$A$30)&gt;AS$3)), 1, 0)+IF(AND((AS$3-$B$2)&gt;=0,(AS$3-$B$2)&lt;30), 2,0)</f>
        <v>0</v>
      </c>
      <c r="AT80" s="113">
        <f>IF(OR(AND($F79&lt;=AT$3, $F80 &gt;= AT$3), AND($F80&lt;AT$3, WORKDAY($F80, 22,Holiday!$A$1:$A$30)&gt;AT$3)), 1, 0)+IF(AND((AT$3-$B$2)&gt;=0,(AT$3-$B$2)&lt;30), 2,0)</f>
        <v>0</v>
      </c>
      <c r="AU80" s="113">
        <f>IF(OR(AND($F79&lt;=AU$3, $F80 &gt;= AU$3), AND($F80&lt;AU$3, WORKDAY($F80, 22,Holiday!$A$1:$A$30)&gt;AU$3)), 1, 0)+IF(AND((AU$3-$B$2)&gt;=0,(AU$3-$B$2)&lt;30), 2,0)</f>
        <v>0</v>
      </c>
      <c r="AV80" s="113">
        <f>IF(OR(AND($F79&lt;=AV$3, $F80 &gt;= AV$3), AND($F80&lt;AV$3, WORKDAY($F80, 22,Holiday!$A$1:$A$30)&gt;AV$3)), 1, 0)+IF(AND((AV$3-$B$2)&gt;=0,(AV$3-$B$2)&lt;30), 2,0)</f>
        <v>0</v>
      </c>
      <c r="AW80" s="113">
        <f>IF(OR(AND($F79&lt;=AW$3, $F80 &gt;= AW$3), AND($F80&lt;AW$3, WORKDAY($F80, 22,Holiday!$A$1:$A$30)&gt;AW$3)), 1, 0)+IF(AND((AW$3-$B$2)&gt;=0,(AW$3-$B$2)&lt;30), 2,0)</f>
        <v>0</v>
      </c>
      <c r="AX80" s="113">
        <f>IF(OR(AND($F79&lt;=AX$3, $F80 &gt;= AX$3), AND($F80&lt;AX$3, WORKDAY($F80, 22,Holiday!$A$1:$A$30)&gt;AX$3)), 1, 0)+IF(AND((AX$3-$B$2)&gt;=0,(AX$3-$B$2)&lt;30), 2,0)</f>
        <v>0</v>
      </c>
      <c r="AY80" s="113">
        <f>IF(OR(AND($F79&lt;=AY$3, $F80 &gt;= AY$3), AND($F80&lt;AY$3, WORKDAY($F80, 22,Holiday!$A$1:$A$30)&gt;AY$3)), 1, 0)+IF(AND((AY$3-$B$2)&gt;=0,(AY$3-$B$2)&lt;30), 2,0)</f>
        <v>0</v>
      </c>
      <c r="AZ80" s="113">
        <f>IF(OR(AND($F79&lt;=AZ$3, $F80 &gt;= AZ$3), AND($F80&lt;AZ$3, WORKDAY($F80, 22,Holiday!$A$1:$A$30)&gt;AZ$3)), 1, 0)+IF(AND((AZ$3-$B$2)&gt;=0,(AZ$3-$B$2)&lt;30), 2,0)</f>
        <v>2</v>
      </c>
      <c r="BA80" s="113">
        <f>IF(OR(AND($F79&lt;=BA$3, $F80 &gt;= BA$3), AND($F80&lt;BA$3, WORKDAY($F80, 22,Holiday!$A$1:$A$30)&gt;BA$3)), 1, 0)+IF(AND((BA$3-$B$2)&gt;=0,(BA$3-$B$2)&lt;30), 2,0)</f>
        <v>0</v>
      </c>
      <c r="BB80" s="113">
        <f>IF(OR(AND($F79&lt;=BB$3, $F80 &gt;= BB$3), AND($F80&lt;BB$3, WORKDAY($F80, 22,Holiday!$A$1:$A$30)&gt;BB$3)), 1, 0)+IF(AND((BB$3-$B$2)&gt;=0,(BB$3-$B$2)&lt;30), 2,0)</f>
        <v>0</v>
      </c>
    </row>
    <row r="81" spans="2:54" ht="15" x14ac:dyDescent="0.2">
      <c r="B81" t="s">
        <v>164</v>
      </c>
      <c r="C81" s="112" t="s">
        <v>78</v>
      </c>
      <c r="D81" s="111">
        <v>6</v>
      </c>
      <c r="E81" s="86">
        <f t="shared" si="1"/>
        <v>9</v>
      </c>
      <c r="F81" s="122">
        <f>WORKDAY(F80,E81,Holiday!A77:A106)</f>
        <v>47108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0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0</v>
      </c>
      <c r="L81" s="113">
        <f>IF(OR(AND($F80&lt;=L$3, $F81 &gt;= L$3), AND($F81&lt;L$3, WORKDAY($F81, 22,Holiday!$A$1:$A$30)&gt;L$3)), 1, 0)+IF(AND((L$3-$B$2)&gt;=0,(L$3-$B$2)&lt;30), 2,0)</f>
        <v>0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0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1</v>
      </c>
      <c r="AP81" s="113">
        <f>IF(OR(AND($F80&lt;=AP$3, $F81 &gt;= AP$3), AND($F81&lt;AP$3, WORKDAY($F81, 22,Holiday!$A$1:$A$30)&gt;AP$3)), 1, 0)+IF(AND((AP$3-$B$2)&gt;=0,(AP$3-$B$2)&lt;30), 2,0)</f>
        <v>1</v>
      </c>
      <c r="AQ81" s="113">
        <f>IF(OR(AND($F80&lt;=AQ$3, $F81 &gt;= AQ$3), AND($F81&lt;AQ$3, WORKDAY($F81, 22,Holiday!$A$1:$A$30)&gt;AQ$3)), 1, 0)+IF(AND((AQ$3-$B$2)&gt;=0,(AQ$3-$B$2)&lt;30), 2,0)</f>
        <v>0</v>
      </c>
      <c r="AR81" s="113">
        <f>IF(OR(AND($F80&lt;=AR$3, $F81 &gt;= AR$3), AND($F81&lt;AR$3, WORKDAY($F81, 22,Holiday!$A$1:$A$30)&gt;AR$3)), 1, 0)+IF(AND((AR$3-$B$2)&gt;=0,(AR$3-$B$2)&lt;30), 2,0)</f>
        <v>0</v>
      </c>
      <c r="AS81" s="113">
        <f>IF(OR(AND($F80&lt;=AS$3, $F81 &gt;= AS$3), AND($F81&lt;AS$3, WORKDAY($F81, 22,Holiday!$A$1:$A$30)&gt;AS$3)), 1, 0)+IF(AND((AS$3-$B$2)&gt;=0,(AS$3-$B$2)&lt;30), 2,0)</f>
        <v>0</v>
      </c>
      <c r="AT81" s="113">
        <f>IF(OR(AND($F80&lt;=AT$3, $F81 &gt;= AT$3), AND($F81&lt;AT$3, WORKDAY($F81, 22,Holiday!$A$1:$A$30)&gt;AT$3)), 1, 0)+IF(AND((AT$3-$B$2)&gt;=0,(AT$3-$B$2)&lt;30), 2,0)</f>
        <v>0</v>
      </c>
      <c r="AU81" s="113">
        <f>IF(OR(AND($F80&lt;=AU$3, $F81 &gt;= AU$3), AND($F81&lt;AU$3, WORKDAY($F81, 22,Holiday!$A$1:$A$30)&gt;AU$3)), 1, 0)+IF(AND((AU$3-$B$2)&gt;=0,(AU$3-$B$2)&lt;30), 2,0)</f>
        <v>0</v>
      </c>
      <c r="AV81" s="113">
        <f>IF(OR(AND($F80&lt;=AV$3, $F81 &gt;= AV$3), AND($F81&lt;AV$3, WORKDAY($F81, 22,Holiday!$A$1:$A$30)&gt;AV$3)), 1, 0)+IF(AND((AV$3-$B$2)&gt;=0,(AV$3-$B$2)&lt;30), 2,0)</f>
        <v>0</v>
      </c>
      <c r="AW81" s="113">
        <f>IF(OR(AND($F80&lt;=AW$3, $F81 &gt;= AW$3), AND($F81&lt;AW$3, WORKDAY($F81, 22,Holiday!$A$1:$A$30)&gt;AW$3)), 1, 0)+IF(AND((AW$3-$B$2)&gt;=0,(AW$3-$B$2)&lt;30), 2,0)</f>
        <v>0</v>
      </c>
      <c r="AX81" s="113">
        <f>IF(OR(AND($F80&lt;=AX$3, $F81 &gt;= AX$3), AND($F81&lt;AX$3, WORKDAY($F81, 22,Holiday!$A$1:$A$30)&gt;AX$3)), 1, 0)+IF(AND((AX$3-$B$2)&gt;=0,(AX$3-$B$2)&lt;30), 2,0)</f>
        <v>0</v>
      </c>
      <c r="AY81" s="113">
        <f>IF(OR(AND($F80&lt;=AY$3, $F81 &gt;= AY$3), AND($F81&lt;AY$3, WORKDAY($F81, 22,Holiday!$A$1:$A$30)&gt;AY$3)), 1, 0)+IF(AND((AY$3-$B$2)&gt;=0,(AY$3-$B$2)&lt;30), 2,0)</f>
        <v>0</v>
      </c>
      <c r="AZ81" s="113">
        <f>IF(OR(AND($F80&lt;=AZ$3, $F81 &gt;= AZ$3), AND($F81&lt;AZ$3, WORKDAY($F81, 22,Holiday!$A$1:$A$30)&gt;AZ$3)), 1, 0)+IF(AND((AZ$3-$B$2)&gt;=0,(AZ$3-$B$2)&lt;30), 2,0)</f>
        <v>2</v>
      </c>
      <c r="BA81" s="113">
        <f>IF(OR(AND($F80&lt;=BA$3, $F81 &gt;= BA$3), AND($F81&lt;BA$3, WORKDAY($F81, 22,Holiday!$A$1:$A$30)&gt;BA$3)), 1, 0)+IF(AND((BA$3-$B$2)&gt;=0,(BA$3-$B$2)&lt;30), 2,0)</f>
        <v>0</v>
      </c>
      <c r="BB81" s="113">
        <f>IF(OR(AND($F80&lt;=BB$3, $F81 &gt;= BB$3), AND($F81&lt;BB$3, WORKDAY($F81, 22,Holiday!$A$1:$A$30)&gt;BB$3)), 1, 0)+IF(AND((BB$3-$B$2)&gt;=0,(BB$3-$B$2)&lt;30), 2,0)</f>
        <v>0</v>
      </c>
    </row>
    <row r="82" spans="2:54" ht="15" x14ac:dyDescent="0.2">
      <c r="B82" t="s">
        <v>168</v>
      </c>
      <c r="C82" s="112" t="s">
        <v>78</v>
      </c>
      <c r="D82" s="111">
        <v>6</v>
      </c>
      <c r="E82" s="86">
        <f t="shared" si="1"/>
        <v>9</v>
      </c>
      <c r="F82" s="122">
        <f>WORKDAY(F81,E82,Holiday!A78:A107)</f>
        <v>47121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0</v>
      </c>
      <c r="L82" s="113">
        <f>IF(OR(AND($F81&lt;=L$3, $F82 &gt;= L$3), AND($F82&lt;L$3, WORKDAY($F82, 22,Holiday!$A$1:$A$30)&gt;L$3)), 1, 0)+IF(AND((L$3-$B$2)&gt;=0,(L$3-$B$2)&lt;30), 2,0)</f>
        <v>0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0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  <c r="AP82" s="113">
        <f>IF(OR(AND($F81&lt;=AP$3, $F82 &gt;= AP$3), AND($F82&lt;AP$3, WORKDAY($F82, 22,Holiday!$A$1:$A$30)&gt;AP$3)), 1, 0)+IF(AND((AP$3-$B$2)&gt;=0,(AP$3-$B$2)&lt;30), 2,0)</f>
        <v>1</v>
      </c>
      <c r="AQ82" s="113">
        <f>IF(OR(AND($F81&lt;=AQ$3, $F82 &gt;= AQ$3), AND($F82&lt;AQ$3, WORKDAY($F82, 22,Holiday!$A$1:$A$30)&gt;AQ$3)), 1, 0)+IF(AND((AQ$3-$B$2)&gt;=0,(AQ$3-$B$2)&lt;30), 2,0)</f>
        <v>0</v>
      </c>
      <c r="AR82" s="113">
        <f>IF(OR(AND($F81&lt;=AR$3, $F82 &gt;= AR$3), AND($F82&lt;AR$3, WORKDAY($F82, 22,Holiday!$A$1:$A$30)&gt;AR$3)), 1, 0)+IF(AND((AR$3-$B$2)&gt;=0,(AR$3-$B$2)&lt;30), 2,0)</f>
        <v>0</v>
      </c>
      <c r="AS82" s="113">
        <f>IF(OR(AND($F81&lt;=AS$3, $F82 &gt;= AS$3), AND($F82&lt;AS$3, WORKDAY($F82, 22,Holiday!$A$1:$A$30)&gt;AS$3)), 1, 0)+IF(AND((AS$3-$B$2)&gt;=0,(AS$3-$B$2)&lt;30), 2,0)</f>
        <v>0</v>
      </c>
      <c r="AT82" s="113">
        <f>IF(OR(AND($F81&lt;=AT$3, $F82 &gt;= AT$3), AND($F82&lt;AT$3, WORKDAY($F82, 22,Holiday!$A$1:$A$30)&gt;AT$3)), 1, 0)+IF(AND((AT$3-$B$2)&gt;=0,(AT$3-$B$2)&lt;30), 2,0)</f>
        <v>0</v>
      </c>
      <c r="AU82" s="113">
        <f>IF(OR(AND($F81&lt;=AU$3, $F82 &gt;= AU$3), AND($F82&lt;AU$3, WORKDAY($F82, 22,Holiday!$A$1:$A$30)&gt;AU$3)), 1, 0)+IF(AND((AU$3-$B$2)&gt;=0,(AU$3-$B$2)&lt;30), 2,0)</f>
        <v>0</v>
      </c>
      <c r="AV82" s="113">
        <f>IF(OR(AND($F81&lt;=AV$3, $F82 &gt;= AV$3), AND($F82&lt;AV$3, WORKDAY($F82, 22,Holiday!$A$1:$A$30)&gt;AV$3)), 1, 0)+IF(AND((AV$3-$B$2)&gt;=0,(AV$3-$B$2)&lt;30), 2,0)</f>
        <v>0</v>
      </c>
      <c r="AW82" s="113">
        <f>IF(OR(AND($F81&lt;=AW$3, $F82 &gt;= AW$3), AND($F82&lt;AW$3, WORKDAY($F82, 22,Holiday!$A$1:$A$30)&gt;AW$3)), 1, 0)+IF(AND((AW$3-$B$2)&gt;=0,(AW$3-$B$2)&lt;30), 2,0)</f>
        <v>0</v>
      </c>
      <c r="AX82" s="113">
        <f>IF(OR(AND($F81&lt;=AX$3, $F82 &gt;= AX$3), AND($F82&lt;AX$3, WORKDAY($F82, 22,Holiday!$A$1:$A$30)&gt;AX$3)), 1, 0)+IF(AND((AX$3-$B$2)&gt;=0,(AX$3-$B$2)&lt;30), 2,0)</f>
        <v>0</v>
      </c>
      <c r="AY82" s="113">
        <f>IF(OR(AND($F81&lt;=AY$3, $F82 &gt;= AY$3), AND($F82&lt;AY$3, WORKDAY($F82, 22,Holiday!$A$1:$A$30)&gt;AY$3)), 1, 0)+IF(AND((AY$3-$B$2)&gt;=0,(AY$3-$B$2)&lt;30), 2,0)</f>
        <v>0</v>
      </c>
      <c r="AZ82" s="113">
        <f>IF(OR(AND($F81&lt;=AZ$3, $F82 &gt;= AZ$3), AND($F82&lt;AZ$3, WORKDAY($F82, 22,Holiday!$A$1:$A$30)&gt;AZ$3)), 1, 0)+IF(AND((AZ$3-$B$2)&gt;=0,(AZ$3-$B$2)&lt;30), 2,0)</f>
        <v>2</v>
      </c>
      <c r="BA82" s="113">
        <f>IF(OR(AND($F81&lt;=BA$3, $F82 &gt;= BA$3), AND($F82&lt;BA$3, WORKDAY($F82, 22,Holiday!$A$1:$A$30)&gt;BA$3)), 1, 0)+IF(AND((BA$3-$B$2)&gt;=0,(BA$3-$B$2)&lt;30), 2,0)</f>
        <v>0</v>
      </c>
      <c r="BB82" s="113">
        <f>IF(OR(AND($F81&lt;=BB$3, $F82 &gt;= BB$3), AND($F82&lt;BB$3, WORKDAY($F82, 22,Holiday!$A$1:$A$30)&gt;BB$3)), 1, 0)+IF(AND((BB$3-$B$2)&gt;=0,(BB$3-$B$2)&lt;30), 2,0)</f>
        <v>0</v>
      </c>
    </row>
    <row r="83" spans="2:54" ht="15" x14ac:dyDescent="0.2">
      <c r="B83" t="s">
        <v>166</v>
      </c>
      <c r="C83" s="112" t="s">
        <v>78</v>
      </c>
      <c r="D83" s="111">
        <v>6</v>
      </c>
      <c r="E83" s="86">
        <f t="shared" si="1"/>
        <v>9</v>
      </c>
      <c r="F83" s="122">
        <f>WORKDAY(F82,E83,Holiday!A79:A108)</f>
        <v>47134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0</v>
      </c>
      <c r="L83" s="113">
        <f>IF(OR(AND($F82&lt;=L$3, $F83 &gt;= L$3), AND($F83&lt;L$3, WORKDAY($F83, 22,Holiday!$A$1:$A$30)&gt;L$3)), 1, 0)+IF(AND((L$3-$B$2)&gt;=0,(L$3-$B$2)&lt;30), 2,0)</f>
        <v>0</v>
      </c>
      <c r="M83" s="113">
        <f>IF(OR(AND($F82&lt;=M$3, $F83 &gt;= M$3), AND($F83&lt;M$3, WORKDAY($F83, 22,Holiday!$A$1:$A$30)&gt;M$3)), 1, 0)+IF(AND((M$3-$B$2)&gt;=0,(M$3-$B$2)&lt;30), 2,0)</f>
        <v>0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0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  <c r="AP83" s="113">
        <f>IF(OR(AND($F82&lt;=AP$3, $F83 &gt;= AP$3), AND($F83&lt;AP$3, WORKDAY($F83, 22,Holiday!$A$1:$A$30)&gt;AP$3)), 1, 0)+IF(AND((AP$3-$B$2)&gt;=0,(AP$3-$B$2)&lt;30), 2,0)</f>
        <v>1</v>
      </c>
      <c r="AQ83" s="113">
        <f>IF(OR(AND($F82&lt;=AQ$3, $F83 &gt;= AQ$3), AND($F83&lt;AQ$3, WORKDAY($F83, 22,Holiday!$A$1:$A$30)&gt;AQ$3)), 1, 0)+IF(AND((AQ$3-$B$2)&gt;=0,(AQ$3-$B$2)&lt;30), 2,0)</f>
        <v>0</v>
      </c>
      <c r="AR83" s="113">
        <f>IF(OR(AND($F82&lt;=AR$3, $F83 &gt;= AR$3), AND($F83&lt;AR$3, WORKDAY($F83, 22,Holiday!$A$1:$A$30)&gt;AR$3)), 1, 0)+IF(AND((AR$3-$B$2)&gt;=0,(AR$3-$B$2)&lt;30), 2,0)</f>
        <v>0</v>
      </c>
      <c r="AS83" s="113">
        <f>IF(OR(AND($F82&lt;=AS$3, $F83 &gt;= AS$3), AND($F83&lt;AS$3, WORKDAY($F83, 22,Holiday!$A$1:$A$30)&gt;AS$3)), 1, 0)+IF(AND((AS$3-$B$2)&gt;=0,(AS$3-$B$2)&lt;30), 2,0)</f>
        <v>0</v>
      </c>
      <c r="AT83" s="113">
        <f>IF(OR(AND($F82&lt;=AT$3, $F83 &gt;= AT$3), AND($F83&lt;AT$3, WORKDAY($F83, 22,Holiday!$A$1:$A$30)&gt;AT$3)), 1, 0)+IF(AND((AT$3-$B$2)&gt;=0,(AT$3-$B$2)&lt;30), 2,0)</f>
        <v>0</v>
      </c>
      <c r="AU83" s="113">
        <f>IF(OR(AND($F82&lt;=AU$3, $F83 &gt;= AU$3), AND($F83&lt;AU$3, WORKDAY($F83, 22,Holiday!$A$1:$A$30)&gt;AU$3)), 1, 0)+IF(AND((AU$3-$B$2)&gt;=0,(AU$3-$B$2)&lt;30), 2,0)</f>
        <v>0</v>
      </c>
      <c r="AV83" s="113">
        <f>IF(OR(AND($F82&lt;=AV$3, $F83 &gt;= AV$3), AND($F83&lt;AV$3, WORKDAY($F83, 22,Holiday!$A$1:$A$30)&gt;AV$3)), 1, 0)+IF(AND((AV$3-$B$2)&gt;=0,(AV$3-$B$2)&lt;30), 2,0)</f>
        <v>0</v>
      </c>
      <c r="AW83" s="113">
        <f>IF(OR(AND($F82&lt;=AW$3, $F83 &gt;= AW$3), AND($F83&lt;AW$3, WORKDAY($F83, 22,Holiday!$A$1:$A$30)&gt;AW$3)), 1, 0)+IF(AND((AW$3-$B$2)&gt;=0,(AW$3-$B$2)&lt;30), 2,0)</f>
        <v>0</v>
      </c>
      <c r="AX83" s="113">
        <f>IF(OR(AND($F82&lt;=AX$3, $F83 &gt;= AX$3), AND($F83&lt;AX$3, WORKDAY($F83, 22,Holiday!$A$1:$A$30)&gt;AX$3)), 1, 0)+IF(AND((AX$3-$B$2)&gt;=0,(AX$3-$B$2)&lt;30), 2,0)</f>
        <v>0</v>
      </c>
      <c r="AY83" s="113">
        <f>IF(OR(AND($F82&lt;=AY$3, $F83 &gt;= AY$3), AND($F83&lt;AY$3, WORKDAY($F83, 22,Holiday!$A$1:$A$30)&gt;AY$3)), 1, 0)+IF(AND((AY$3-$B$2)&gt;=0,(AY$3-$B$2)&lt;30), 2,0)</f>
        <v>0</v>
      </c>
      <c r="AZ83" s="113">
        <f>IF(OR(AND($F82&lt;=AZ$3, $F83 &gt;= AZ$3), AND($F83&lt;AZ$3, WORKDAY($F83, 22,Holiday!$A$1:$A$30)&gt;AZ$3)), 1, 0)+IF(AND((AZ$3-$B$2)&gt;=0,(AZ$3-$B$2)&lt;30), 2,0)</f>
        <v>2</v>
      </c>
      <c r="BA83" s="113">
        <f>IF(OR(AND($F82&lt;=BA$3, $F83 &gt;= BA$3), AND($F83&lt;BA$3, WORKDAY($F83, 22,Holiday!$A$1:$A$30)&gt;BA$3)), 1, 0)+IF(AND((BA$3-$B$2)&gt;=0,(BA$3-$B$2)&lt;30), 2,0)</f>
        <v>0</v>
      </c>
      <c r="BB83" s="113">
        <f>IF(OR(AND($F82&lt;=BB$3, $F83 &gt;= BB$3), AND($F83&lt;BB$3, WORKDAY($F83, 22,Holiday!$A$1:$A$30)&gt;BB$3)), 1, 0)+IF(AND((BB$3-$B$2)&gt;=0,(BB$3-$B$2)&lt;30), 2,0)</f>
        <v>0</v>
      </c>
    </row>
    <row r="84" spans="2:54" ht="15" x14ac:dyDescent="0.2">
      <c r="B84" t="s">
        <v>155</v>
      </c>
      <c r="C84" s="112" t="s">
        <v>78</v>
      </c>
      <c r="D84" s="111">
        <v>6</v>
      </c>
      <c r="E84" s="86">
        <f t="shared" si="1"/>
        <v>9</v>
      </c>
      <c r="F84" s="122">
        <f>WORKDAY(F83,E84,Holiday!A80:A109)</f>
        <v>47147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0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0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  <c r="AP84" s="113">
        <f>IF(OR(AND($F83&lt;=AP$3, $F84 &gt;= AP$3), AND($F84&lt;AP$3, WORKDAY($F84, 22,Holiday!$A$1:$A$30)&gt;AP$3)), 1, 0)+IF(AND((AP$3-$B$2)&gt;=0,(AP$3-$B$2)&lt;30), 2,0)</f>
        <v>1</v>
      </c>
      <c r="AQ84" s="113">
        <f>IF(OR(AND($F83&lt;=AQ$3, $F84 &gt;= AQ$3), AND($F84&lt;AQ$3, WORKDAY($F84, 22,Holiday!$A$1:$A$30)&gt;AQ$3)), 1, 0)+IF(AND((AQ$3-$B$2)&gt;=0,(AQ$3-$B$2)&lt;30), 2,0)</f>
        <v>1</v>
      </c>
      <c r="AR84" s="113">
        <f>IF(OR(AND($F83&lt;=AR$3, $F84 &gt;= AR$3), AND($F84&lt;AR$3, WORKDAY($F84, 22,Holiday!$A$1:$A$30)&gt;AR$3)), 1, 0)+IF(AND((AR$3-$B$2)&gt;=0,(AR$3-$B$2)&lt;30), 2,0)</f>
        <v>0</v>
      </c>
      <c r="AS84" s="113">
        <f>IF(OR(AND($F83&lt;=AS$3, $F84 &gt;= AS$3), AND($F84&lt;AS$3, WORKDAY($F84, 22,Holiday!$A$1:$A$30)&gt;AS$3)), 1, 0)+IF(AND((AS$3-$B$2)&gt;=0,(AS$3-$B$2)&lt;30), 2,0)</f>
        <v>0</v>
      </c>
      <c r="AT84" s="113">
        <f>IF(OR(AND($F83&lt;=AT$3, $F84 &gt;= AT$3), AND($F84&lt;AT$3, WORKDAY($F84, 22,Holiday!$A$1:$A$30)&gt;AT$3)), 1, 0)+IF(AND((AT$3-$B$2)&gt;=0,(AT$3-$B$2)&lt;30), 2,0)</f>
        <v>0</v>
      </c>
      <c r="AU84" s="113">
        <f>IF(OR(AND($F83&lt;=AU$3, $F84 &gt;= AU$3), AND($F84&lt;AU$3, WORKDAY($F84, 22,Holiday!$A$1:$A$30)&gt;AU$3)), 1, 0)+IF(AND((AU$3-$B$2)&gt;=0,(AU$3-$B$2)&lt;30), 2,0)</f>
        <v>0</v>
      </c>
      <c r="AV84" s="113">
        <f>IF(OR(AND($F83&lt;=AV$3, $F84 &gt;= AV$3), AND($F84&lt;AV$3, WORKDAY($F84, 22,Holiday!$A$1:$A$30)&gt;AV$3)), 1, 0)+IF(AND((AV$3-$B$2)&gt;=0,(AV$3-$B$2)&lt;30), 2,0)</f>
        <v>0</v>
      </c>
      <c r="AW84" s="113">
        <f>IF(OR(AND($F83&lt;=AW$3, $F84 &gt;= AW$3), AND($F84&lt;AW$3, WORKDAY($F84, 22,Holiday!$A$1:$A$30)&gt;AW$3)), 1, 0)+IF(AND((AW$3-$B$2)&gt;=0,(AW$3-$B$2)&lt;30), 2,0)</f>
        <v>0</v>
      </c>
      <c r="AX84" s="113">
        <f>IF(OR(AND($F83&lt;=AX$3, $F84 &gt;= AX$3), AND($F84&lt;AX$3, WORKDAY($F84, 22,Holiday!$A$1:$A$30)&gt;AX$3)), 1, 0)+IF(AND((AX$3-$B$2)&gt;=0,(AX$3-$B$2)&lt;30), 2,0)</f>
        <v>0</v>
      </c>
      <c r="AY84" s="113">
        <f>IF(OR(AND($F83&lt;=AY$3, $F84 &gt;= AY$3), AND($F84&lt;AY$3, WORKDAY($F84, 22,Holiday!$A$1:$A$30)&gt;AY$3)), 1, 0)+IF(AND((AY$3-$B$2)&gt;=0,(AY$3-$B$2)&lt;30), 2,0)</f>
        <v>0</v>
      </c>
      <c r="AZ84" s="113">
        <f>IF(OR(AND($F83&lt;=AZ$3, $F84 &gt;= AZ$3), AND($F84&lt;AZ$3, WORKDAY($F84, 22,Holiday!$A$1:$A$30)&gt;AZ$3)), 1, 0)+IF(AND((AZ$3-$B$2)&gt;=0,(AZ$3-$B$2)&lt;30), 2,0)</f>
        <v>2</v>
      </c>
      <c r="BA84" s="113">
        <f>IF(OR(AND($F83&lt;=BA$3, $F84 &gt;= BA$3), AND($F84&lt;BA$3, WORKDAY($F84, 22,Holiday!$A$1:$A$30)&gt;BA$3)), 1, 0)+IF(AND((BA$3-$B$2)&gt;=0,(BA$3-$B$2)&lt;30), 2,0)</f>
        <v>0</v>
      </c>
      <c r="BB84" s="113">
        <f>IF(OR(AND($F83&lt;=BB$3, $F84 &gt;= BB$3), AND($F84&lt;BB$3, WORKDAY($F84, 22,Holiday!$A$1:$A$30)&gt;BB$3)), 1, 0)+IF(AND((BB$3-$B$2)&gt;=0,(BB$3-$B$2)&lt;30), 2,0)</f>
        <v>0</v>
      </c>
    </row>
    <row r="85" spans="2:54" ht="15" x14ac:dyDescent="0.2">
      <c r="B85" t="s">
        <v>181</v>
      </c>
      <c r="C85" s="112" t="s">
        <v>78</v>
      </c>
      <c r="D85" s="111">
        <v>6</v>
      </c>
      <c r="E85" s="86">
        <f t="shared" si="1"/>
        <v>9</v>
      </c>
      <c r="F85" s="122">
        <f>WORKDAY(F84,E85,Holiday!A81:A110)</f>
        <v>47158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0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0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0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0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  <c r="AP85" s="113">
        <f>IF(OR(AND($F84&lt;=AP$3, $F85 &gt;= AP$3), AND($F85&lt;AP$3, WORKDAY($F85, 22,Holiday!$A$1:$A$30)&gt;AP$3)), 1, 0)+IF(AND((AP$3-$B$2)&gt;=0,(AP$3-$B$2)&lt;30), 2,0)</f>
        <v>0</v>
      </c>
      <c r="AQ85" s="113">
        <f>IF(OR(AND($F84&lt;=AQ$3, $F85 &gt;= AQ$3), AND($F85&lt;AQ$3, WORKDAY($F85, 22,Holiday!$A$1:$A$30)&gt;AQ$3)), 1, 0)+IF(AND((AQ$3-$B$2)&gt;=0,(AQ$3-$B$2)&lt;30), 2,0)</f>
        <v>1</v>
      </c>
      <c r="AR85" s="113">
        <f>IF(OR(AND($F84&lt;=AR$3, $F85 &gt;= AR$3), AND($F85&lt;AR$3, WORKDAY($F85, 22,Holiday!$A$1:$A$30)&gt;AR$3)), 1, 0)+IF(AND((AR$3-$B$2)&gt;=0,(AR$3-$B$2)&lt;30), 2,0)</f>
        <v>0</v>
      </c>
      <c r="AS85" s="113">
        <f>IF(OR(AND($F84&lt;=AS$3, $F85 &gt;= AS$3), AND($F85&lt;AS$3, WORKDAY($F85, 22,Holiday!$A$1:$A$30)&gt;AS$3)), 1, 0)+IF(AND((AS$3-$B$2)&gt;=0,(AS$3-$B$2)&lt;30), 2,0)</f>
        <v>0</v>
      </c>
      <c r="AT85" s="113">
        <f>IF(OR(AND($F84&lt;=AT$3, $F85 &gt;= AT$3), AND($F85&lt;AT$3, WORKDAY($F85, 22,Holiday!$A$1:$A$30)&gt;AT$3)), 1, 0)+IF(AND((AT$3-$B$2)&gt;=0,(AT$3-$B$2)&lt;30), 2,0)</f>
        <v>0</v>
      </c>
      <c r="AU85" s="113">
        <f>IF(OR(AND($F84&lt;=AU$3, $F85 &gt;= AU$3), AND($F85&lt;AU$3, WORKDAY($F85, 22,Holiday!$A$1:$A$30)&gt;AU$3)), 1, 0)+IF(AND((AU$3-$B$2)&gt;=0,(AU$3-$B$2)&lt;30), 2,0)</f>
        <v>0</v>
      </c>
      <c r="AV85" s="113">
        <f>IF(OR(AND($F84&lt;=AV$3, $F85 &gt;= AV$3), AND($F85&lt;AV$3, WORKDAY($F85, 22,Holiday!$A$1:$A$30)&gt;AV$3)), 1, 0)+IF(AND((AV$3-$B$2)&gt;=0,(AV$3-$B$2)&lt;30), 2,0)</f>
        <v>0</v>
      </c>
      <c r="AW85" s="113">
        <f>IF(OR(AND($F84&lt;=AW$3, $F85 &gt;= AW$3), AND($F85&lt;AW$3, WORKDAY($F85, 22,Holiday!$A$1:$A$30)&gt;AW$3)), 1, 0)+IF(AND((AW$3-$B$2)&gt;=0,(AW$3-$B$2)&lt;30), 2,0)</f>
        <v>0</v>
      </c>
      <c r="AX85" s="113">
        <f>IF(OR(AND($F84&lt;=AX$3, $F85 &gt;= AX$3), AND($F85&lt;AX$3, WORKDAY($F85, 22,Holiday!$A$1:$A$30)&gt;AX$3)), 1, 0)+IF(AND((AX$3-$B$2)&gt;=0,(AX$3-$B$2)&lt;30), 2,0)</f>
        <v>0</v>
      </c>
      <c r="AY85" s="113">
        <f>IF(OR(AND($F84&lt;=AY$3, $F85 &gt;= AY$3), AND($F85&lt;AY$3, WORKDAY($F85, 22,Holiday!$A$1:$A$30)&gt;AY$3)), 1, 0)+IF(AND((AY$3-$B$2)&gt;=0,(AY$3-$B$2)&lt;30), 2,0)</f>
        <v>0</v>
      </c>
      <c r="AZ85" s="113">
        <f>IF(OR(AND($F84&lt;=AZ$3, $F85 &gt;= AZ$3), AND($F85&lt;AZ$3, WORKDAY($F85, 22,Holiday!$A$1:$A$30)&gt;AZ$3)), 1, 0)+IF(AND((AZ$3-$B$2)&gt;=0,(AZ$3-$B$2)&lt;30), 2,0)</f>
        <v>2</v>
      </c>
      <c r="BA85" s="113">
        <f>IF(OR(AND($F84&lt;=BA$3, $F85 &gt;= BA$3), AND($F85&lt;BA$3, WORKDAY($F85, 22,Holiday!$A$1:$A$30)&gt;BA$3)), 1, 0)+IF(AND((BA$3-$B$2)&gt;=0,(BA$3-$B$2)&lt;30), 2,0)</f>
        <v>0</v>
      </c>
      <c r="BB85" s="113">
        <f>IF(OR(AND($F84&lt;=BB$3, $F85 &gt;= BB$3), AND($F85&lt;BB$3, WORKDAY($F85, 22,Holiday!$A$1:$A$30)&gt;BB$3)), 1, 0)+IF(AND((BB$3-$B$2)&gt;=0,(BB$3-$B$2)&lt;30), 2,0)</f>
        <v>0</v>
      </c>
    </row>
    <row r="86" spans="2:54" ht="15" x14ac:dyDescent="0.2">
      <c r="B86" t="s">
        <v>183</v>
      </c>
      <c r="C86" s="112" t="s">
        <v>78</v>
      </c>
      <c r="D86" s="111">
        <v>6</v>
      </c>
      <c r="E86" s="86">
        <f t="shared" si="1"/>
        <v>9</v>
      </c>
      <c r="F86" s="122">
        <f>WORKDAY(F85,E86,Holiday!A82:A111)</f>
        <v>47171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0</v>
      </c>
      <c r="L86" s="113">
        <f>IF(OR(AND($F85&lt;=L$3, $F86 &gt;= L$3), AND($F86&lt;L$3, WORKDAY($F86, 22,Holiday!$A$1:$A$30)&gt;L$3)), 1, 0)+IF(AND((L$3-$B$2)&gt;=0,(L$3-$B$2)&lt;30), 2,0)</f>
        <v>0</v>
      </c>
      <c r="M86" s="113">
        <f>IF(OR(AND($F85&lt;=M$3, $F86 &gt;= M$3), AND($F86&lt;M$3, WORKDAY($F86, 22,Holiday!$A$1:$A$30)&gt;M$3)), 1, 0)+IF(AND((M$3-$B$2)&gt;=0,(M$3-$B$2)&lt;30), 2,0)</f>
        <v>0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0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0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0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  <c r="AP86" s="113">
        <f>IF(OR(AND($F85&lt;=AP$3, $F86 &gt;= AP$3), AND($F86&lt;AP$3, WORKDAY($F86, 22,Holiday!$A$1:$A$30)&gt;AP$3)), 1, 0)+IF(AND((AP$3-$B$2)&gt;=0,(AP$3-$B$2)&lt;30), 2,0)</f>
        <v>0</v>
      </c>
      <c r="AQ86" s="113">
        <f>IF(OR(AND($F85&lt;=AQ$3, $F86 &gt;= AQ$3), AND($F86&lt;AQ$3, WORKDAY($F86, 22,Holiday!$A$1:$A$30)&gt;AQ$3)), 1, 0)+IF(AND((AQ$3-$B$2)&gt;=0,(AQ$3-$B$2)&lt;30), 2,0)</f>
        <v>1</v>
      </c>
      <c r="AR86" s="113">
        <f>IF(OR(AND($F85&lt;=AR$3, $F86 &gt;= AR$3), AND($F86&lt;AR$3, WORKDAY($F86, 22,Holiday!$A$1:$A$30)&gt;AR$3)), 1, 0)+IF(AND((AR$3-$B$2)&gt;=0,(AR$3-$B$2)&lt;30), 2,0)</f>
        <v>1</v>
      </c>
      <c r="AS86" s="113">
        <f>IF(OR(AND($F85&lt;=AS$3, $F86 &gt;= AS$3), AND($F86&lt;AS$3, WORKDAY($F86, 22,Holiday!$A$1:$A$30)&gt;AS$3)), 1, 0)+IF(AND((AS$3-$B$2)&gt;=0,(AS$3-$B$2)&lt;30), 2,0)</f>
        <v>0</v>
      </c>
      <c r="AT86" s="113">
        <f>IF(OR(AND($F85&lt;=AT$3, $F86 &gt;= AT$3), AND($F86&lt;AT$3, WORKDAY($F86, 22,Holiday!$A$1:$A$30)&gt;AT$3)), 1, 0)+IF(AND((AT$3-$B$2)&gt;=0,(AT$3-$B$2)&lt;30), 2,0)</f>
        <v>0</v>
      </c>
      <c r="AU86" s="113">
        <f>IF(OR(AND($F85&lt;=AU$3, $F86 &gt;= AU$3), AND($F86&lt;AU$3, WORKDAY($F86, 22,Holiday!$A$1:$A$30)&gt;AU$3)), 1, 0)+IF(AND((AU$3-$B$2)&gt;=0,(AU$3-$B$2)&lt;30), 2,0)</f>
        <v>0</v>
      </c>
      <c r="AV86" s="113">
        <f>IF(OR(AND($F85&lt;=AV$3, $F86 &gt;= AV$3), AND($F86&lt;AV$3, WORKDAY($F86, 22,Holiday!$A$1:$A$30)&gt;AV$3)), 1, 0)+IF(AND((AV$3-$B$2)&gt;=0,(AV$3-$B$2)&lt;30), 2,0)</f>
        <v>0</v>
      </c>
      <c r="AW86" s="113">
        <f>IF(OR(AND($F85&lt;=AW$3, $F86 &gt;= AW$3), AND($F86&lt;AW$3, WORKDAY($F86, 22,Holiday!$A$1:$A$30)&gt;AW$3)), 1, 0)+IF(AND((AW$3-$B$2)&gt;=0,(AW$3-$B$2)&lt;30), 2,0)</f>
        <v>0</v>
      </c>
      <c r="AX86" s="113">
        <f>IF(OR(AND($F85&lt;=AX$3, $F86 &gt;= AX$3), AND($F86&lt;AX$3, WORKDAY($F86, 22,Holiday!$A$1:$A$30)&gt;AX$3)), 1, 0)+IF(AND((AX$3-$B$2)&gt;=0,(AX$3-$B$2)&lt;30), 2,0)</f>
        <v>0</v>
      </c>
      <c r="AY86" s="113">
        <f>IF(OR(AND($F85&lt;=AY$3, $F86 &gt;= AY$3), AND($F86&lt;AY$3, WORKDAY($F86, 22,Holiday!$A$1:$A$30)&gt;AY$3)), 1, 0)+IF(AND((AY$3-$B$2)&gt;=0,(AY$3-$B$2)&lt;30), 2,0)</f>
        <v>0</v>
      </c>
      <c r="AZ86" s="113">
        <f>IF(OR(AND($F85&lt;=AZ$3, $F86 &gt;= AZ$3), AND($F86&lt;AZ$3, WORKDAY($F86, 22,Holiday!$A$1:$A$30)&gt;AZ$3)), 1, 0)+IF(AND((AZ$3-$B$2)&gt;=0,(AZ$3-$B$2)&lt;30), 2,0)</f>
        <v>2</v>
      </c>
      <c r="BA86" s="113">
        <f>IF(OR(AND($F85&lt;=BA$3, $F86 &gt;= BA$3), AND($F86&lt;BA$3, WORKDAY($F86, 22,Holiday!$A$1:$A$30)&gt;BA$3)), 1, 0)+IF(AND((BA$3-$B$2)&gt;=0,(BA$3-$B$2)&lt;30), 2,0)</f>
        <v>0</v>
      </c>
      <c r="BB86" s="113">
        <f>IF(OR(AND($F85&lt;=BB$3, $F86 &gt;= BB$3), AND($F86&lt;BB$3, WORKDAY($F86, 22,Holiday!$A$1:$A$30)&gt;BB$3)), 1, 0)+IF(AND((BB$3-$B$2)&gt;=0,(BB$3-$B$2)&lt;30), 2,0)</f>
        <v>0</v>
      </c>
    </row>
    <row r="87" spans="2:54" ht="15" x14ac:dyDescent="0.2">
      <c r="B87" t="s">
        <v>177</v>
      </c>
      <c r="C87" s="112" t="s">
        <v>78</v>
      </c>
      <c r="D87" s="111">
        <v>6</v>
      </c>
      <c r="E87" s="86">
        <f t="shared" si="1"/>
        <v>9</v>
      </c>
      <c r="F87" s="122">
        <f>WORKDAY(F86,E87,Holiday!A83:A112)</f>
        <v>47184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0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0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0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0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  <c r="AP87" s="113">
        <f>IF(OR(AND($F86&lt;=AP$3, $F87 &gt;= AP$3), AND($F87&lt;AP$3, WORKDAY($F87, 22,Holiday!$A$1:$A$30)&gt;AP$3)), 1, 0)+IF(AND((AP$3-$B$2)&gt;=0,(AP$3-$B$2)&lt;30), 2,0)</f>
        <v>0</v>
      </c>
      <c r="AQ87" s="113">
        <f>IF(OR(AND($F86&lt;=AQ$3, $F87 &gt;= AQ$3), AND($F87&lt;AQ$3, WORKDAY($F87, 22,Holiday!$A$1:$A$30)&gt;AQ$3)), 1, 0)+IF(AND((AQ$3-$B$2)&gt;=0,(AQ$3-$B$2)&lt;30), 2,0)</f>
        <v>0</v>
      </c>
      <c r="AR87" s="113">
        <f>IF(OR(AND($F86&lt;=AR$3, $F87 &gt;= AR$3), AND($F87&lt;AR$3, WORKDAY($F87, 22,Holiday!$A$1:$A$30)&gt;AR$3)), 1, 0)+IF(AND((AR$3-$B$2)&gt;=0,(AR$3-$B$2)&lt;30), 2,0)</f>
        <v>1</v>
      </c>
      <c r="AS87" s="113">
        <f>IF(OR(AND($F86&lt;=AS$3, $F87 &gt;= AS$3), AND($F87&lt;AS$3, WORKDAY($F87, 22,Holiday!$A$1:$A$30)&gt;AS$3)), 1, 0)+IF(AND((AS$3-$B$2)&gt;=0,(AS$3-$B$2)&lt;30), 2,0)</f>
        <v>0</v>
      </c>
      <c r="AT87" s="113">
        <f>IF(OR(AND($F86&lt;=AT$3, $F87 &gt;= AT$3), AND($F87&lt;AT$3, WORKDAY($F87, 22,Holiday!$A$1:$A$30)&gt;AT$3)), 1, 0)+IF(AND((AT$3-$B$2)&gt;=0,(AT$3-$B$2)&lt;30), 2,0)</f>
        <v>0</v>
      </c>
      <c r="AU87" s="113">
        <f>IF(OR(AND($F86&lt;=AU$3, $F87 &gt;= AU$3), AND($F87&lt;AU$3, WORKDAY($F87, 22,Holiday!$A$1:$A$30)&gt;AU$3)), 1, 0)+IF(AND((AU$3-$B$2)&gt;=0,(AU$3-$B$2)&lt;30), 2,0)</f>
        <v>0</v>
      </c>
      <c r="AV87" s="113">
        <f>IF(OR(AND($F86&lt;=AV$3, $F87 &gt;= AV$3), AND($F87&lt;AV$3, WORKDAY($F87, 22,Holiday!$A$1:$A$30)&gt;AV$3)), 1, 0)+IF(AND((AV$3-$B$2)&gt;=0,(AV$3-$B$2)&lt;30), 2,0)</f>
        <v>0</v>
      </c>
      <c r="AW87" s="113">
        <f>IF(OR(AND($F86&lt;=AW$3, $F87 &gt;= AW$3), AND($F87&lt;AW$3, WORKDAY($F87, 22,Holiday!$A$1:$A$30)&gt;AW$3)), 1, 0)+IF(AND((AW$3-$B$2)&gt;=0,(AW$3-$B$2)&lt;30), 2,0)</f>
        <v>0</v>
      </c>
      <c r="AX87" s="113">
        <f>IF(OR(AND($F86&lt;=AX$3, $F87 &gt;= AX$3), AND($F87&lt;AX$3, WORKDAY($F87, 22,Holiday!$A$1:$A$30)&gt;AX$3)), 1, 0)+IF(AND((AX$3-$B$2)&gt;=0,(AX$3-$B$2)&lt;30), 2,0)</f>
        <v>0</v>
      </c>
      <c r="AY87" s="113">
        <f>IF(OR(AND($F86&lt;=AY$3, $F87 &gt;= AY$3), AND($F87&lt;AY$3, WORKDAY($F87, 22,Holiday!$A$1:$A$30)&gt;AY$3)), 1, 0)+IF(AND((AY$3-$B$2)&gt;=0,(AY$3-$B$2)&lt;30), 2,0)</f>
        <v>0</v>
      </c>
      <c r="AZ87" s="113">
        <f>IF(OR(AND($F86&lt;=AZ$3, $F87 &gt;= AZ$3), AND($F87&lt;AZ$3, WORKDAY($F87, 22,Holiday!$A$1:$A$30)&gt;AZ$3)), 1, 0)+IF(AND((AZ$3-$B$2)&gt;=0,(AZ$3-$B$2)&lt;30), 2,0)</f>
        <v>2</v>
      </c>
      <c r="BA87" s="113">
        <f>IF(OR(AND($F86&lt;=BA$3, $F87 &gt;= BA$3), AND($F87&lt;BA$3, WORKDAY($F87, 22,Holiday!$A$1:$A$30)&gt;BA$3)), 1, 0)+IF(AND((BA$3-$B$2)&gt;=0,(BA$3-$B$2)&lt;30), 2,0)</f>
        <v>0</v>
      </c>
      <c r="BB87" s="113">
        <f>IF(OR(AND($F86&lt;=BB$3, $F87 &gt;= BB$3), AND($F87&lt;BB$3, WORKDAY($F87, 22,Holiday!$A$1:$A$30)&gt;BB$3)), 1, 0)+IF(AND((BB$3-$B$2)&gt;=0,(BB$3-$B$2)&lt;30), 2,0)</f>
        <v>0</v>
      </c>
    </row>
    <row r="88" spans="2:54" ht="15" x14ac:dyDescent="0.2">
      <c r="B88" t="s">
        <v>176</v>
      </c>
      <c r="C88" s="112" t="s">
        <v>78</v>
      </c>
      <c r="D88" s="111">
        <v>6</v>
      </c>
      <c r="E88" s="86">
        <f t="shared" si="1"/>
        <v>9</v>
      </c>
      <c r="F88" s="122">
        <f>WORKDAY(F87,E88,Holiday!A84:A113)</f>
        <v>47197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0</v>
      </c>
      <c r="N88" s="113">
        <f>IF(OR(AND($F87&lt;=N$3, $F88 &gt;= N$3), AND($F88&lt;N$3, WORKDAY($F88, 22,Holiday!$A$1:$A$30)&gt;N$3)), 1, 0)+IF(AND((N$3-$B$2)&gt;=0,(N$3-$B$2)&lt;30), 2,0)</f>
        <v>0</v>
      </c>
      <c r="O88" s="113">
        <f>IF(OR(AND($F87&lt;=O$3, $F88 &gt;= O$3), AND($F88&lt;O$3, WORKDAY($F88, 22,Holiday!$A$1:$A$30)&gt;O$3)), 1, 0)+IF(AND((O$3-$B$2)&gt;=0,(O$3-$B$2)&lt;30), 2,0)</f>
        <v>0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0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  <c r="AP88" s="113">
        <f>IF(OR(AND($F87&lt;=AP$3, $F88 &gt;= AP$3), AND($F88&lt;AP$3, WORKDAY($F88, 22,Holiday!$A$1:$A$30)&gt;AP$3)), 1, 0)+IF(AND((AP$3-$B$2)&gt;=0,(AP$3-$B$2)&lt;30), 2,0)</f>
        <v>0</v>
      </c>
      <c r="AQ88" s="113">
        <f>IF(OR(AND($F87&lt;=AQ$3, $F88 &gt;= AQ$3), AND($F88&lt;AQ$3, WORKDAY($F88, 22,Holiday!$A$1:$A$30)&gt;AQ$3)), 1, 0)+IF(AND((AQ$3-$B$2)&gt;=0,(AQ$3-$B$2)&lt;30), 2,0)</f>
        <v>0</v>
      </c>
      <c r="AR88" s="113">
        <f>IF(OR(AND($F87&lt;=AR$3, $F88 &gt;= AR$3), AND($F88&lt;AR$3, WORKDAY($F88, 22,Holiday!$A$1:$A$30)&gt;AR$3)), 1, 0)+IF(AND((AR$3-$B$2)&gt;=0,(AR$3-$B$2)&lt;30), 2,0)</f>
        <v>1</v>
      </c>
      <c r="AS88" s="113">
        <f>IF(OR(AND($F87&lt;=AS$3, $F88 &gt;= AS$3), AND($F88&lt;AS$3, WORKDAY($F88, 22,Holiday!$A$1:$A$30)&gt;AS$3)), 1, 0)+IF(AND((AS$3-$B$2)&gt;=0,(AS$3-$B$2)&lt;30), 2,0)</f>
        <v>0</v>
      </c>
      <c r="AT88" s="113">
        <f>IF(OR(AND($F87&lt;=AT$3, $F88 &gt;= AT$3), AND($F88&lt;AT$3, WORKDAY($F88, 22,Holiday!$A$1:$A$30)&gt;AT$3)), 1, 0)+IF(AND((AT$3-$B$2)&gt;=0,(AT$3-$B$2)&lt;30), 2,0)</f>
        <v>0</v>
      </c>
      <c r="AU88" s="113">
        <f>IF(OR(AND($F87&lt;=AU$3, $F88 &gt;= AU$3), AND($F88&lt;AU$3, WORKDAY($F88, 22,Holiday!$A$1:$A$30)&gt;AU$3)), 1, 0)+IF(AND((AU$3-$B$2)&gt;=0,(AU$3-$B$2)&lt;30), 2,0)</f>
        <v>0</v>
      </c>
      <c r="AV88" s="113">
        <f>IF(OR(AND($F87&lt;=AV$3, $F88 &gt;= AV$3), AND($F88&lt;AV$3, WORKDAY($F88, 22,Holiday!$A$1:$A$30)&gt;AV$3)), 1, 0)+IF(AND((AV$3-$B$2)&gt;=0,(AV$3-$B$2)&lt;30), 2,0)</f>
        <v>0</v>
      </c>
      <c r="AW88" s="113">
        <f>IF(OR(AND($F87&lt;=AW$3, $F88 &gt;= AW$3), AND($F88&lt;AW$3, WORKDAY($F88, 22,Holiday!$A$1:$A$30)&gt;AW$3)), 1, 0)+IF(AND((AW$3-$B$2)&gt;=0,(AW$3-$B$2)&lt;30), 2,0)</f>
        <v>0</v>
      </c>
      <c r="AX88" s="113">
        <f>IF(OR(AND($F87&lt;=AX$3, $F88 &gt;= AX$3), AND($F88&lt;AX$3, WORKDAY($F88, 22,Holiday!$A$1:$A$30)&gt;AX$3)), 1, 0)+IF(AND((AX$3-$B$2)&gt;=0,(AX$3-$B$2)&lt;30), 2,0)</f>
        <v>0</v>
      </c>
      <c r="AY88" s="113">
        <f>IF(OR(AND($F87&lt;=AY$3, $F88 &gt;= AY$3), AND($F88&lt;AY$3, WORKDAY($F88, 22,Holiday!$A$1:$A$30)&gt;AY$3)), 1, 0)+IF(AND((AY$3-$B$2)&gt;=0,(AY$3-$B$2)&lt;30), 2,0)</f>
        <v>0</v>
      </c>
      <c r="AZ88" s="113">
        <f>IF(OR(AND($F87&lt;=AZ$3, $F88 &gt;= AZ$3), AND($F88&lt;AZ$3, WORKDAY($F88, 22,Holiday!$A$1:$A$30)&gt;AZ$3)), 1, 0)+IF(AND((AZ$3-$B$2)&gt;=0,(AZ$3-$B$2)&lt;30), 2,0)</f>
        <v>2</v>
      </c>
      <c r="BA88" s="113">
        <f>IF(OR(AND($F87&lt;=BA$3, $F88 &gt;= BA$3), AND($F88&lt;BA$3, WORKDAY($F88, 22,Holiday!$A$1:$A$30)&gt;BA$3)), 1, 0)+IF(AND((BA$3-$B$2)&gt;=0,(BA$3-$B$2)&lt;30), 2,0)</f>
        <v>0</v>
      </c>
      <c r="BB88" s="113">
        <f>IF(OR(AND($F87&lt;=BB$3, $F88 &gt;= BB$3), AND($F88&lt;BB$3, WORKDAY($F88, 22,Holiday!$A$1:$A$30)&gt;BB$3)), 1, 0)+IF(AND((BB$3-$B$2)&gt;=0,(BB$3-$B$2)&lt;30), 2,0)</f>
        <v>0</v>
      </c>
    </row>
    <row r="89" spans="2:54" ht="15" x14ac:dyDescent="0.2">
      <c r="B89" t="s">
        <v>167</v>
      </c>
      <c r="C89" s="112" t="s">
        <v>78</v>
      </c>
      <c r="D89" s="111">
        <v>6</v>
      </c>
      <c r="E89" s="86">
        <f t="shared" si="1"/>
        <v>9</v>
      </c>
      <c r="F89" s="122">
        <f>WORKDAY(F88,E89,Holiday!A85:A114)</f>
        <v>47210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0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0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0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0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  <c r="AP89" s="113">
        <f>IF(OR(AND($F88&lt;=AP$3, $F89 &gt;= AP$3), AND($F89&lt;AP$3, WORKDAY($F89, 22,Holiday!$A$1:$A$30)&gt;AP$3)), 1, 0)+IF(AND((AP$3-$B$2)&gt;=0,(AP$3-$B$2)&lt;30), 2,0)</f>
        <v>0</v>
      </c>
      <c r="AQ89" s="113">
        <f>IF(OR(AND($F88&lt;=AQ$3, $F89 &gt;= AQ$3), AND($F89&lt;AQ$3, WORKDAY($F89, 22,Holiday!$A$1:$A$30)&gt;AQ$3)), 1, 0)+IF(AND((AQ$3-$B$2)&gt;=0,(AQ$3-$B$2)&lt;30), 2,0)</f>
        <v>0</v>
      </c>
      <c r="AR89" s="113">
        <f>IF(OR(AND($F88&lt;=AR$3, $F89 &gt;= AR$3), AND($F89&lt;AR$3, WORKDAY($F89, 22,Holiday!$A$1:$A$30)&gt;AR$3)), 1, 0)+IF(AND((AR$3-$B$2)&gt;=0,(AR$3-$B$2)&lt;30), 2,0)</f>
        <v>1</v>
      </c>
      <c r="AS89" s="113">
        <f>IF(OR(AND($F88&lt;=AS$3, $F89 &gt;= AS$3), AND($F89&lt;AS$3, WORKDAY($F89, 22,Holiday!$A$1:$A$30)&gt;AS$3)), 1, 0)+IF(AND((AS$3-$B$2)&gt;=0,(AS$3-$B$2)&lt;30), 2,0)</f>
        <v>1</v>
      </c>
      <c r="AT89" s="113">
        <f>IF(OR(AND($F88&lt;=AT$3, $F89 &gt;= AT$3), AND($F89&lt;AT$3, WORKDAY($F89, 22,Holiday!$A$1:$A$30)&gt;AT$3)), 1, 0)+IF(AND((AT$3-$B$2)&gt;=0,(AT$3-$B$2)&lt;30), 2,0)</f>
        <v>0</v>
      </c>
      <c r="AU89" s="113">
        <f>IF(OR(AND($F88&lt;=AU$3, $F89 &gt;= AU$3), AND($F89&lt;AU$3, WORKDAY($F89, 22,Holiday!$A$1:$A$30)&gt;AU$3)), 1, 0)+IF(AND((AU$3-$B$2)&gt;=0,(AU$3-$B$2)&lt;30), 2,0)</f>
        <v>0</v>
      </c>
      <c r="AV89" s="113">
        <f>IF(OR(AND($F88&lt;=AV$3, $F89 &gt;= AV$3), AND($F89&lt;AV$3, WORKDAY($F89, 22,Holiday!$A$1:$A$30)&gt;AV$3)), 1, 0)+IF(AND((AV$3-$B$2)&gt;=0,(AV$3-$B$2)&lt;30), 2,0)</f>
        <v>0</v>
      </c>
      <c r="AW89" s="113">
        <f>IF(OR(AND($F88&lt;=AW$3, $F89 &gt;= AW$3), AND($F89&lt;AW$3, WORKDAY($F89, 22,Holiday!$A$1:$A$30)&gt;AW$3)), 1, 0)+IF(AND((AW$3-$B$2)&gt;=0,(AW$3-$B$2)&lt;30), 2,0)</f>
        <v>0</v>
      </c>
      <c r="AX89" s="113">
        <f>IF(OR(AND($F88&lt;=AX$3, $F89 &gt;= AX$3), AND($F89&lt;AX$3, WORKDAY($F89, 22,Holiday!$A$1:$A$30)&gt;AX$3)), 1, 0)+IF(AND((AX$3-$B$2)&gt;=0,(AX$3-$B$2)&lt;30), 2,0)</f>
        <v>0</v>
      </c>
      <c r="AY89" s="113">
        <f>IF(OR(AND($F88&lt;=AY$3, $F89 &gt;= AY$3), AND($F89&lt;AY$3, WORKDAY($F89, 22,Holiday!$A$1:$A$30)&gt;AY$3)), 1, 0)+IF(AND((AY$3-$B$2)&gt;=0,(AY$3-$B$2)&lt;30), 2,0)</f>
        <v>0</v>
      </c>
      <c r="AZ89" s="113">
        <f>IF(OR(AND($F88&lt;=AZ$3, $F89 &gt;= AZ$3), AND($F89&lt;AZ$3, WORKDAY($F89, 22,Holiday!$A$1:$A$30)&gt;AZ$3)), 1, 0)+IF(AND((AZ$3-$B$2)&gt;=0,(AZ$3-$B$2)&lt;30), 2,0)</f>
        <v>2</v>
      </c>
      <c r="BA89" s="113">
        <f>IF(OR(AND($F88&lt;=BA$3, $F89 &gt;= BA$3), AND($F89&lt;BA$3, WORKDAY($F89, 22,Holiday!$A$1:$A$30)&gt;BA$3)), 1, 0)+IF(AND((BA$3-$B$2)&gt;=0,(BA$3-$B$2)&lt;30), 2,0)</f>
        <v>0</v>
      </c>
      <c r="BB89" s="113">
        <f>IF(OR(AND($F88&lt;=BB$3, $F89 &gt;= BB$3), AND($F89&lt;BB$3, WORKDAY($F89, 22,Holiday!$A$1:$A$30)&gt;BB$3)), 1, 0)+IF(AND((BB$3-$B$2)&gt;=0,(BB$3-$B$2)&lt;30), 2,0)</f>
        <v>0</v>
      </c>
    </row>
    <row r="90" spans="2:54" ht="15" x14ac:dyDescent="0.2">
      <c r="B90" t="s">
        <v>185</v>
      </c>
      <c r="C90" s="112" t="s">
        <v>78</v>
      </c>
      <c r="D90" s="111">
        <v>6</v>
      </c>
      <c r="E90" s="86">
        <f t="shared" si="1"/>
        <v>9</v>
      </c>
      <c r="F90" s="122">
        <f>WORKDAY(F89,E90,Holiday!A86:A115)</f>
        <v>47221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0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0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0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  <c r="AP90" s="113">
        <f>IF(OR(AND($F89&lt;=AP$3, $F90 &gt;= AP$3), AND($F90&lt;AP$3, WORKDAY($F90, 22,Holiday!$A$1:$A$30)&gt;AP$3)), 1, 0)+IF(AND((AP$3-$B$2)&gt;=0,(AP$3-$B$2)&lt;30), 2,0)</f>
        <v>0</v>
      </c>
      <c r="AQ90" s="113">
        <f>IF(OR(AND($F89&lt;=AQ$3, $F90 &gt;= AQ$3), AND($F90&lt;AQ$3, WORKDAY($F90, 22,Holiday!$A$1:$A$30)&gt;AQ$3)), 1, 0)+IF(AND((AQ$3-$B$2)&gt;=0,(AQ$3-$B$2)&lt;30), 2,0)</f>
        <v>0</v>
      </c>
      <c r="AR90" s="113">
        <f>IF(OR(AND($F89&lt;=AR$3, $F90 &gt;= AR$3), AND($F90&lt;AR$3, WORKDAY($F90, 22,Holiday!$A$1:$A$30)&gt;AR$3)), 1, 0)+IF(AND((AR$3-$B$2)&gt;=0,(AR$3-$B$2)&lt;30), 2,0)</f>
        <v>0</v>
      </c>
      <c r="AS90" s="113">
        <f>IF(OR(AND($F89&lt;=AS$3, $F90 &gt;= AS$3), AND($F90&lt;AS$3, WORKDAY($F90, 22,Holiday!$A$1:$A$30)&gt;AS$3)), 1, 0)+IF(AND((AS$3-$B$2)&gt;=0,(AS$3-$B$2)&lt;30), 2,0)</f>
        <v>1</v>
      </c>
      <c r="AT90" s="113">
        <f>IF(OR(AND($F89&lt;=AT$3, $F90 &gt;= AT$3), AND($F90&lt;AT$3, WORKDAY($F90, 22,Holiday!$A$1:$A$30)&gt;AT$3)), 1, 0)+IF(AND((AT$3-$B$2)&gt;=0,(AT$3-$B$2)&lt;30), 2,0)</f>
        <v>0</v>
      </c>
      <c r="AU90" s="113">
        <f>IF(OR(AND($F89&lt;=AU$3, $F90 &gt;= AU$3), AND($F90&lt;AU$3, WORKDAY($F90, 22,Holiday!$A$1:$A$30)&gt;AU$3)), 1, 0)+IF(AND((AU$3-$B$2)&gt;=0,(AU$3-$B$2)&lt;30), 2,0)</f>
        <v>0</v>
      </c>
      <c r="AV90" s="113">
        <f>IF(OR(AND($F89&lt;=AV$3, $F90 &gt;= AV$3), AND($F90&lt;AV$3, WORKDAY($F90, 22,Holiday!$A$1:$A$30)&gt;AV$3)), 1, 0)+IF(AND((AV$3-$B$2)&gt;=0,(AV$3-$B$2)&lt;30), 2,0)</f>
        <v>0</v>
      </c>
      <c r="AW90" s="113">
        <f>IF(OR(AND($F89&lt;=AW$3, $F90 &gt;= AW$3), AND($F90&lt;AW$3, WORKDAY($F90, 22,Holiday!$A$1:$A$30)&gt;AW$3)), 1, 0)+IF(AND((AW$3-$B$2)&gt;=0,(AW$3-$B$2)&lt;30), 2,0)</f>
        <v>0</v>
      </c>
      <c r="AX90" s="113">
        <f>IF(OR(AND($F89&lt;=AX$3, $F90 &gt;= AX$3), AND($F90&lt;AX$3, WORKDAY($F90, 22,Holiday!$A$1:$A$30)&gt;AX$3)), 1, 0)+IF(AND((AX$3-$B$2)&gt;=0,(AX$3-$B$2)&lt;30), 2,0)</f>
        <v>0</v>
      </c>
      <c r="AY90" s="113">
        <f>IF(OR(AND($F89&lt;=AY$3, $F90 &gt;= AY$3), AND($F90&lt;AY$3, WORKDAY($F90, 22,Holiday!$A$1:$A$30)&gt;AY$3)), 1, 0)+IF(AND((AY$3-$B$2)&gt;=0,(AY$3-$B$2)&lt;30), 2,0)</f>
        <v>0</v>
      </c>
      <c r="AZ90" s="113">
        <f>IF(OR(AND($F89&lt;=AZ$3, $F90 &gt;= AZ$3), AND($F90&lt;AZ$3, WORKDAY($F90, 22,Holiday!$A$1:$A$30)&gt;AZ$3)), 1, 0)+IF(AND((AZ$3-$B$2)&gt;=0,(AZ$3-$B$2)&lt;30), 2,0)</f>
        <v>2</v>
      </c>
      <c r="BA90" s="113">
        <f>IF(OR(AND($F89&lt;=BA$3, $F90 &gt;= BA$3), AND($F90&lt;BA$3, WORKDAY($F90, 22,Holiday!$A$1:$A$30)&gt;BA$3)), 1, 0)+IF(AND((BA$3-$B$2)&gt;=0,(BA$3-$B$2)&lt;30), 2,0)</f>
        <v>0</v>
      </c>
      <c r="BB90" s="113">
        <f>IF(OR(AND($F89&lt;=BB$3, $F90 &gt;= BB$3), AND($F90&lt;BB$3, WORKDAY($F90, 22,Holiday!$A$1:$A$30)&gt;BB$3)), 1, 0)+IF(AND((BB$3-$B$2)&gt;=0,(BB$3-$B$2)&lt;30), 2,0)</f>
        <v>0</v>
      </c>
    </row>
    <row r="91" spans="2:54" ht="15" x14ac:dyDescent="0.2">
      <c r="B91" t="s">
        <v>148</v>
      </c>
      <c r="C91" s="112" t="s">
        <v>78</v>
      </c>
      <c r="D91" s="111">
        <v>6</v>
      </c>
      <c r="E91" s="86">
        <f t="shared" si="1"/>
        <v>9</v>
      </c>
      <c r="F91" s="122">
        <f>WORKDAY(F90,E91,Holiday!A87:A116)</f>
        <v>47234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0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0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0</v>
      </c>
      <c r="O91" s="113">
        <f>IF(OR(AND($F90&lt;=O$3, $F91 &gt;= O$3), AND($F91&lt;O$3, WORKDAY($F91, 22,Holiday!$A$1:$A$30)&gt;O$3)), 1, 0)+IF(AND((O$3-$B$2)&gt;=0,(O$3-$B$2)&lt;30), 2,0)</f>
        <v>0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0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  <c r="AP91" s="113">
        <f>IF(OR(AND($F90&lt;=AP$3, $F91 &gt;= AP$3), AND($F91&lt;AP$3, WORKDAY($F91, 22,Holiday!$A$1:$A$30)&gt;AP$3)), 1, 0)+IF(AND((AP$3-$B$2)&gt;=0,(AP$3-$B$2)&lt;30), 2,0)</f>
        <v>0</v>
      </c>
      <c r="AQ91" s="113">
        <f>IF(OR(AND($F90&lt;=AQ$3, $F91 &gt;= AQ$3), AND($F91&lt;AQ$3, WORKDAY($F91, 22,Holiday!$A$1:$A$30)&gt;AQ$3)), 1, 0)+IF(AND((AQ$3-$B$2)&gt;=0,(AQ$3-$B$2)&lt;30), 2,0)</f>
        <v>0</v>
      </c>
      <c r="AR91" s="113">
        <f>IF(OR(AND($F90&lt;=AR$3, $F91 &gt;= AR$3), AND($F91&lt;AR$3, WORKDAY($F91, 22,Holiday!$A$1:$A$30)&gt;AR$3)), 1, 0)+IF(AND((AR$3-$B$2)&gt;=0,(AR$3-$B$2)&lt;30), 2,0)</f>
        <v>0</v>
      </c>
      <c r="AS91" s="113">
        <f>IF(OR(AND($F90&lt;=AS$3, $F91 &gt;= AS$3), AND($F91&lt;AS$3, WORKDAY($F91, 22,Holiday!$A$1:$A$30)&gt;AS$3)), 1, 0)+IF(AND((AS$3-$B$2)&gt;=0,(AS$3-$B$2)&lt;30), 2,0)</f>
        <v>1</v>
      </c>
      <c r="AT91" s="113">
        <f>IF(OR(AND($F90&lt;=AT$3, $F91 &gt;= AT$3), AND($F91&lt;AT$3, WORKDAY($F91, 22,Holiday!$A$1:$A$30)&gt;AT$3)), 1, 0)+IF(AND((AT$3-$B$2)&gt;=0,(AT$3-$B$2)&lt;30), 2,0)</f>
        <v>1</v>
      </c>
      <c r="AU91" s="113">
        <f>IF(OR(AND($F90&lt;=AU$3, $F91 &gt;= AU$3), AND($F91&lt;AU$3, WORKDAY($F91, 22,Holiday!$A$1:$A$30)&gt;AU$3)), 1, 0)+IF(AND((AU$3-$B$2)&gt;=0,(AU$3-$B$2)&lt;30), 2,0)</f>
        <v>0</v>
      </c>
      <c r="AV91" s="113">
        <f>IF(OR(AND($F90&lt;=AV$3, $F91 &gt;= AV$3), AND($F91&lt;AV$3, WORKDAY($F91, 22,Holiday!$A$1:$A$30)&gt;AV$3)), 1, 0)+IF(AND((AV$3-$B$2)&gt;=0,(AV$3-$B$2)&lt;30), 2,0)</f>
        <v>0</v>
      </c>
      <c r="AW91" s="113">
        <f>IF(OR(AND($F90&lt;=AW$3, $F91 &gt;= AW$3), AND($F91&lt;AW$3, WORKDAY($F91, 22,Holiday!$A$1:$A$30)&gt;AW$3)), 1, 0)+IF(AND((AW$3-$B$2)&gt;=0,(AW$3-$B$2)&lt;30), 2,0)</f>
        <v>0</v>
      </c>
      <c r="AX91" s="113">
        <f>IF(OR(AND($F90&lt;=AX$3, $F91 &gt;= AX$3), AND($F91&lt;AX$3, WORKDAY($F91, 22,Holiday!$A$1:$A$30)&gt;AX$3)), 1, 0)+IF(AND((AX$3-$B$2)&gt;=0,(AX$3-$B$2)&lt;30), 2,0)</f>
        <v>0</v>
      </c>
      <c r="AY91" s="113">
        <f>IF(OR(AND($F90&lt;=AY$3, $F91 &gt;= AY$3), AND($F91&lt;AY$3, WORKDAY($F91, 22,Holiday!$A$1:$A$30)&gt;AY$3)), 1, 0)+IF(AND((AY$3-$B$2)&gt;=0,(AY$3-$B$2)&lt;30), 2,0)</f>
        <v>0</v>
      </c>
      <c r="AZ91" s="113">
        <f>IF(OR(AND($F90&lt;=AZ$3, $F91 &gt;= AZ$3), AND($F91&lt;AZ$3, WORKDAY($F91, 22,Holiday!$A$1:$A$30)&gt;AZ$3)), 1, 0)+IF(AND((AZ$3-$B$2)&gt;=0,(AZ$3-$B$2)&lt;30), 2,0)</f>
        <v>2</v>
      </c>
      <c r="BA91" s="113">
        <f>IF(OR(AND($F90&lt;=BA$3, $F91 &gt;= BA$3), AND($F91&lt;BA$3, WORKDAY($F91, 22,Holiday!$A$1:$A$30)&gt;BA$3)), 1, 0)+IF(AND((BA$3-$B$2)&gt;=0,(BA$3-$B$2)&lt;30), 2,0)</f>
        <v>0</v>
      </c>
      <c r="BB91" s="113">
        <f>IF(OR(AND($F90&lt;=BB$3, $F91 &gt;= BB$3), AND($F91&lt;BB$3, WORKDAY($F91, 22,Holiday!$A$1:$A$30)&gt;BB$3)), 1, 0)+IF(AND((BB$3-$B$2)&gt;=0,(BB$3-$B$2)&lt;30), 2,0)</f>
        <v>0</v>
      </c>
    </row>
    <row r="92" spans="2:54" ht="15" x14ac:dyDescent="0.2">
      <c r="B92" t="s">
        <v>147</v>
      </c>
      <c r="C92" s="112" t="s">
        <v>78</v>
      </c>
      <c r="D92" s="111">
        <v>6</v>
      </c>
      <c r="E92" s="86">
        <f t="shared" si="1"/>
        <v>9</v>
      </c>
      <c r="F92" s="122">
        <f>WORKDAY(F91,E92,Holiday!A88:A117)</f>
        <v>47247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0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0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0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  <c r="AP92" s="113">
        <f>IF(OR(AND($F91&lt;=AP$3, $F92 &gt;= AP$3), AND($F92&lt;AP$3, WORKDAY($F92, 22,Holiday!$A$1:$A$30)&gt;AP$3)), 1, 0)+IF(AND((AP$3-$B$2)&gt;=0,(AP$3-$B$2)&lt;30), 2,0)</f>
        <v>0</v>
      </c>
      <c r="AQ92" s="113">
        <f>IF(OR(AND($F91&lt;=AQ$3, $F92 &gt;= AQ$3), AND($F92&lt;AQ$3, WORKDAY($F92, 22,Holiday!$A$1:$A$30)&gt;AQ$3)), 1, 0)+IF(AND((AQ$3-$B$2)&gt;=0,(AQ$3-$B$2)&lt;30), 2,0)</f>
        <v>0</v>
      </c>
      <c r="AR92" s="113">
        <f>IF(OR(AND($F91&lt;=AR$3, $F92 &gt;= AR$3), AND($F92&lt;AR$3, WORKDAY($F92, 22,Holiday!$A$1:$A$30)&gt;AR$3)), 1, 0)+IF(AND((AR$3-$B$2)&gt;=0,(AR$3-$B$2)&lt;30), 2,0)</f>
        <v>0</v>
      </c>
      <c r="AS92" s="113">
        <f>IF(OR(AND($F91&lt;=AS$3, $F92 &gt;= AS$3), AND($F92&lt;AS$3, WORKDAY($F92, 22,Holiday!$A$1:$A$30)&gt;AS$3)), 1, 0)+IF(AND((AS$3-$B$2)&gt;=0,(AS$3-$B$2)&lt;30), 2,0)</f>
        <v>0</v>
      </c>
      <c r="AT92" s="113">
        <f>IF(OR(AND($F91&lt;=AT$3, $F92 &gt;= AT$3), AND($F92&lt;AT$3, WORKDAY($F92, 22,Holiday!$A$1:$A$30)&gt;AT$3)), 1, 0)+IF(AND((AT$3-$B$2)&gt;=0,(AT$3-$B$2)&lt;30), 2,0)</f>
        <v>1</v>
      </c>
      <c r="AU92" s="113">
        <f>IF(OR(AND($F91&lt;=AU$3, $F92 &gt;= AU$3), AND($F92&lt;AU$3, WORKDAY($F92, 22,Holiday!$A$1:$A$30)&gt;AU$3)), 1, 0)+IF(AND((AU$3-$B$2)&gt;=0,(AU$3-$B$2)&lt;30), 2,0)</f>
        <v>0</v>
      </c>
      <c r="AV92" s="113">
        <f>IF(OR(AND($F91&lt;=AV$3, $F92 &gt;= AV$3), AND($F92&lt;AV$3, WORKDAY($F92, 22,Holiday!$A$1:$A$30)&gt;AV$3)), 1, 0)+IF(AND((AV$3-$B$2)&gt;=0,(AV$3-$B$2)&lt;30), 2,0)</f>
        <v>0</v>
      </c>
      <c r="AW92" s="113">
        <f>IF(OR(AND($F91&lt;=AW$3, $F92 &gt;= AW$3), AND($F92&lt;AW$3, WORKDAY($F92, 22,Holiday!$A$1:$A$30)&gt;AW$3)), 1, 0)+IF(AND((AW$3-$B$2)&gt;=0,(AW$3-$B$2)&lt;30), 2,0)</f>
        <v>0</v>
      </c>
      <c r="AX92" s="113">
        <f>IF(OR(AND($F91&lt;=AX$3, $F92 &gt;= AX$3), AND($F92&lt;AX$3, WORKDAY($F92, 22,Holiday!$A$1:$A$30)&gt;AX$3)), 1, 0)+IF(AND((AX$3-$B$2)&gt;=0,(AX$3-$B$2)&lt;30), 2,0)</f>
        <v>0</v>
      </c>
      <c r="AY92" s="113">
        <f>IF(OR(AND($F91&lt;=AY$3, $F92 &gt;= AY$3), AND($F92&lt;AY$3, WORKDAY($F92, 22,Holiday!$A$1:$A$30)&gt;AY$3)), 1, 0)+IF(AND((AY$3-$B$2)&gt;=0,(AY$3-$B$2)&lt;30), 2,0)</f>
        <v>0</v>
      </c>
      <c r="AZ92" s="113">
        <f>IF(OR(AND($F91&lt;=AZ$3, $F92 &gt;= AZ$3), AND($F92&lt;AZ$3, WORKDAY($F92, 22,Holiday!$A$1:$A$30)&gt;AZ$3)), 1, 0)+IF(AND((AZ$3-$B$2)&gt;=0,(AZ$3-$B$2)&lt;30), 2,0)</f>
        <v>2</v>
      </c>
      <c r="BA92" s="113">
        <f>IF(OR(AND($F91&lt;=BA$3, $F92 &gt;= BA$3), AND($F92&lt;BA$3, WORKDAY($F92, 22,Holiday!$A$1:$A$30)&gt;BA$3)), 1, 0)+IF(AND((BA$3-$B$2)&gt;=0,(BA$3-$B$2)&lt;30), 2,0)</f>
        <v>0</v>
      </c>
      <c r="BB92" s="113">
        <f>IF(OR(AND($F91&lt;=BB$3, $F92 &gt;= BB$3), AND($F92&lt;BB$3, WORKDAY($F92, 22,Holiday!$A$1:$A$30)&gt;BB$3)), 1, 0)+IF(AND((BB$3-$B$2)&gt;=0,(BB$3-$B$2)&lt;30), 2,0)</f>
        <v>0</v>
      </c>
    </row>
    <row r="93" spans="2:54" ht="15" x14ac:dyDescent="0.2">
      <c r="B93" t="s">
        <v>151</v>
      </c>
      <c r="C93" s="112" t="s">
        <v>78</v>
      </c>
      <c r="D93" s="111">
        <v>6</v>
      </c>
      <c r="E93" s="86">
        <f t="shared" si="1"/>
        <v>9</v>
      </c>
      <c r="F93" s="122">
        <f>WORKDAY(F92,E93,Holiday!A89:A118)</f>
        <v>47260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0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0</v>
      </c>
      <c r="R93" s="113">
        <f>IF(OR(AND($F92&lt;=R$3, $F93 &gt;= R$3), AND($F93&lt;R$3, WORKDAY($F93, 22,Holiday!$A$1:$A$30)&gt;R$3)), 1, 0)+IF(AND((R$3-$B$2)&gt;=0,(R$3-$B$2)&lt;30), 2,0)</f>
        <v>0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  <c r="AP93" s="113">
        <f>IF(OR(AND($F92&lt;=AP$3, $F93 &gt;= AP$3), AND($F93&lt;AP$3, WORKDAY($F93, 22,Holiday!$A$1:$A$30)&gt;AP$3)), 1, 0)+IF(AND((AP$3-$B$2)&gt;=0,(AP$3-$B$2)&lt;30), 2,0)</f>
        <v>0</v>
      </c>
      <c r="AQ93" s="113">
        <f>IF(OR(AND($F92&lt;=AQ$3, $F93 &gt;= AQ$3), AND($F93&lt;AQ$3, WORKDAY($F93, 22,Holiday!$A$1:$A$30)&gt;AQ$3)), 1, 0)+IF(AND((AQ$3-$B$2)&gt;=0,(AQ$3-$B$2)&lt;30), 2,0)</f>
        <v>0</v>
      </c>
      <c r="AR93" s="113">
        <f>IF(OR(AND($F92&lt;=AR$3, $F93 &gt;= AR$3), AND($F93&lt;AR$3, WORKDAY($F93, 22,Holiday!$A$1:$A$30)&gt;AR$3)), 1, 0)+IF(AND((AR$3-$B$2)&gt;=0,(AR$3-$B$2)&lt;30), 2,0)</f>
        <v>0</v>
      </c>
      <c r="AS93" s="113">
        <f>IF(OR(AND($F92&lt;=AS$3, $F93 &gt;= AS$3), AND($F93&lt;AS$3, WORKDAY($F93, 22,Holiday!$A$1:$A$30)&gt;AS$3)), 1, 0)+IF(AND((AS$3-$B$2)&gt;=0,(AS$3-$B$2)&lt;30), 2,0)</f>
        <v>0</v>
      </c>
      <c r="AT93" s="113">
        <f>IF(OR(AND($F92&lt;=AT$3, $F93 &gt;= AT$3), AND($F93&lt;AT$3, WORKDAY($F93, 22,Holiday!$A$1:$A$30)&gt;AT$3)), 1, 0)+IF(AND((AT$3-$B$2)&gt;=0,(AT$3-$B$2)&lt;30), 2,0)</f>
        <v>1</v>
      </c>
      <c r="AU93" s="113">
        <f>IF(OR(AND($F92&lt;=AU$3, $F93 &gt;= AU$3), AND($F93&lt;AU$3, WORKDAY($F93, 22,Holiday!$A$1:$A$30)&gt;AU$3)), 1, 0)+IF(AND((AU$3-$B$2)&gt;=0,(AU$3-$B$2)&lt;30), 2,0)</f>
        <v>0</v>
      </c>
      <c r="AV93" s="113">
        <f>IF(OR(AND($F92&lt;=AV$3, $F93 &gt;= AV$3), AND($F93&lt;AV$3, WORKDAY($F93, 22,Holiday!$A$1:$A$30)&gt;AV$3)), 1, 0)+IF(AND((AV$3-$B$2)&gt;=0,(AV$3-$B$2)&lt;30), 2,0)</f>
        <v>0</v>
      </c>
      <c r="AW93" s="113">
        <f>IF(OR(AND($F92&lt;=AW$3, $F93 &gt;= AW$3), AND($F93&lt;AW$3, WORKDAY($F93, 22,Holiday!$A$1:$A$30)&gt;AW$3)), 1, 0)+IF(AND((AW$3-$B$2)&gt;=0,(AW$3-$B$2)&lt;30), 2,0)</f>
        <v>0</v>
      </c>
      <c r="AX93" s="113">
        <f>IF(OR(AND($F92&lt;=AX$3, $F93 &gt;= AX$3), AND($F93&lt;AX$3, WORKDAY($F93, 22,Holiday!$A$1:$A$30)&gt;AX$3)), 1, 0)+IF(AND((AX$3-$B$2)&gt;=0,(AX$3-$B$2)&lt;30), 2,0)</f>
        <v>0</v>
      </c>
      <c r="AY93" s="113">
        <f>IF(OR(AND($F92&lt;=AY$3, $F93 &gt;= AY$3), AND($F93&lt;AY$3, WORKDAY($F93, 22,Holiday!$A$1:$A$30)&gt;AY$3)), 1, 0)+IF(AND((AY$3-$B$2)&gt;=0,(AY$3-$B$2)&lt;30), 2,0)</f>
        <v>0</v>
      </c>
      <c r="AZ93" s="113">
        <f>IF(OR(AND($F92&lt;=AZ$3, $F93 &gt;= AZ$3), AND($F93&lt;AZ$3, WORKDAY($F93, 22,Holiday!$A$1:$A$30)&gt;AZ$3)), 1, 0)+IF(AND((AZ$3-$B$2)&gt;=0,(AZ$3-$B$2)&lt;30), 2,0)</f>
        <v>2</v>
      </c>
      <c r="BA93" s="113">
        <f>IF(OR(AND($F92&lt;=BA$3, $F93 &gt;= BA$3), AND($F93&lt;BA$3, WORKDAY($F93, 22,Holiday!$A$1:$A$30)&gt;BA$3)), 1, 0)+IF(AND((BA$3-$B$2)&gt;=0,(BA$3-$B$2)&lt;30), 2,0)</f>
        <v>0</v>
      </c>
      <c r="BB93" s="113">
        <f>IF(OR(AND($F92&lt;=BB$3, $F93 &gt;= BB$3), AND($F93&lt;BB$3, WORKDAY($F93, 22,Holiday!$A$1:$A$30)&gt;BB$3)), 1, 0)+IF(AND((BB$3-$B$2)&gt;=0,(BB$3-$B$2)&lt;30), 2,0)</f>
        <v>0</v>
      </c>
    </row>
    <row r="94" spans="2:54" ht="15" x14ac:dyDescent="0.2">
      <c r="B94" t="s">
        <v>154</v>
      </c>
      <c r="C94" s="112" t="s">
        <v>78</v>
      </c>
      <c r="D94" s="111">
        <v>6</v>
      </c>
      <c r="E94" s="86">
        <f t="shared" si="1"/>
        <v>9</v>
      </c>
      <c r="F94" s="122">
        <f>WORKDAY(F93,E94,Holiday!A90:A119)</f>
        <v>47273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0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0</v>
      </c>
      <c r="P94" s="113">
        <f>IF(OR(AND($F93&lt;=P$3, $F94 &gt;= P$3), AND($F94&lt;P$3, WORKDAY($F94, 22,Holiday!$A$1:$A$30)&gt;P$3)), 1, 0)+IF(AND((P$3-$B$2)&gt;=0,(P$3-$B$2)&lt;30), 2,0)</f>
        <v>0</v>
      </c>
      <c r="Q94" s="113">
        <f>IF(OR(AND($F93&lt;=Q$3, $F94 &gt;= Q$3), AND($F94&lt;Q$3, WORKDAY($F94, 22,Holiday!$A$1:$A$30)&gt;Q$3)), 1, 0)+IF(AND((Q$3-$B$2)&gt;=0,(Q$3-$B$2)&lt;30), 2,0)</f>
        <v>0</v>
      </c>
      <c r="R94" s="113">
        <f>IF(OR(AND($F93&lt;=R$3, $F94 &gt;= R$3), AND($F94&lt;R$3, WORKDAY($F94, 22,Holiday!$A$1:$A$30)&gt;R$3)), 1, 0)+IF(AND((R$3-$B$2)&gt;=0,(R$3-$B$2)&lt;30), 2,0)</f>
        <v>0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  <c r="AP94" s="113">
        <f>IF(OR(AND($F93&lt;=AP$3, $F94 &gt;= AP$3), AND($F94&lt;AP$3, WORKDAY($F94, 22,Holiday!$A$1:$A$30)&gt;AP$3)), 1, 0)+IF(AND((AP$3-$B$2)&gt;=0,(AP$3-$B$2)&lt;30), 2,0)</f>
        <v>0</v>
      </c>
      <c r="AQ94" s="113">
        <f>IF(OR(AND($F93&lt;=AQ$3, $F94 &gt;= AQ$3), AND($F94&lt;AQ$3, WORKDAY($F94, 22,Holiday!$A$1:$A$30)&gt;AQ$3)), 1, 0)+IF(AND((AQ$3-$B$2)&gt;=0,(AQ$3-$B$2)&lt;30), 2,0)</f>
        <v>0</v>
      </c>
      <c r="AR94" s="113">
        <f>IF(OR(AND($F93&lt;=AR$3, $F94 &gt;= AR$3), AND($F94&lt;AR$3, WORKDAY($F94, 22,Holiday!$A$1:$A$30)&gt;AR$3)), 1, 0)+IF(AND((AR$3-$B$2)&gt;=0,(AR$3-$B$2)&lt;30), 2,0)</f>
        <v>0</v>
      </c>
      <c r="AS94" s="113">
        <f>IF(OR(AND($F93&lt;=AS$3, $F94 &gt;= AS$3), AND($F94&lt;AS$3, WORKDAY($F94, 22,Holiday!$A$1:$A$30)&gt;AS$3)), 1, 0)+IF(AND((AS$3-$B$2)&gt;=0,(AS$3-$B$2)&lt;30), 2,0)</f>
        <v>0</v>
      </c>
      <c r="AT94" s="113">
        <f>IF(OR(AND($F93&lt;=AT$3, $F94 &gt;= AT$3), AND($F94&lt;AT$3, WORKDAY($F94, 22,Holiday!$A$1:$A$30)&gt;AT$3)), 1, 0)+IF(AND((AT$3-$B$2)&gt;=0,(AT$3-$B$2)&lt;30), 2,0)</f>
        <v>1</v>
      </c>
      <c r="AU94" s="113">
        <f>IF(OR(AND($F93&lt;=AU$3, $F94 &gt;= AU$3), AND($F94&lt;AU$3, WORKDAY($F94, 22,Holiday!$A$1:$A$30)&gt;AU$3)), 1, 0)+IF(AND((AU$3-$B$2)&gt;=0,(AU$3-$B$2)&lt;30), 2,0)</f>
        <v>1</v>
      </c>
      <c r="AV94" s="113">
        <f>IF(OR(AND($F93&lt;=AV$3, $F94 &gt;= AV$3), AND($F94&lt;AV$3, WORKDAY($F94, 22,Holiday!$A$1:$A$30)&gt;AV$3)), 1, 0)+IF(AND((AV$3-$B$2)&gt;=0,(AV$3-$B$2)&lt;30), 2,0)</f>
        <v>0</v>
      </c>
      <c r="AW94" s="113">
        <f>IF(OR(AND($F93&lt;=AW$3, $F94 &gt;= AW$3), AND($F94&lt;AW$3, WORKDAY($F94, 22,Holiday!$A$1:$A$30)&gt;AW$3)), 1, 0)+IF(AND((AW$3-$B$2)&gt;=0,(AW$3-$B$2)&lt;30), 2,0)</f>
        <v>0</v>
      </c>
      <c r="AX94" s="113">
        <f>IF(OR(AND($F93&lt;=AX$3, $F94 &gt;= AX$3), AND($F94&lt;AX$3, WORKDAY($F94, 22,Holiday!$A$1:$A$30)&gt;AX$3)), 1, 0)+IF(AND((AX$3-$B$2)&gt;=0,(AX$3-$B$2)&lt;30), 2,0)</f>
        <v>0</v>
      </c>
      <c r="AY94" s="113">
        <f>IF(OR(AND($F93&lt;=AY$3, $F94 &gt;= AY$3), AND($F94&lt;AY$3, WORKDAY($F94, 22,Holiday!$A$1:$A$30)&gt;AY$3)), 1, 0)+IF(AND((AY$3-$B$2)&gt;=0,(AY$3-$B$2)&lt;30), 2,0)</f>
        <v>0</v>
      </c>
      <c r="AZ94" s="113">
        <f>IF(OR(AND($F93&lt;=AZ$3, $F94 &gt;= AZ$3), AND($F94&lt;AZ$3, WORKDAY($F94, 22,Holiday!$A$1:$A$30)&gt;AZ$3)), 1, 0)+IF(AND((AZ$3-$B$2)&gt;=0,(AZ$3-$B$2)&lt;30), 2,0)</f>
        <v>2</v>
      </c>
      <c r="BA94" s="113">
        <f>IF(OR(AND($F93&lt;=BA$3, $F94 &gt;= BA$3), AND($F94&lt;BA$3, WORKDAY($F94, 22,Holiday!$A$1:$A$30)&gt;BA$3)), 1, 0)+IF(AND((BA$3-$B$2)&gt;=0,(BA$3-$B$2)&lt;30), 2,0)</f>
        <v>0</v>
      </c>
      <c r="BB94" s="113">
        <f>IF(OR(AND($F93&lt;=BB$3, $F94 &gt;= BB$3), AND($F94&lt;BB$3, WORKDAY($F94, 22,Holiday!$A$1:$A$30)&gt;BB$3)), 1, 0)+IF(AND((BB$3-$B$2)&gt;=0,(BB$3-$B$2)&lt;30), 2,0)</f>
        <v>0</v>
      </c>
    </row>
    <row r="95" spans="2:54" ht="15" x14ac:dyDescent="0.2">
      <c r="B95" t="s">
        <v>153</v>
      </c>
      <c r="C95" s="112" t="s">
        <v>78</v>
      </c>
      <c r="D95" s="111">
        <v>6</v>
      </c>
      <c r="E95" s="86">
        <f t="shared" si="1"/>
        <v>9</v>
      </c>
      <c r="F95" s="122">
        <f>WORKDAY(F94,E95,Holiday!A91:A120)</f>
        <v>47284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0</v>
      </c>
      <c r="Q95" s="113">
        <f>IF(OR(AND($F94&lt;=Q$3, $F95 &gt;= Q$3), AND($F95&lt;Q$3, WORKDAY($F95, 22,Holiday!$A$1:$A$30)&gt;Q$3)), 1, 0)+IF(AND((Q$3-$B$2)&gt;=0,(Q$3-$B$2)&lt;30), 2,0)</f>
        <v>0</v>
      </c>
      <c r="R95" s="113">
        <f>IF(OR(AND($F94&lt;=R$3, $F95 &gt;= R$3), AND($F95&lt;R$3, WORKDAY($F95, 22,Holiday!$A$1:$A$30)&gt;R$3)), 1, 0)+IF(AND((R$3-$B$2)&gt;=0,(R$3-$B$2)&lt;30), 2,0)</f>
        <v>0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  <c r="AP95" s="113">
        <f>IF(OR(AND($F94&lt;=AP$3, $F95 &gt;= AP$3), AND($F95&lt;AP$3, WORKDAY($F95, 22,Holiday!$A$1:$A$30)&gt;AP$3)), 1, 0)+IF(AND((AP$3-$B$2)&gt;=0,(AP$3-$B$2)&lt;30), 2,0)</f>
        <v>0</v>
      </c>
      <c r="AQ95" s="113">
        <f>IF(OR(AND($F94&lt;=AQ$3, $F95 &gt;= AQ$3), AND($F95&lt;AQ$3, WORKDAY($F95, 22,Holiday!$A$1:$A$30)&gt;AQ$3)), 1, 0)+IF(AND((AQ$3-$B$2)&gt;=0,(AQ$3-$B$2)&lt;30), 2,0)</f>
        <v>0</v>
      </c>
      <c r="AR95" s="113">
        <f>IF(OR(AND($F94&lt;=AR$3, $F95 &gt;= AR$3), AND($F95&lt;AR$3, WORKDAY($F95, 22,Holiday!$A$1:$A$30)&gt;AR$3)), 1, 0)+IF(AND((AR$3-$B$2)&gt;=0,(AR$3-$B$2)&lt;30), 2,0)</f>
        <v>0</v>
      </c>
      <c r="AS95" s="113">
        <f>IF(OR(AND($F94&lt;=AS$3, $F95 &gt;= AS$3), AND($F95&lt;AS$3, WORKDAY($F95, 22,Holiday!$A$1:$A$30)&gt;AS$3)), 1, 0)+IF(AND((AS$3-$B$2)&gt;=0,(AS$3-$B$2)&lt;30), 2,0)</f>
        <v>0</v>
      </c>
      <c r="AT95" s="113">
        <f>IF(OR(AND($F94&lt;=AT$3, $F95 &gt;= AT$3), AND($F95&lt;AT$3, WORKDAY($F95, 22,Holiday!$A$1:$A$30)&gt;AT$3)), 1, 0)+IF(AND((AT$3-$B$2)&gt;=0,(AT$3-$B$2)&lt;30), 2,0)</f>
        <v>0</v>
      </c>
      <c r="AU95" s="113">
        <f>IF(OR(AND($F94&lt;=AU$3, $F95 &gt;= AU$3), AND($F95&lt;AU$3, WORKDAY($F95, 22,Holiday!$A$1:$A$30)&gt;AU$3)), 1, 0)+IF(AND((AU$3-$B$2)&gt;=0,(AU$3-$B$2)&lt;30), 2,0)</f>
        <v>1</v>
      </c>
      <c r="AV95" s="113">
        <f>IF(OR(AND($F94&lt;=AV$3, $F95 &gt;= AV$3), AND($F95&lt;AV$3, WORKDAY($F95, 22,Holiday!$A$1:$A$30)&gt;AV$3)), 1, 0)+IF(AND((AV$3-$B$2)&gt;=0,(AV$3-$B$2)&lt;30), 2,0)</f>
        <v>0</v>
      </c>
      <c r="AW95" s="113">
        <f>IF(OR(AND($F94&lt;=AW$3, $F95 &gt;= AW$3), AND($F95&lt;AW$3, WORKDAY($F95, 22,Holiday!$A$1:$A$30)&gt;AW$3)), 1, 0)+IF(AND((AW$3-$B$2)&gt;=0,(AW$3-$B$2)&lt;30), 2,0)</f>
        <v>0</v>
      </c>
      <c r="AX95" s="113">
        <f>IF(OR(AND($F94&lt;=AX$3, $F95 &gt;= AX$3), AND($F95&lt;AX$3, WORKDAY($F95, 22,Holiday!$A$1:$A$30)&gt;AX$3)), 1, 0)+IF(AND((AX$3-$B$2)&gt;=0,(AX$3-$B$2)&lt;30), 2,0)</f>
        <v>0</v>
      </c>
      <c r="AY95" s="113">
        <f>IF(OR(AND($F94&lt;=AY$3, $F95 &gt;= AY$3), AND($F95&lt;AY$3, WORKDAY($F95, 22,Holiday!$A$1:$A$30)&gt;AY$3)), 1, 0)+IF(AND((AY$3-$B$2)&gt;=0,(AY$3-$B$2)&lt;30), 2,0)</f>
        <v>0</v>
      </c>
      <c r="AZ95" s="113">
        <f>IF(OR(AND($F94&lt;=AZ$3, $F95 &gt;= AZ$3), AND($F95&lt;AZ$3, WORKDAY($F95, 22,Holiday!$A$1:$A$30)&gt;AZ$3)), 1, 0)+IF(AND((AZ$3-$B$2)&gt;=0,(AZ$3-$B$2)&lt;30), 2,0)</f>
        <v>2</v>
      </c>
      <c r="BA95" s="113">
        <f>IF(OR(AND($F94&lt;=BA$3, $F95 &gt;= BA$3), AND($F95&lt;BA$3, WORKDAY($F95, 22,Holiday!$A$1:$A$30)&gt;BA$3)), 1, 0)+IF(AND((BA$3-$B$2)&gt;=0,(BA$3-$B$2)&lt;30), 2,0)</f>
        <v>0</v>
      </c>
      <c r="BB95" s="113">
        <f>IF(OR(AND($F94&lt;=BB$3, $F95 &gt;= BB$3), AND($F95&lt;BB$3, WORKDAY($F95, 22,Holiday!$A$1:$A$30)&gt;BB$3)), 1, 0)+IF(AND((BB$3-$B$2)&gt;=0,(BB$3-$B$2)&lt;30), 2,0)</f>
        <v>0</v>
      </c>
    </row>
    <row r="96" spans="2:54" ht="15" x14ac:dyDescent="0.2">
      <c r="B96" t="s">
        <v>149</v>
      </c>
      <c r="C96" s="112" t="s">
        <v>78</v>
      </c>
      <c r="D96" s="111">
        <v>6</v>
      </c>
      <c r="E96" s="86">
        <f t="shared" si="1"/>
        <v>9</v>
      </c>
      <c r="F96" s="122">
        <f>WORKDAY(F95,E96,Holiday!A92:A121)</f>
        <v>47297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0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0</v>
      </c>
      <c r="P96" s="113">
        <f>IF(OR(AND($F95&lt;=P$3, $F96 &gt;= P$3), AND($F96&lt;P$3, WORKDAY($F96, 22,Holiday!$A$1:$A$30)&gt;P$3)), 1, 0)+IF(AND((P$3-$B$2)&gt;=0,(P$3-$B$2)&lt;30), 2,0)</f>
        <v>0</v>
      </c>
      <c r="Q96" s="113">
        <f>IF(OR(AND($F95&lt;=Q$3, $F96 &gt;= Q$3), AND($F96&lt;Q$3, WORKDAY($F96, 22,Holiday!$A$1:$A$30)&gt;Q$3)), 1, 0)+IF(AND((Q$3-$B$2)&gt;=0,(Q$3-$B$2)&lt;30), 2,0)</f>
        <v>0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  <c r="AP96" s="113">
        <f>IF(OR(AND($F95&lt;=AP$3, $F96 &gt;= AP$3), AND($F96&lt;AP$3, WORKDAY($F96, 22,Holiday!$A$1:$A$30)&gt;AP$3)), 1, 0)+IF(AND((AP$3-$B$2)&gt;=0,(AP$3-$B$2)&lt;30), 2,0)</f>
        <v>0</v>
      </c>
      <c r="AQ96" s="113">
        <f>IF(OR(AND($F95&lt;=AQ$3, $F96 &gt;= AQ$3), AND($F96&lt;AQ$3, WORKDAY($F96, 22,Holiday!$A$1:$A$30)&gt;AQ$3)), 1, 0)+IF(AND((AQ$3-$B$2)&gt;=0,(AQ$3-$B$2)&lt;30), 2,0)</f>
        <v>0</v>
      </c>
      <c r="AR96" s="113">
        <f>IF(OR(AND($F95&lt;=AR$3, $F96 &gt;= AR$3), AND($F96&lt;AR$3, WORKDAY($F96, 22,Holiday!$A$1:$A$30)&gt;AR$3)), 1, 0)+IF(AND((AR$3-$B$2)&gt;=0,(AR$3-$B$2)&lt;30), 2,0)</f>
        <v>0</v>
      </c>
      <c r="AS96" s="113">
        <f>IF(OR(AND($F95&lt;=AS$3, $F96 &gt;= AS$3), AND($F96&lt;AS$3, WORKDAY($F96, 22,Holiday!$A$1:$A$30)&gt;AS$3)), 1, 0)+IF(AND((AS$3-$B$2)&gt;=0,(AS$3-$B$2)&lt;30), 2,0)</f>
        <v>0</v>
      </c>
      <c r="AT96" s="113">
        <f>IF(OR(AND($F95&lt;=AT$3, $F96 &gt;= AT$3), AND($F96&lt;AT$3, WORKDAY($F96, 22,Holiday!$A$1:$A$30)&gt;AT$3)), 1, 0)+IF(AND((AT$3-$B$2)&gt;=0,(AT$3-$B$2)&lt;30), 2,0)</f>
        <v>0</v>
      </c>
      <c r="AU96" s="113">
        <f>IF(OR(AND($F95&lt;=AU$3, $F96 &gt;= AU$3), AND($F96&lt;AU$3, WORKDAY($F96, 22,Holiday!$A$1:$A$30)&gt;AU$3)), 1, 0)+IF(AND((AU$3-$B$2)&gt;=0,(AU$3-$B$2)&lt;30), 2,0)</f>
        <v>1</v>
      </c>
      <c r="AV96" s="113">
        <f>IF(OR(AND($F95&lt;=AV$3, $F96 &gt;= AV$3), AND($F96&lt;AV$3, WORKDAY($F96, 22,Holiday!$A$1:$A$30)&gt;AV$3)), 1, 0)+IF(AND((AV$3-$B$2)&gt;=0,(AV$3-$B$2)&lt;30), 2,0)</f>
        <v>1</v>
      </c>
      <c r="AW96" s="113">
        <f>IF(OR(AND($F95&lt;=AW$3, $F96 &gt;= AW$3), AND($F96&lt;AW$3, WORKDAY($F96, 22,Holiday!$A$1:$A$30)&gt;AW$3)), 1, 0)+IF(AND((AW$3-$B$2)&gt;=0,(AW$3-$B$2)&lt;30), 2,0)</f>
        <v>0</v>
      </c>
      <c r="AX96" s="113">
        <f>IF(OR(AND($F95&lt;=AX$3, $F96 &gt;= AX$3), AND($F96&lt;AX$3, WORKDAY($F96, 22,Holiday!$A$1:$A$30)&gt;AX$3)), 1, 0)+IF(AND((AX$3-$B$2)&gt;=0,(AX$3-$B$2)&lt;30), 2,0)</f>
        <v>0</v>
      </c>
      <c r="AY96" s="113">
        <f>IF(OR(AND($F95&lt;=AY$3, $F96 &gt;= AY$3), AND($F96&lt;AY$3, WORKDAY($F96, 22,Holiday!$A$1:$A$30)&gt;AY$3)), 1, 0)+IF(AND((AY$3-$B$2)&gt;=0,(AY$3-$B$2)&lt;30), 2,0)</f>
        <v>0</v>
      </c>
      <c r="AZ96" s="113">
        <f>IF(OR(AND($F95&lt;=AZ$3, $F96 &gt;= AZ$3), AND($F96&lt;AZ$3, WORKDAY($F96, 22,Holiday!$A$1:$A$30)&gt;AZ$3)), 1, 0)+IF(AND((AZ$3-$B$2)&gt;=0,(AZ$3-$B$2)&lt;30), 2,0)</f>
        <v>2</v>
      </c>
      <c r="BA96" s="113">
        <f>IF(OR(AND($F95&lt;=BA$3, $F96 &gt;= BA$3), AND($F96&lt;BA$3, WORKDAY($F96, 22,Holiday!$A$1:$A$30)&gt;BA$3)), 1, 0)+IF(AND((BA$3-$B$2)&gt;=0,(BA$3-$B$2)&lt;30), 2,0)</f>
        <v>0</v>
      </c>
      <c r="BB96" s="113">
        <f>IF(OR(AND($F95&lt;=BB$3, $F96 &gt;= BB$3), AND($F96&lt;BB$3, WORKDAY($F96, 22,Holiday!$A$1:$A$30)&gt;BB$3)), 1, 0)+IF(AND((BB$3-$B$2)&gt;=0,(BB$3-$B$2)&lt;30), 2,0)</f>
        <v>0</v>
      </c>
    </row>
    <row r="97" spans="2:54" ht="15" x14ac:dyDescent="0.2">
      <c r="B97" t="s">
        <v>152</v>
      </c>
      <c r="C97" s="112" t="s">
        <v>78</v>
      </c>
      <c r="D97" s="111">
        <v>6</v>
      </c>
      <c r="E97" s="86">
        <f t="shared" si="1"/>
        <v>9</v>
      </c>
      <c r="F97" s="122">
        <f>WORKDAY(F96,E97,Holiday!A93:A122)</f>
        <v>47310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0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0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0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  <c r="AP97" s="113">
        <f>IF(OR(AND($F96&lt;=AP$3, $F97 &gt;= AP$3), AND($F97&lt;AP$3, WORKDAY($F97, 22,Holiday!$A$1:$A$30)&gt;AP$3)), 1, 0)+IF(AND((AP$3-$B$2)&gt;=0,(AP$3-$B$2)&lt;30), 2,0)</f>
        <v>0</v>
      </c>
      <c r="AQ97" s="113">
        <f>IF(OR(AND($F96&lt;=AQ$3, $F97 &gt;= AQ$3), AND($F97&lt;AQ$3, WORKDAY($F97, 22,Holiday!$A$1:$A$30)&gt;AQ$3)), 1, 0)+IF(AND((AQ$3-$B$2)&gt;=0,(AQ$3-$B$2)&lt;30), 2,0)</f>
        <v>0</v>
      </c>
      <c r="AR97" s="113">
        <f>IF(OR(AND($F96&lt;=AR$3, $F97 &gt;= AR$3), AND($F97&lt;AR$3, WORKDAY($F97, 22,Holiday!$A$1:$A$30)&gt;AR$3)), 1, 0)+IF(AND((AR$3-$B$2)&gt;=0,(AR$3-$B$2)&lt;30), 2,0)</f>
        <v>0</v>
      </c>
      <c r="AS97" s="113">
        <f>IF(OR(AND($F96&lt;=AS$3, $F97 &gt;= AS$3), AND($F97&lt;AS$3, WORKDAY($F97, 22,Holiday!$A$1:$A$30)&gt;AS$3)), 1, 0)+IF(AND((AS$3-$B$2)&gt;=0,(AS$3-$B$2)&lt;30), 2,0)</f>
        <v>0</v>
      </c>
      <c r="AT97" s="113">
        <f>IF(OR(AND($F96&lt;=AT$3, $F97 &gt;= AT$3), AND($F97&lt;AT$3, WORKDAY($F97, 22,Holiday!$A$1:$A$30)&gt;AT$3)), 1, 0)+IF(AND((AT$3-$B$2)&gt;=0,(AT$3-$B$2)&lt;30), 2,0)</f>
        <v>0</v>
      </c>
      <c r="AU97" s="113">
        <f>IF(OR(AND($F96&lt;=AU$3, $F97 &gt;= AU$3), AND($F97&lt;AU$3, WORKDAY($F97, 22,Holiday!$A$1:$A$30)&gt;AU$3)), 1, 0)+IF(AND((AU$3-$B$2)&gt;=0,(AU$3-$B$2)&lt;30), 2,0)</f>
        <v>0</v>
      </c>
      <c r="AV97" s="113">
        <f>IF(OR(AND($F96&lt;=AV$3, $F97 &gt;= AV$3), AND($F97&lt;AV$3, WORKDAY($F97, 22,Holiday!$A$1:$A$30)&gt;AV$3)), 1, 0)+IF(AND((AV$3-$B$2)&gt;=0,(AV$3-$B$2)&lt;30), 2,0)</f>
        <v>1</v>
      </c>
      <c r="AW97" s="113">
        <f>IF(OR(AND($F96&lt;=AW$3, $F97 &gt;= AW$3), AND($F97&lt;AW$3, WORKDAY($F97, 22,Holiday!$A$1:$A$30)&gt;AW$3)), 1, 0)+IF(AND((AW$3-$B$2)&gt;=0,(AW$3-$B$2)&lt;30), 2,0)</f>
        <v>0</v>
      </c>
      <c r="AX97" s="113">
        <f>IF(OR(AND($F96&lt;=AX$3, $F97 &gt;= AX$3), AND($F97&lt;AX$3, WORKDAY($F97, 22,Holiday!$A$1:$A$30)&gt;AX$3)), 1, 0)+IF(AND((AX$3-$B$2)&gt;=0,(AX$3-$B$2)&lt;30), 2,0)</f>
        <v>0</v>
      </c>
      <c r="AY97" s="113">
        <f>IF(OR(AND($F96&lt;=AY$3, $F97 &gt;= AY$3), AND($F97&lt;AY$3, WORKDAY($F97, 22,Holiday!$A$1:$A$30)&gt;AY$3)), 1, 0)+IF(AND((AY$3-$B$2)&gt;=0,(AY$3-$B$2)&lt;30), 2,0)</f>
        <v>0</v>
      </c>
      <c r="AZ97" s="113">
        <f>IF(OR(AND($F96&lt;=AZ$3, $F97 &gt;= AZ$3), AND($F97&lt;AZ$3, WORKDAY($F97, 22,Holiday!$A$1:$A$30)&gt;AZ$3)), 1, 0)+IF(AND((AZ$3-$B$2)&gt;=0,(AZ$3-$B$2)&lt;30), 2,0)</f>
        <v>2</v>
      </c>
      <c r="BA97" s="113">
        <f>IF(OR(AND($F96&lt;=BA$3, $F97 &gt;= BA$3), AND($F97&lt;BA$3, WORKDAY($F97, 22,Holiday!$A$1:$A$30)&gt;BA$3)), 1, 0)+IF(AND((BA$3-$B$2)&gt;=0,(BA$3-$B$2)&lt;30), 2,0)</f>
        <v>0</v>
      </c>
      <c r="BB97" s="113">
        <f>IF(OR(AND($F96&lt;=BB$3, $F97 &gt;= BB$3), AND($F97&lt;BB$3, WORKDAY($F97, 22,Holiday!$A$1:$A$30)&gt;BB$3)), 1, 0)+IF(AND((BB$3-$B$2)&gt;=0,(BB$3-$B$2)&lt;30), 2,0)</f>
        <v>0</v>
      </c>
    </row>
    <row r="98" spans="2:54" ht="15" x14ac:dyDescent="0.2">
      <c r="B98" t="s">
        <v>150</v>
      </c>
      <c r="C98" s="112" t="s">
        <v>78</v>
      </c>
      <c r="D98" s="111">
        <v>6</v>
      </c>
      <c r="E98" s="86">
        <f t="shared" si="1"/>
        <v>9</v>
      </c>
      <c r="F98" s="122">
        <f>WORKDAY(F97,E98,Holiday!A94:A123)</f>
        <v>47323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0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0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  <c r="AP98" s="113">
        <f>IF(OR(AND($F97&lt;=AP$3, $F98 &gt;= AP$3), AND($F98&lt;AP$3, WORKDAY($F98, 22,Holiday!$A$1:$A$30)&gt;AP$3)), 1, 0)+IF(AND((AP$3-$B$2)&gt;=0,(AP$3-$B$2)&lt;30), 2,0)</f>
        <v>0</v>
      </c>
      <c r="AQ98" s="113">
        <f>IF(OR(AND($F97&lt;=AQ$3, $F98 &gt;= AQ$3), AND($F98&lt;AQ$3, WORKDAY($F98, 22,Holiday!$A$1:$A$30)&gt;AQ$3)), 1, 0)+IF(AND((AQ$3-$B$2)&gt;=0,(AQ$3-$B$2)&lt;30), 2,0)</f>
        <v>0</v>
      </c>
      <c r="AR98" s="113">
        <f>IF(OR(AND($F97&lt;=AR$3, $F98 &gt;= AR$3), AND($F98&lt;AR$3, WORKDAY($F98, 22,Holiday!$A$1:$A$30)&gt;AR$3)), 1, 0)+IF(AND((AR$3-$B$2)&gt;=0,(AR$3-$B$2)&lt;30), 2,0)</f>
        <v>0</v>
      </c>
      <c r="AS98" s="113">
        <f>IF(OR(AND($F97&lt;=AS$3, $F98 &gt;= AS$3), AND($F98&lt;AS$3, WORKDAY($F98, 22,Holiday!$A$1:$A$30)&gt;AS$3)), 1, 0)+IF(AND((AS$3-$B$2)&gt;=0,(AS$3-$B$2)&lt;30), 2,0)</f>
        <v>0</v>
      </c>
      <c r="AT98" s="113">
        <f>IF(OR(AND($F97&lt;=AT$3, $F98 &gt;= AT$3), AND($F98&lt;AT$3, WORKDAY($F98, 22,Holiday!$A$1:$A$30)&gt;AT$3)), 1, 0)+IF(AND((AT$3-$B$2)&gt;=0,(AT$3-$B$2)&lt;30), 2,0)</f>
        <v>0</v>
      </c>
      <c r="AU98" s="113">
        <f>IF(OR(AND($F97&lt;=AU$3, $F98 &gt;= AU$3), AND($F98&lt;AU$3, WORKDAY($F98, 22,Holiday!$A$1:$A$30)&gt;AU$3)), 1, 0)+IF(AND((AU$3-$B$2)&gt;=0,(AU$3-$B$2)&lt;30), 2,0)</f>
        <v>0</v>
      </c>
      <c r="AV98" s="113">
        <f>IF(OR(AND($F97&lt;=AV$3, $F98 &gt;= AV$3), AND($F98&lt;AV$3, WORKDAY($F98, 22,Holiday!$A$1:$A$30)&gt;AV$3)), 1, 0)+IF(AND((AV$3-$B$2)&gt;=0,(AV$3-$B$2)&lt;30), 2,0)</f>
        <v>1</v>
      </c>
      <c r="AW98" s="113">
        <f>IF(OR(AND($F97&lt;=AW$3, $F98 &gt;= AW$3), AND($F98&lt;AW$3, WORKDAY($F98, 22,Holiday!$A$1:$A$30)&gt;AW$3)), 1, 0)+IF(AND((AW$3-$B$2)&gt;=0,(AW$3-$B$2)&lt;30), 2,0)</f>
        <v>1</v>
      </c>
      <c r="AX98" s="113">
        <f>IF(OR(AND($F97&lt;=AX$3, $F98 &gt;= AX$3), AND($F98&lt;AX$3, WORKDAY($F98, 22,Holiday!$A$1:$A$30)&gt;AX$3)), 1, 0)+IF(AND((AX$3-$B$2)&gt;=0,(AX$3-$B$2)&lt;30), 2,0)</f>
        <v>0</v>
      </c>
      <c r="AY98" s="113">
        <f>IF(OR(AND($F97&lt;=AY$3, $F98 &gt;= AY$3), AND($F98&lt;AY$3, WORKDAY($F98, 22,Holiday!$A$1:$A$30)&gt;AY$3)), 1, 0)+IF(AND((AY$3-$B$2)&gt;=0,(AY$3-$B$2)&lt;30), 2,0)</f>
        <v>0</v>
      </c>
      <c r="AZ98" s="113">
        <f>IF(OR(AND($F97&lt;=AZ$3, $F98 &gt;= AZ$3), AND($F98&lt;AZ$3, WORKDAY($F98, 22,Holiday!$A$1:$A$30)&gt;AZ$3)), 1, 0)+IF(AND((AZ$3-$B$2)&gt;=0,(AZ$3-$B$2)&lt;30), 2,0)</f>
        <v>2</v>
      </c>
      <c r="BA98" s="113">
        <f>IF(OR(AND($F97&lt;=BA$3, $F98 &gt;= BA$3), AND($F98&lt;BA$3, WORKDAY($F98, 22,Holiday!$A$1:$A$30)&gt;BA$3)), 1, 0)+IF(AND((BA$3-$B$2)&gt;=0,(BA$3-$B$2)&lt;30), 2,0)</f>
        <v>0</v>
      </c>
      <c r="BB98" s="113">
        <f>IF(OR(AND($F97&lt;=BB$3, $F98 &gt;= BB$3), AND($F98&lt;BB$3, WORKDAY($F98, 22,Holiday!$A$1:$A$30)&gt;BB$3)), 1, 0)+IF(AND((BB$3-$B$2)&gt;=0,(BB$3-$B$2)&lt;30), 2,0)</f>
        <v>0</v>
      </c>
    </row>
    <row r="99" spans="2:54" ht="15" x14ac:dyDescent="0.2">
      <c r="B99" t="s">
        <v>162</v>
      </c>
      <c r="C99" s="112" t="s">
        <v>78</v>
      </c>
      <c r="D99" s="111">
        <v>6</v>
      </c>
      <c r="E99" s="86">
        <f t="shared" si="1"/>
        <v>9</v>
      </c>
      <c r="F99" s="122">
        <f>WORKDAY(F98,E99,Holiday!A95:A124)</f>
        <v>47336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0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0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0</v>
      </c>
      <c r="R99" s="113">
        <f>IF(OR(AND($F98&lt;=R$3, $F99 &gt;= R$3), AND($F99&lt;R$3, WORKDAY($F99, 22,Holiday!$A$1:$A$30)&gt;R$3)), 1, 0)+IF(AND((R$3-$B$2)&gt;=0,(R$3-$B$2)&lt;30), 2,0)</f>
        <v>0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  <c r="AP99" s="113">
        <f>IF(OR(AND($F98&lt;=AP$3, $F99 &gt;= AP$3), AND($F99&lt;AP$3, WORKDAY($F99, 22,Holiday!$A$1:$A$30)&gt;AP$3)), 1, 0)+IF(AND((AP$3-$B$2)&gt;=0,(AP$3-$B$2)&lt;30), 2,0)</f>
        <v>0</v>
      </c>
      <c r="AQ99" s="113">
        <f>IF(OR(AND($F98&lt;=AQ$3, $F99 &gt;= AQ$3), AND($F99&lt;AQ$3, WORKDAY($F99, 22,Holiday!$A$1:$A$30)&gt;AQ$3)), 1, 0)+IF(AND((AQ$3-$B$2)&gt;=0,(AQ$3-$B$2)&lt;30), 2,0)</f>
        <v>0</v>
      </c>
      <c r="AR99" s="113">
        <f>IF(OR(AND($F98&lt;=AR$3, $F99 &gt;= AR$3), AND($F99&lt;AR$3, WORKDAY($F99, 22,Holiday!$A$1:$A$30)&gt;AR$3)), 1, 0)+IF(AND((AR$3-$B$2)&gt;=0,(AR$3-$B$2)&lt;30), 2,0)</f>
        <v>0</v>
      </c>
      <c r="AS99" s="113">
        <f>IF(OR(AND($F98&lt;=AS$3, $F99 &gt;= AS$3), AND($F99&lt;AS$3, WORKDAY($F99, 22,Holiday!$A$1:$A$30)&gt;AS$3)), 1, 0)+IF(AND((AS$3-$B$2)&gt;=0,(AS$3-$B$2)&lt;30), 2,0)</f>
        <v>0</v>
      </c>
      <c r="AT99" s="113">
        <f>IF(OR(AND($F98&lt;=AT$3, $F99 &gt;= AT$3), AND($F99&lt;AT$3, WORKDAY($F99, 22,Holiday!$A$1:$A$30)&gt;AT$3)), 1, 0)+IF(AND((AT$3-$B$2)&gt;=0,(AT$3-$B$2)&lt;30), 2,0)</f>
        <v>0</v>
      </c>
      <c r="AU99" s="113">
        <f>IF(OR(AND($F98&lt;=AU$3, $F99 &gt;= AU$3), AND($F99&lt;AU$3, WORKDAY($F99, 22,Holiday!$A$1:$A$30)&gt;AU$3)), 1, 0)+IF(AND((AU$3-$B$2)&gt;=0,(AU$3-$B$2)&lt;30), 2,0)</f>
        <v>0</v>
      </c>
      <c r="AV99" s="113">
        <f>IF(OR(AND($F98&lt;=AV$3, $F99 &gt;= AV$3), AND($F99&lt;AV$3, WORKDAY($F99, 22,Holiday!$A$1:$A$30)&gt;AV$3)), 1, 0)+IF(AND((AV$3-$B$2)&gt;=0,(AV$3-$B$2)&lt;30), 2,0)</f>
        <v>0</v>
      </c>
      <c r="AW99" s="113">
        <f>IF(OR(AND($F98&lt;=AW$3, $F99 &gt;= AW$3), AND($F99&lt;AW$3, WORKDAY($F99, 22,Holiday!$A$1:$A$30)&gt;AW$3)), 1, 0)+IF(AND((AW$3-$B$2)&gt;=0,(AW$3-$B$2)&lt;30), 2,0)</f>
        <v>1</v>
      </c>
      <c r="AX99" s="113">
        <f>IF(OR(AND($F98&lt;=AX$3, $F99 &gt;= AX$3), AND($F99&lt;AX$3, WORKDAY($F99, 22,Holiday!$A$1:$A$30)&gt;AX$3)), 1, 0)+IF(AND((AX$3-$B$2)&gt;=0,(AX$3-$B$2)&lt;30), 2,0)</f>
        <v>0</v>
      </c>
      <c r="AY99" s="113">
        <f>IF(OR(AND($F98&lt;=AY$3, $F99 &gt;= AY$3), AND($F99&lt;AY$3, WORKDAY($F99, 22,Holiday!$A$1:$A$30)&gt;AY$3)), 1, 0)+IF(AND((AY$3-$B$2)&gt;=0,(AY$3-$B$2)&lt;30), 2,0)</f>
        <v>0</v>
      </c>
      <c r="AZ99" s="113">
        <f>IF(OR(AND($F98&lt;=AZ$3, $F99 &gt;= AZ$3), AND($F99&lt;AZ$3, WORKDAY($F99, 22,Holiday!$A$1:$A$30)&gt;AZ$3)), 1, 0)+IF(AND((AZ$3-$B$2)&gt;=0,(AZ$3-$B$2)&lt;30), 2,0)</f>
        <v>2</v>
      </c>
      <c r="BA99" s="113">
        <f>IF(OR(AND($F98&lt;=BA$3, $F99 &gt;= BA$3), AND($F99&lt;BA$3, WORKDAY($F99, 22,Holiday!$A$1:$A$30)&gt;BA$3)), 1, 0)+IF(AND((BA$3-$B$2)&gt;=0,(BA$3-$B$2)&lt;30), 2,0)</f>
        <v>0</v>
      </c>
      <c r="BB99" s="113">
        <f>IF(OR(AND($F98&lt;=BB$3, $F99 &gt;= BB$3), AND($F99&lt;BB$3, WORKDAY($F99, 22,Holiday!$A$1:$A$30)&gt;BB$3)), 1, 0)+IF(AND((BB$3-$B$2)&gt;=0,(BB$3-$B$2)&lt;30), 2,0)</f>
        <v>0</v>
      </c>
    </row>
    <row r="100" spans="2:54" ht="15" x14ac:dyDescent="0.2">
      <c r="B100" t="s">
        <v>196</v>
      </c>
      <c r="C100" s="112" t="s">
        <v>78</v>
      </c>
      <c r="D100" s="111">
        <v>10</v>
      </c>
      <c r="E100" s="86">
        <f t="shared" si="1"/>
        <v>15</v>
      </c>
      <c r="F100" s="122">
        <f>WORKDAY(F99,E100,Holiday!A96:A125)</f>
        <v>47357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0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0</v>
      </c>
      <c r="R100" s="113">
        <f>IF(OR(AND($F99&lt;=R$3, $F100 &gt;= R$3), AND($F100&lt;R$3, WORKDAY($F100, 22,Holiday!$A$1:$A$30)&gt;R$3)), 1, 0)+IF(AND((R$3-$B$2)&gt;=0,(R$3-$B$2)&lt;30), 2,0)</f>
        <v>0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  <c r="AP100" s="113">
        <f>IF(OR(AND($F99&lt;=AP$3, $F100 &gt;= AP$3), AND($F100&lt;AP$3, WORKDAY($F100, 22,Holiday!$A$1:$A$30)&gt;AP$3)), 1, 0)+IF(AND((AP$3-$B$2)&gt;=0,(AP$3-$B$2)&lt;30), 2,0)</f>
        <v>0</v>
      </c>
      <c r="AQ100" s="113">
        <f>IF(OR(AND($F99&lt;=AQ$3, $F100 &gt;= AQ$3), AND($F100&lt;AQ$3, WORKDAY($F100, 22,Holiday!$A$1:$A$30)&gt;AQ$3)), 1, 0)+IF(AND((AQ$3-$B$2)&gt;=0,(AQ$3-$B$2)&lt;30), 2,0)</f>
        <v>0</v>
      </c>
      <c r="AR100" s="113">
        <f>IF(OR(AND($F99&lt;=AR$3, $F100 &gt;= AR$3), AND($F100&lt;AR$3, WORKDAY($F100, 22,Holiday!$A$1:$A$30)&gt;AR$3)), 1, 0)+IF(AND((AR$3-$B$2)&gt;=0,(AR$3-$B$2)&lt;30), 2,0)</f>
        <v>0</v>
      </c>
      <c r="AS100" s="113">
        <f>IF(OR(AND($F99&lt;=AS$3, $F100 &gt;= AS$3), AND($F100&lt;AS$3, WORKDAY($F100, 22,Holiday!$A$1:$A$30)&gt;AS$3)), 1, 0)+IF(AND((AS$3-$B$2)&gt;=0,(AS$3-$B$2)&lt;30), 2,0)</f>
        <v>0</v>
      </c>
      <c r="AT100" s="113">
        <f>IF(OR(AND($F99&lt;=AT$3, $F100 &gt;= AT$3), AND($F100&lt;AT$3, WORKDAY($F100, 22,Holiday!$A$1:$A$30)&gt;AT$3)), 1, 0)+IF(AND((AT$3-$B$2)&gt;=0,(AT$3-$B$2)&lt;30), 2,0)</f>
        <v>0</v>
      </c>
      <c r="AU100" s="113">
        <f>IF(OR(AND($F99&lt;=AU$3, $F100 &gt;= AU$3), AND($F100&lt;AU$3, WORKDAY($F100, 22,Holiday!$A$1:$A$30)&gt;AU$3)), 1, 0)+IF(AND((AU$3-$B$2)&gt;=0,(AU$3-$B$2)&lt;30), 2,0)</f>
        <v>0</v>
      </c>
      <c r="AV100" s="113">
        <f>IF(OR(AND($F99&lt;=AV$3, $F100 &gt;= AV$3), AND($F100&lt;AV$3, WORKDAY($F100, 22,Holiday!$A$1:$A$30)&gt;AV$3)), 1, 0)+IF(AND((AV$3-$B$2)&gt;=0,(AV$3-$B$2)&lt;30), 2,0)</f>
        <v>0</v>
      </c>
      <c r="AW100" s="113">
        <f>IF(OR(AND($F99&lt;=AW$3, $F100 &gt;= AW$3), AND($F100&lt;AW$3, WORKDAY($F100, 22,Holiday!$A$1:$A$30)&gt;AW$3)), 1, 0)+IF(AND((AW$3-$B$2)&gt;=0,(AW$3-$B$2)&lt;30), 2,0)</f>
        <v>1</v>
      </c>
      <c r="AX100" s="113">
        <f>IF(OR(AND($F99&lt;=AX$3, $F100 &gt;= AX$3), AND($F100&lt;AX$3, WORKDAY($F100, 22,Holiday!$A$1:$A$30)&gt;AX$3)), 1, 0)+IF(AND((AX$3-$B$2)&gt;=0,(AX$3-$B$2)&lt;30), 2,0)</f>
        <v>1</v>
      </c>
      <c r="AY100" s="113">
        <f>IF(OR(AND($F99&lt;=AY$3, $F100 &gt;= AY$3), AND($F100&lt;AY$3, WORKDAY($F100, 22,Holiday!$A$1:$A$30)&gt;AY$3)), 1, 0)+IF(AND((AY$3-$B$2)&gt;=0,(AY$3-$B$2)&lt;30), 2,0)</f>
        <v>0</v>
      </c>
      <c r="AZ100" s="113">
        <f>IF(OR(AND($F99&lt;=AZ$3, $F100 &gt;= AZ$3), AND($F100&lt;AZ$3, WORKDAY($F100, 22,Holiday!$A$1:$A$30)&gt;AZ$3)), 1, 0)+IF(AND((AZ$3-$B$2)&gt;=0,(AZ$3-$B$2)&lt;30), 2,0)</f>
        <v>2</v>
      </c>
      <c r="BA100" s="113">
        <f>IF(OR(AND($F99&lt;=BA$3, $F100 &gt;= BA$3), AND($F100&lt;BA$3, WORKDAY($F100, 22,Holiday!$A$1:$A$30)&gt;BA$3)), 1, 0)+IF(AND((BA$3-$B$2)&gt;=0,(BA$3-$B$2)&lt;30), 2,0)</f>
        <v>0</v>
      </c>
      <c r="BB100" s="113">
        <f>IF(OR(AND($F99&lt;=BB$3, $F100 &gt;= BB$3), AND($F100&lt;BB$3, WORKDAY($F100, 22,Holiday!$A$1:$A$30)&gt;BB$3)), 1, 0)+IF(AND((BB$3-$B$2)&gt;=0,(BB$3-$B$2)&lt;30), 2,0)</f>
        <v>0</v>
      </c>
    </row>
    <row r="101" spans="2:54" ht="15" x14ac:dyDescent="0.2">
      <c r="B101" t="s">
        <v>116</v>
      </c>
      <c r="C101" s="112" t="s">
        <v>78</v>
      </c>
      <c r="D101" s="111">
        <v>10</v>
      </c>
      <c r="E101" s="86">
        <f t="shared" si="1"/>
        <v>15</v>
      </c>
      <c r="F101" s="122">
        <f>WORKDAY(F100,E101,Holiday!A97:A126)</f>
        <v>47378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0</v>
      </c>
      <c r="J101" s="113">
        <f>IF(OR(AND($F100&lt;=J$3, $F101 &gt;= J$3), AND($F101&lt;J$3, WORKDAY($F101, 22,Holiday!$A$1:$A$30)&gt;J$3)), 1, 0)+IF(AND((J$3-$B$2)&gt;=0,(J$3-$B$2)&lt;30), 2,0)</f>
        <v>0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0</v>
      </c>
      <c r="M101" s="113">
        <f>IF(OR(AND($F100&lt;=M$3, $F101 &gt;= M$3), AND($F101&lt;M$3, WORKDAY($F101, 22,Holiday!$A$1:$A$30)&gt;M$3)), 1, 0)+IF(AND((M$3-$B$2)&gt;=0,(M$3-$B$2)&lt;30), 2,0)</f>
        <v>0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0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0</v>
      </c>
      <c r="R101" s="113">
        <f>IF(OR(AND($F100&lt;=R$3, $F101 &gt;= R$3), AND($F101&lt;R$3, WORKDAY($F101, 22,Holiday!$A$1:$A$30)&gt;R$3)), 1, 0)+IF(AND((R$3-$B$2)&gt;=0,(R$3-$B$2)&lt;30), 2,0)</f>
        <v>0</v>
      </c>
      <c r="S101" s="113">
        <f>IF(OR(AND($F100&lt;=S$3, $F101 &gt;= S$3), AND($F101&lt;S$3, WORKDAY($F101, 22,Holiday!$A$1:$A$30)&gt;S$3)), 1, 0)+IF(AND((S$3-$B$2)&gt;=0,(S$3-$B$2)&lt;30), 2,0)</f>
        <v>0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0</v>
      </c>
      <c r="V101" s="113">
        <f>IF(OR(AND($F100&lt;=V$3, $F101 &gt;= V$3), AND($F101&lt;V$3, WORKDAY($F101, 22,Holiday!$A$1:$A$30)&gt;V$3)), 1, 0)+IF(AND((V$3-$B$2)&gt;=0,(V$3-$B$2)&lt;30), 2,0)</f>
        <v>0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0</v>
      </c>
      <c r="AC101" s="113">
        <f>IF(OR(AND($F100&lt;=AC$3, $F101 &gt;= AC$3), AND($F101&lt;AC$3, WORKDAY($F101, 22,Holiday!$A$1:$A$30)&gt;AC$3)), 1, 0)+IF(AND((AC$3-$B$2)&gt;=0,(AC$3-$B$2)&lt;30), 2,0)</f>
        <v>0</v>
      </c>
      <c r="AD101" s="113">
        <f>IF(OR(AND($F100&lt;=AD$3, $F101 &gt;= AD$3), AND($F101&lt;AD$3, WORKDAY($F101, 22,Holiday!$A$1:$A$30)&gt;AD$3)), 1, 0)+IF(AND((AD$3-$B$2)&gt;=0,(AD$3-$B$2)&lt;30), 2,0)</f>
        <v>0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  <c r="AP101" s="113">
        <f>IF(OR(AND($F100&lt;=AP$3, $F101 &gt;= AP$3), AND($F101&lt;AP$3, WORKDAY($F101, 22,Holiday!$A$1:$A$30)&gt;AP$3)), 1, 0)+IF(AND((AP$3-$B$2)&gt;=0,(AP$3-$B$2)&lt;30), 2,0)</f>
        <v>0</v>
      </c>
      <c r="AQ101" s="113">
        <f>IF(OR(AND($F100&lt;=AQ$3, $F101 &gt;= AQ$3), AND($F101&lt;AQ$3, WORKDAY($F101, 22,Holiday!$A$1:$A$30)&gt;AQ$3)), 1, 0)+IF(AND((AQ$3-$B$2)&gt;=0,(AQ$3-$B$2)&lt;30), 2,0)</f>
        <v>0</v>
      </c>
      <c r="AR101" s="113">
        <f>IF(OR(AND($F100&lt;=AR$3, $F101 &gt;= AR$3), AND($F101&lt;AR$3, WORKDAY($F101, 22,Holiday!$A$1:$A$30)&gt;AR$3)), 1, 0)+IF(AND((AR$3-$B$2)&gt;=0,(AR$3-$B$2)&lt;30), 2,0)</f>
        <v>0</v>
      </c>
      <c r="AS101" s="113">
        <f>IF(OR(AND($F100&lt;=AS$3, $F101 &gt;= AS$3), AND($F101&lt;AS$3, WORKDAY($F101, 22,Holiday!$A$1:$A$30)&gt;AS$3)), 1, 0)+IF(AND((AS$3-$B$2)&gt;=0,(AS$3-$B$2)&lt;30), 2,0)</f>
        <v>0</v>
      </c>
      <c r="AT101" s="113">
        <f>IF(OR(AND($F100&lt;=AT$3, $F101 &gt;= AT$3), AND($F101&lt;AT$3, WORKDAY($F101, 22,Holiday!$A$1:$A$30)&gt;AT$3)), 1, 0)+IF(AND((AT$3-$B$2)&gt;=0,(AT$3-$B$2)&lt;30), 2,0)</f>
        <v>0</v>
      </c>
      <c r="AU101" s="113">
        <f>IF(OR(AND($F100&lt;=AU$3, $F101 &gt;= AU$3), AND($F101&lt;AU$3, WORKDAY($F101, 22,Holiday!$A$1:$A$30)&gt;AU$3)), 1, 0)+IF(AND((AU$3-$B$2)&gt;=0,(AU$3-$B$2)&lt;30), 2,0)</f>
        <v>0</v>
      </c>
      <c r="AV101" s="113">
        <f>IF(OR(AND($F100&lt;=AV$3, $F101 &gt;= AV$3), AND($F101&lt;AV$3, WORKDAY($F101, 22,Holiday!$A$1:$A$30)&gt;AV$3)), 1, 0)+IF(AND((AV$3-$B$2)&gt;=0,(AV$3-$B$2)&lt;30), 2,0)</f>
        <v>0</v>
      </c>
      <c r="AW101" s="113">
        <f>IF(OR(AND($F100&lt;=AW$3, $F101 &gt;= AW$3), AND($F101&lt;AW$3, WORKDAY($F101, 22,Holiday!$A$1:$A$30)&gt;AW$3)), 1, 0)+IF(AND((AW$3-$B$2)&gt;=0,(AW$3-$B$2)&lt;30), 2,0)</f>
        <v>0</v>
      </c>
      <c r="AX101" s="113">
        <f>IF(OR(AND($F100&lt;=AX$3, $F101 &gt;= AX$3), AND($F101&lt;AX$3, WORKDAY($F101, 22,Holiday!$A$1:$A$30)&gt;AX$3)), 1, 0)+IF(AND((AX$3-$B$2)&gt;=0,(AX$3-$B$2)&lt;30), 2,0)</f>
        <v>1</v>
      </c>
      <c r="AY101" s="113">
        <f>IF(OR(AND($F100&lt;=AY$3, $F101 &gt;= AY$3), AND($F101&lt;AY$3, WORKDAY($F101, 22,Holiday!$A$1:$A$30)&gt;AY$3)), 1, 0)+IF(AND((AY$3-$B$2)&gt;=0,(AY$3-$B$2)&lt;30), 2,0)</f>
        <v>0</v>
      </c>
      <c r="AZ101" s="113">
        <f>IF(OR(AND($F100&lt;=AZ$3, $F101 &gt;= AZ$3), AND($F101&lt;AZ$3, WORKDAY($F101, 22,Holiday!$A$1:$A$30)&gt;AZ$3)), 1, 0)+IF(AND((AZ$3-$B$2)&gt;=0,(AZ$3-$B$2)&lt;30), 2,0)</f>
        <v>2</v>
      </c>
      <c r="BA101" s="113">
        <f>IF(OR(AND($F100&lt;=BA$3, $F101 &gt;= BA$3), AND($F101&lt;BA$3, WORKDAY($F101, 22,Holiday!$A$1:$A$30)&gt;BA$3)), 1, 0)+IF(AND((BA$3-$B$2)&gt;=0,(BA$3-$B$2)&lt;30), 2,0)</f>
        <v>0</v>
      </c>
      <c r="BB101" s="113">
        <f>IF(OR(AND($F100&lt;=BB$3, $F101 &gt;= BB$3), AND($F101&lt;BB$3, WORKDAY($F101, 22,Holiday!$A$1:$A$30)&gt;BB$3)), 1, 0)+IF(AND((BB$3-$B$2)&gt;=0,(BB$3-$B$2)&lt;30), 2,0)</f>
        <v>0</v>
      </c>
    </row>
    <row r="102" spans="2:54" ht="15" x14ac:dyDescent="0.2">
      <c r="B102" t="s">
        <v>213</v>
      </c>
      <c r="C102" s="112" t="s">
        <v>78</v>
      </c>
      <c r="D102" s="111">
        <v>10</v>
      </c>
      <c r="E102" s="86">
        <f t="shared" si="1"/>
        <v>15</v>
      </c>
      <c r="F102" s="122">
        <f>WORKDAY(F101,E102,Holiday!A98:A127)</f>
        <v>47399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0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0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0</v>
      </c>
      <c r="M102" s="113">
        <f>IF(OR(AND($F101&lt;=M$3, $F102 &gt;= M$3), AND($F102&lt;M$3, WORKDAY($F102, 22,Holiday!$A$1:$A$30)&gt;M$3)), 1, 0)+IF(AND((M$3-$B$2)&gt;=0,(M$3-$B$2)&lt;30), 2,0)</f>
        <v>0</v>
      </c>
      <c r="N102" s="113">
        <f>IF(OR(AND($F101&lt;=N$3, $F102 &gt;= N$3), AND($F102&lt;N$3, WORKDAY($F102, 22,Holiday!$A$1:$A$30)&gt;N$3)), 1, 0)+IF(AND((N$3-$B$2)&gt;=0,(N$3-$B$2)&lt;30), 2,0)</f>
        <v>0</v>
      </c>
      <c r="O102" s="113">
        <f>IF(OR(AND($F101&lt;=O$3, $F102 &gt;= O$3), AND($F102&lt;O$3, WORKDAY($F102, 22,Holiday!$A$1:$A$30)&gt;O$3)), 1, 0)+IF(AND((O$3-$B$2)&gt;=0,(O$3-$B$2)&lt;30), 2,0)</f>
        <v>0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0</v>
      </c>
      <c r="R102" s="113">
        <f>IF(OR(AND($F101&lt;=R$3, $F102 &gt;= R$3), AND($F102&lt;R$3, WORKDAY($F102, 22,Holiday!$A$1:$A$30)&gt;R$3)), 1, 0)+IF(AND((R$3-$B$2)&gt;=0,(R$3-$B$2)&lt;30), 2,0)</f>
        <v>0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0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0</v>
      </c>
      <c r="AD102" s="113">
        <f>IF(OR(AND($F101&lt;=AD$3, $F102 &gt;= AD$3), AND($F102&lt;AD$3, WORKDAY($F102, 22,Holiday!$A$1:$A$30)&gt;AD$3)), 1, 0)+IF(AND((AD$3-$B$2)&gt;=0,(AD$3-$B$2)&lt;30), 2,0)</f>
        <v>0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  <c r="AP102" s="113">
        <f>IF(OR(AND($F101&lt;=AP$3, $F102 &gt;= AP$3), AND($F102&lt;AP$3, WORKDAY($F102, 22,Holiday!$A$1:$A$30)&gt;AP$3)), 1, 0)+IF(AND((AP$3-$B$2)&gt;=0,(AP$3-$B$2)&lt;30), 2,0)</f>
        <v>0</v>
      </c>
      <c r="AQ102" s="113">
        <f>IF(OR(AND($F101&lt;=AQ$3, $F102 &gt;= AQ$3), AND($F102&lt;AQ$3, WORKDAY($F102, 22,Holiday!$A$1:$A$30)&gt;AQ$3)), 1, 0)+IF(AND((AQ$3-$B$2)&gt;=0,(AQ$3-$B$2)&lt;30), 2,0)</f>
        <v>0</v>
      </c>
      <c r="AR102" s="113">
        <f>IF(OR(AND($F101&lt;=AR$3, $F102 &gt;= AR$3), AND($F102&lt;AR$3, WORKDAY($F102, 22,Holiday!$A$1:$A$30)&gt;AR$3)), 1, 0)+IF(AND((AR$3-$B$2)&gt;=0,(AR$3-$B$2)&lt;30), 2,0)</f>
        <v>0</v>
      </c>
      <c r="AS102" s="113">
        <f>IF(OR(AND($F101&lt;=AS$3, $F102 &gt;= AS$3), AND($F102&lt;AS$3, WORKDAY($F102, 22,Holiday!$A$1:$A$30)&gt;AS$3)), 1, 0)+IF(AND((AS$3-$B$2)&gt;=0,(AS$3-$B$2)&lt;30), 2,0)</f>
        <v>0</v>
      </c>
      <c r="AT102" s="113">
        <f>IF(OR(AND($F101&lt;=AT$3, $F102 &gt;= AT$3), AND($F102&lt;AT$3, WORKDAY($F102, 22,Holiday!$A$1:$A$30)&gt;AT$3)), 1, 0)+IF(AND((AT$3-$B$2)&gt;=0,(AT$3-$B$2)&lt;30), 2,0)</f>
        <v>0</v>
      </c>
      <c r="AU102" s="113">
        <f>IF(OR(AND($F101&lt;=AU$3, $F102 &gt;= AU$3), AND($F102&lt;AU$3, WORKDAY($F102, 22,Holiday!$A$1:$A$30)&gt;AU$3)), 1, 0)+IF(AND((AU$3-$B$2)&gt;=0,(AU$3-$B$2)&lt;30), 2,0)</f>
        <v>0</v>
      </c>
      <c r="AV102" s="113">
        <f>IF(OR(AND($F101&lt;=AV$3, $F102 &gt;= AV$3), AND($F102&lt;AV$3, WORKDAY($F102, 22,Holiday!$A$1:$A$30)&gt;AV$3)), 1, 0)+IF(AND((AV$3-$B$2)&gt;=0,(AV$3-$B$2)&lt;30), 2,0)</f>
        <v>0</v>
      </c>
      <c r="AW102" s="113">
        <f>IF(OR(AND($F101&lt;=AW$3, $F102 &gt;= AW$3), AND($F102&lt;AW$3, WORKDAY($F102, 22,Holiday!$A$1:$A$30)&gt;AW$3)), 1, 0)+IF(AND((AW$3-$B$2)&gt;=0,(AW$3-$B$2)&lt;30), 2,0)</f>
        <v>0</v>
      </c>
      <c r="AX102" s="113">
        <f>IF(OR(AND($F101&lt;=AX$3, $F102 &gt;= AX$3), AND($F102&lt;AX$3, WORKDAY($F102, 22,Holiday!$A$1:$A$30)&gt;AX$3)), 1, 0)+IF(AND((AX$3-$B$2)&gt;=0,(AX$3-$B$2)&lt;30), 2,0)</f>
        <v>1</v>
      </c>
      <c r="AY102" s="113">
        <f>IF(OR(AND($F101&lt;=AY$3, $F102 &gt;= AY$3), AND($F102&lt;AY$3, WORKDAY($F102, 22,Holiday!$A$1:$A$30)&gt;AY$3)), 1, 0)+IF(AND((AY$3-$B$2)&gt;=0,(AY$3-$B$2)&lt;30), 2,0)</f>
        <v>1</v>
      </c>
      <c r="AZ102" s="113">
        <f>IF(OR(AND($F101&lt;=AZ$3, $F102 &gt;= AZ$3), AND($F102&lt;AZ$3, WORKDAY($F102, 22,Holiday!$A$1:$A$30)&gt;AZ$3)), 1, 0)+IF(AND((AZ$3-$B$2)&gt;=0,(AZ$3-$B$2)&lt;30), 2,0)</f>
        <v>2</v>
      </c>
      <c r="BA102" s="113">
        <f>IF(OR(AND($F101&lt;=BA$3, $F102 &gt;= BA$3), AND($F102&lt;BA$3, WORKDAY($F102, 22,Holiday!$A$1:$A$30)&gt;BA$3)), 1, 0)+IF(AND((BA$3-$B$2)&gt;=0,(BA$3-$B$2)&lt;30), 2,0)</f>
        <v>0</v>
      </c>
      <c r="BB102" s="113">
        <f>IF(OR(AND($F101&lt;=BB$3, $F102 &gt;= BB$3), AND($F102&lt;BB$3, WORKDAY($F102, 22,Holiday!$A$1:$A$30)&gt;BB$3)), 1, 0)+IF(AND((BB$3-$B$2)&gt;=0,(BB$3-$B$2)&lt;30), 2,0)</f>
        <v>0</v>
      </c>
    </row>
    <row r="103" spans="2:54" ht="15" x14ac:dyDescent="0.2">
      <c r="B103" t="s">
        <v>195</v>
      </c>
      <c r="C103" s="112" t="s">
        <v>78</v>
      </c>
      <c r="D103" s="111">
        <v>10</v>
      </c>
      <c r="E103" s="86">
        <f t="shared" si="1"/>
        <v>15</v>
      </c>
      <c r="F103" s="122">
        <f>WORKDAY(F102,E103,Holiday!A99:A128)</f>
        <v>47420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0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0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  <c r="AP103" s="113">
        <f>IF(OR(AND($F102&lt;=AP$3, $F103 &gt;= AP$3), AND($F103&lt;AP$3, WORKDAY($F103, 22,Holiday!$A$1:$A$30)&gt;AP$3)), 1, 0)+IF(AND((AP$3-$B$2)&gt;=0,(AP$3-$B$2)&lt;30), 2,0)</f>
        <v>0</v>
      </c>
      <c r="AQ103" s="113">
        <f>IF(OR(AND($F102&lt;=AQ$3, $F103 &gt;= AQ$3), AND($F103&lt;AQ$3, WORKDAY($F103, 22,Holiday!$A$1:$A$30)&gt;AQ$3)), 1, 0)+IF(AND((AQ$3-$B$2)&gt;=0,(AQ$3-$B$2)&lt;30), 2,0)</f>
        <v>0</v>
      </c>
      <c r="AR103" s="113">
        <f>IF(OR(AND($F102&lt;=AR$3, $F103 &gt;= AR$3), AND($F103&lt;AR$3, WORKDAY($F103, 22,Holiday!$A$1:$A$30)&gt;AR$3)), 1, 0)+IF(AND((AR$3-$B$2)&gt;=0,(AR$3-$B$2)&lt;30), 2,0)</f>
        <v>0</v>
      </c>
      <c r="AS103" s="113">
        <f>IF(OR(AND($F102&lt;=AS$3, $F103 &gt;= AS$3), AND($F103&lt;AS$3, WORKDAY($F103, 22,Holiday!$A$1:$A$30)&gt;AS$3)), 1, 0)+IF(AND((AS$3-$B$2)&gt;=0,(AS$3-$B$2)&lt;30), 2,0)</f>
        <v>0</v>
      </c>
      <c r="AT103" s="113">
        <f>IF(OR(AND($F102&lt;=AT$3, $F103 &gt;= AT$3), AND($F103&lt;AT$3, WORKDAY($F103, 22,Holiday!$A$1:$A$30)&gt;AT$3)), 1, 0)+IF(AND((AT$3-$B$2)&gt;=0,(AT$3-$B$2)&lt;30), 2,0)</f>
        <v>0</v>
      </c>
      <c r="AU103" s="113">
        <f>IF(OR(AND($F102&lt;=AU$3, $F103 &gt;= AU$3), AND($F103&lt;AU$3, WORKDAY($F103, 22,Holiday!$A$1:$A$30)&gt;AU$3)), 1, 0)+IF(AND((AU$3-$B$2)&gt;=0,(AU$3-$B$2)&lt;30), 2,0)</f>
        <v>0</v>
      </c>
      <c r="AV103" s="113">
        <f>IF(OR(AND($F102&lt;=AV$3, $F103 &gt;= AV$3), AND($F103&lt;AV$3, WORKDAY($F103, 22,Holiday!$A$1:$A$30)&gt;AV$3)), 1, 0)+IF(AND((AV$3-$B$2)&gt;=0,(AV$3-$B$2)&lt;30), 2,0)</f>
        <v>0</v>
      </c>
      <c r="AW103" s="113">
        <f>IF(OR(AND($F102&lt;=AW$3, $F103 &gt;= AW$3), AND($F103&lt;AW$3, WORKDAY($F103, 22,Holiday!$A$1:$A$30)&gt;AW$3)), 1, 0)+IF(AND((AW$3-$B$2)&gt;=0,(AW$3-$B$2)&lt;30), 2,0)</f>
        <v>0</v>
      </c>
      <c r="AX103" s="113">
        <f>IF(OR(AND($F102&lt;=AX$3, $F103 &gt;= AX$3), AND($F103&lt;AX$3, WORKDAY($F103, 22,Holiday!$A$1:$A$30)&gt;AX$3)), 1, 0)+IF(AND((AX$3-$B$2)&gt;=0,(AX$3-$B$2)&lt;30), 2,0)</f>
        <v>0</v>
      </c>
      <c r="AY103" s="113">
        <f>IF(OR(AND($F102&lt;=AY$3, $F103 &gt;= AY$3), AND($F103&lt;AY$3, WORKDAY($F103, 22,Holiday!$A$1:$A$30)&gt;AY$3)), 1, 0)+IF(AND((AY$3-$B$2)&gt;=0,(AY$3-$B$2)&lt;30), 2,0)</f>
        <v>1</v>
      </c>
      <c r="AZ103" s="113">
        <f>IF(OR(AND($F102&lt;=AZ$3, $F103 &gt;= AZ$3), AND($F103&lt;AZ$3, WORKDAY($F103, 22,Holiday!$A$1:$A$30)&gt;AZ$3)), 1, 0)+IF(AND((AZ$3-$B$2)&gt;=0,(AZ$3-$B$2)&lt;30), 2,0)</f>
        <v>3</v>
      </c>
      <c r="BA103" s="113">
        <f>IF(OR(AND($F102&lt;=BA$3, $F103 &gt;= BA$3), AND($F103&lt;BA$3, WORKDAY($F103, 22,Holiday!$A$1:$A$30)&gt;BA$3)), 1, 0)+IF(AND((BA$3-$B$2)&gt;=0,(BA$3-$B$2)&lt;30), 2,0)</f>
        <v>0</v>
      </c>
      <c r="BB103" s="113">
        <f>IF(OR(AND($F102&lt;=BB$3, $F103 &gt;= BB$3), AND($F103&lt;BB$3, WORKDAY($F103, 22,Holiday!$A$1:$A$30)&gt;BB$3)), 1, 0)+IF(AND((BB$3-$B$2)&gt;=0,(BB$3-$B$2)&lt;30), 2,0)</f>
        <v>0</v>
      </c>
    </row>
    <row r="104" spans="2:54" ht="12.75" x14ac:dyDescent="0.2">
      <c r="F104" s="122"/>
    </row>
  </sheetData>
  <sortState xmlns:xlrd2="http://schemas.microsoft.com/office/spreadsheetml/2017/richdata2" ref="B6:B103">
    <sortCondition ref="B6:B103"/>
  </sortState>
  <mergeCells count="51">
    <mergeCell ref="AZ1:AZ2"/>
    <mergeCell ref="BA1:BA2"/>
    <mergeCell ref="BB1:BB2"/>
    <mergeCell ref="AU1:AU2"/>
    <mergeCell ref="AV1:AV2"/>
    <mergeCell ref="AW1:AW2"/>
    <mergeCell ref="AX1:AX2"/>
    <mergeCell ref="AY1:AY2"/>
    <mergeCell ref="AP1:AP2"/>
    <mergeCell ref="AQ1:AQ2"/>
    <mergeCell ref="AR1:AR2"/>
    <mergeCell ref="AS1:AS2"/>
    <mergeCell ref="AT1:AT2"/>
    <mergeCell ref="O1:O2"/>
    <mergeCell ref="F1:F2"/>
    <mergeCell ref="J1:J2"/>
    <mergeCell ref="K1:K2"/>
    <mergeCell ref="L1:L2"/>
    <mergeCell ref="M1:M2"/>
    <mergeCell ref="N1:N2"/>
    <mergeCell ref="A1:A2"/>
    <mergeCell ref="E1:E2"/>
    <mergeCell ref="G1:G2"/>
    <mergeCell ref="H1:H2"/>
    <mergeCell ref="I1:I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N1:AN2"/>
    <mergeCell ref="AO1:AO2"/>
    <mergeCell ref="AJ1:AJ2"/>
    <mergeCell ref="AK1:AK2"/>
    <mergeCell ref="AL1:AL2"/>
    <mergeCell ref="AM1:AM2"/>
  </mergeCells>
  <phoneticPr fontId="39" type="noConversion"/>
  <conditionalFormatting sqref="G3:AO3">
    <cfRule type="expression" dxfId="47" priority="5">
      <formula>G$4&gt;1</formula>
    </cfRule>
  </conditionalFormatting>
  <conditionalFormatting sqref="G4:AO103">
    <cfRule type="cellIs" dxfId="46" priority="6" operator="greaterThan">
      <formula>1</formula>
    </cfRule>
    <cfRule type="cellIs" dxfId="45" priority="7" operator="equal">
      <formula>0</formula>
    </cfRule>
    <cfRule type="cellIs" dxfId="44" priority="8" operator="equal">
      <formula>1</formula>
    </cfRule>
  </conditionalFormatting>
  <conditionalFormatting sqref="AP3:BB3">
    <cfRule type="expression" dxfId="3" priority="1">
      <formula>AP$4&gt;1</formula>
    </cfRule>
  </conditionalFormatting>
  <conditionalFormatting sqref="AP4:BB103">
    <cfRule type="cellIs" dxfId="2" priority="2" operator="greaterThan">
      <formula>1</formula>
    </cfRule>
    <cfRule type="cellIs" dxfId="1" priority="3" operator="equal">
      <formula>0</formula>
    </cfRule>
    <cfRule type="cellIs" dxfId="0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4E09-48FA-4C19-A0ED-A8D390A75530}">
  <sheetPr>
    <tabColor rgb="FF3D85C6"/>
    <outlinePr summaryBelow="0" summaryRight="0"/>
  </sheetPr>
  <dimension ref="A1:AO104"/>
  <sheetViews>
    <sheetView showGridLines="0" zoomScale="89" workbookViewId="0">
      <pane xSplit="6" topLeftCell="G1" activePane="topRight" state="frozen"/>
      <selection pane="topRight" activeCell="F3" sqref="F3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46738</v>
      </c>
      <c r="C2" s="129">
        <v>2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SUM(E4:E103)</f>
        <v>996</v>
      </c>
      <c r="F3" s="126">
        <f>Setting!$B$2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19"/>
      <c r="B4" s="116" t="s">
        <v>217</v>
      </c>
      <c r="C4" s="116" t="s">
        <v>255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2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t="s">
        <v>115</v>
      </c>
      <c r="C5" s="112" t="s">
        <v>78</v>
      </c>
      <c r="D5" s="86">
        <v>10</v>
      </c>
      <c r="E5" s="86">
        <f>ROUNDUP(D5*(1+$D$2),0)</f>
        <v>15</v>
      </c>
      <c r="F5" s="122">
        <f>WORKDAY(F4,E5,Holiday!A1:A30)</f>
        <v>46072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2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t="s">
        <v>192</v>
      </c>
      <c r="C6" s="112" t="s">
        <v>78</v>
      </c>
      <c r="D6" s="86">
        <v>10</v>
      </c>
      <c r="E6" s="86">
        <f t="shared" ref="E6:E69" si="0">ROUNDUP(D6*(1+$D$2),0)</f>
        <v>15</v>
      </c>
      <c r="F6" s="122">
        <f>WORKDAY(F5,E6,Holiday!A2:A31)</f>
        <v>46093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2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t="s">
        <v>188</v>
      </c>
      <c r="C7" s="112" t="s">
        <v>78</v>
      </c>
      <c r="D7" s="86">
        <v>10</v>
      </c>
      <c r="E7" s="86">
        <f t="shared" si="0"/>
        <v>15</v>
      </c>
      <c r="F7" s="122">
        <f>WORKDAY(F6,E7,Holiday!A3:A32)</f>
        <v>46114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2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t="s">
        <v>120</v>
      </c>
      <c r="C8" s="112" t="s">
        <v>78</v>
      </c>
      <c r="D8" s="86">
        <v>10</v>
      </c>
      <c r="E8" s="86">
        <f t="shared" si="0"/>
        <v>15</v>
      </c>
      <c r="F8" s="122">
        <f>WORKDAY(F7,E8,Holiday!A4:A33)</f>
        <v>46135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2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t="s">
        <v>119</v>
      </c>
      <c r="C9" s="112" t="s">
        <v>78</v>
      </c>
      <c r="D9" s="86">
        <v>10</v>
      </c>
      <c r="E9" s="86">
        <f t="shared" si="0"/>
        <v>15</v>
      </c>
      <c r="F9" s="122">
        <f>WORKDAY(F8,E9,Holiday!A5:A34)</f>
        <v>46157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1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2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t="s">
        <v>212</v>
      </c>
      <c r="C10" s="112" t="s">
        <v>78</v>
      </c>
      <c r="D10" s="86">
        <v>10</v>
      </c>
      <c r="E10" s="86">
        <f t="shared" si="0"/>
        <v>15</v>
      </c>
      <c r="F10" s="122">
        <f>WORKDAY(F9,E10,Holiday!A6:A35)</f>
        <v>46178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2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t="s">
        <v>191</v>
      </c>
      <c r="C11" s="112" t="s">
        <v>78</v>
      </c>
      <c r="D11" s="86">
        <v>10</v>
      </c>
      <c r="E11" s="86">
        <f t="shared" si="0"/>
        <v>15</v>
      </c>
      <c r="F11" s="122">
        <f>WORKDAY(F10,E11,Holiday!A7:A36)</f>
        <v>46199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2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t="s">
        <v>190</v>
      </c>
      <c r="C12" s="112" t="s">
        <v>78</v>
      </c>
      <c r="D12" s="86">
        <v>10</v>
      </c>
      <c r="E12" s="86">
        <f t="shared" si="0"/>
        <v>15</v>
      </c>
      <c r="F12" s="122">
        <f>WORKDAY(F11,E12,Holiday!A8:A37)</f>
        <v>46220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2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t="s">
        <v>117</v>
      </c>
      <c r="C13" s="112" t="s">
        <v>78</v>
      </c>
      <c r="D13" s="86">
        <v>10</v>
      </c>
      <c r="E13" s="86">
        <f t="shared" si="0"/>
        <v>15</v>
      </c>
      <c r="F13" s="122">
        <f>WORKDAY(F12,E13,Holiday!A9:A38)</f>
        <v>46241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2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t="s">
        <v>193</v>
      </c>
      <c r="C14" s="112" t="s">
        <v>78</v>
      </c>
      <c r="D14" s="86">
        <v>10</v>
      </c>
      <c r="E14" s="86">
        <f t="shared" si="0"/>
        <v>15</v>
      </c>
      <c r="F14" s="122">
        <f>WORKDAY(F13,E14,Holiday!A10:A39)</f>
        <v>46262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2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t="s">
        <v>197</v>
      </c>
      <c r="C15" s="112" t="s">
        <v>78</v>
      </c>
      <c r="D15" s="86">
        <v>10</v>
      </c>
      <c r="E15" s="86">
        <f t="shared" si="0"/>
        <v>15</v>
      </c>
      <c r="F15" s="122">
        <f>WORKDAY(F14,E15,Holiday!A11:A40)</f>
        <v>46283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2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t="s">
        <v>118</v>
      </c>
      <c r="C16" s="112" t="s">
        <v>78</v>
      </c>
      <c r="D16" s="86">
        <v>10</v>
      </c>
      <c r="E16" s="86">
        <f t="shared" si="0"/>
        <v>15</v>
      </c>
      <c r="F16" s="122">
        <f>WORKDAY(F15,E16,Holiday!A12:A41)</f>
        <v>46304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1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2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t="s">
        <v>194</v>
      </c>
      <c r="C17" s="112" t="s">
        <v>78</v>
      </c>
      <c r="D17" s="86">
        <v>10</v>
      </c>
      <c r="E17" s="86">
        <f t="shared" si="0"/>
        <v>15</v>
      </c>
      <c r="F17" s="122">
        <f>WORKDAY(F16,E17,Holiday!A13:A42)</f>
        <v>46325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1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2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t="s">
        <v>187</v>
      </c>
      <c r="C18" s="112" t="s">
        <v>78</v>
      </c>
      <c r="D18" s="86">
        <v>10</v>
      </c>
      <c r="E18" s="86">
        <f t="shared" si="0"/>
        <v>15</v>
      </c>
      <c r="F18" s="122">
        <f>WORKDAY(F17,E18,Holiday!A14:A43)</f>
        <v>46346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1</v>
      </c>
      <c r="Q18" s="113">
        <f>IF(OR(AND($F17&lt;=Q$3, $F18 &gt;= Q$3), AND($F18&lt;Q$3, WORKDAY($F18, 22,Holiday!$A$1:$A$30)&gt;Q$3)), 1, 0)+IF(AND((Q$3-$B$2)&gt;=0,(Q$3-$B$2)&lt;30), 2,0)</f>
        <v>1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2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t="s">
        <v>122</v>
      </c>
      <c r="C19" s="112" t="s">
        <v>112</v>
      </c>
      <c r="D19" s="111">
        <v>5</v>
      </c>
      <c r="E19" s="86">
        <f t="shared" si="0"/>
        <v>8</v>
      </c>
      <c r="F19" s="122">
        <f>WORKDAY(F4,E19,Holiday!A15:A44)</f>
        <v>46063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1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0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2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t="s">
        <v>138</v>
      </c>
      <c r="C20" s="112" t="s">
        <v>112</v>
      </c>
      <c r="D20" s="111">
        <v>5</v>
      </c>
      <c r="E20" s="86">
        <f t="shared" si="0"/>
        <v>8</v>
      </c>
      <c r="F20" s="122">
        <f>WORKDAY(F19,E20,Holiday!A16:A45)</f>
        <v>46073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1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2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t="s">
        <v>121</v>
      </c>
      <c r="C21" s="112" t="s">
        <v>112</v>
      </c>
      <c r="D21" s="111">
        <v>5</v>
      </c>
      <c r="E21" s="86">
        <f t="shared" si="0"/>
        <v>8</v>
      </c>
      <c r="F21" s="122">
        <f>WORKDAY(F20,E21,Holiday!A17:A46)</f>
        <v>46085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1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2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t="s">
        <v>137</v>
      </c>
      <c r="C22" s="112" t="s">
        <v>112</v>
      </c>
      <c r="D22" s="111">
        <v>5</v>
      </c>
      <c r="E22" s="86">
        <f t="shared" si="0"/>
        <v>8</v>
      </c>
      <c r="F22" s="122">
        <f>WORKDAY(F21,E22,Holiday!A18:A47)</f>
        <v>46097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1</v>
      </c>
      <c r="I22" s="113">
        <f>IF(OR(AND($F21&lt;=I$3, $F22 &gt;= I$3), AND($F22&lt;I$3, WORKDAY($F22, 22,Holiday!$A$1:$A$30)&gt;I$3)), 1, 0)+IF(AND((I$3-$B$2)&gt;=0,(I$3-$B$2)&lt;30), 2,0)</f>
        <v>1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2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t="s">
        <v>129</v>
      </c>
      <c r="C23" s="112" t="s">
        <v>112</v>
      </c>
      <c r="D23" s="111">
        <v>5</v>
      </c>
      <c r="E23" s="86">
        <f t="shared" si="0"/>
        <v>8</v>
      </c>
      <c r="F23" s="122">
        <f>WORKDAY(F22,E23,Holiday!A19:A48)</f>
        <v>46107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1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2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t="s">
        <v>139</v>
      </c>
      <c r="C24" s="112" t="s">
        <v>112</v>
      </c>
      <c r="D24" s="111">
        <v>5</v>
      </c>
      <c r="E24" s="86">
        <f t="shared" si="0"/>
        <v>8</v>
      </c>
      <c r="F24" s="122">
        <f>WORKDAY(F23,E24,Holiday!A20:A49)</f>
        <v>46119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1</v>
      </c>
      <c r="J24" s="113">
        <f>IF(OR(AND($F23&lt;=J$3, $F24 &gt;= J$3), AND($F24&lt;J$3, WORKDAY($F24, 22,Holiday!$A$1:$A$30)&gt;J$3)), 1, 0)+IF(AND((J$3-$B$2)&gt;=0,(J$3-$B$2)&lt;30), 2,0)</f>
        <v>1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2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t="s">
        <v>127</v>
      </c>
      <c r="C25" s="112" t="s">
        <v>112</v>
      </c>
      <c r="D25" s="111">
        <v>5</v>
      </c>
      <c r="E25" s="86">
        <f t="shared" si="0"/>
        <v>8</v>
      </c>
      <c r="F25" s="122">
        <f>WORKDAY(F24,E25,Holiday!A21:A50)</f>
        <v>46129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1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2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t="s">
        <v>123</v>
      </c>
      <c r="C26" s="112" t="s">
        <v>112</v>
      </c>
      <c r="D26" s="111">
        <v>5</v>
      </c>
      <c r="E26" s="86">
        <f t="shared" si="0"/>
        <v>8</v>
      </c>
      <c r="F26" s="122">
        <f>WORKDAY(F25,E26,Holiday!A22:A51)</f>
        <v>46141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1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2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t="s">
        <v>134</v>
      </c>
      <c r="C27" s="112" t="s">
        <v>112</v>
      </c>
      <c r="D27" s="111">
        <v>5</v>
      </c>
      <c r="E27" s="86">
        <f t="shared" si="0"/>
        <v>8</v>
      </c>
      <c r="F27" s="122">
        <f>WORKDAY(F26,E27,Holiday!A23:A52)</f>
        <v>46153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1</v>
      </c>
      <c r="K27" s="113">
        <f>IF(OR(AND($F26&lt;=K$3, $F27 &gt;= K$3), AND($F27&lt;K$3, WORKDAY($F27, 22,Holiday!$A$1:$A$30)&gt;K$3)), 1, 0)+IF(AND((K$3-$B$2)&gt;=0,(K$3-$B$2)&lt;30), 2,0)</f>
        <v>1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2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t="s">
        <v>136</v>
      </c>
      <c r="C28" s="112" t="s">
        <v>112</v>
      </c>
      <c r="D28" s="111">
        <v>5</v>
      </c>
      <c r="E28" s="86">
        <f t="shared" si="0"/>
        <v>8</v>
      </c>
      <c r="F28" s="122">
        <f>WORKDAY(F27,E28,Holiday!A24:A53)</f>
        <v>46163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1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2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t="s">
        <v>140</v>
      </c>
      <c r="C29" s="112" t="s">
        <v>112</v>
      </c>
      <c r="D29" s="111">
        <v>5</v>
      </c>
      <c r="E29" s="86">
        <f t="shared" si="0"/>
        <v>8</v>
      </c>
      <c r="F29" s="122">
        <f>WORKDAY(F28,E29,Holiday!A25:A54)</f>
        <v>46175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1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2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t="s">
        <v>133</v>
      </c>
      <c r="C30" s="112" t="s">
        <v>112</v>
      </c>
      <c r="D30" s="111">
        <v>5</v>
      </c>
      <c r="E30" s="86">
        <f t="shared" si="0"/>
        <v>8</v>
      </c>
      <c r="F30" s="122">
        <f>WORKDAY(F29,E30,Holiday!A26:A55)</f>
        <v>46185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1</v>
      </c>
      <c r="L30" s="113">
        <f>IF(OR(AND($F29&lt;=L$3, $F30 &gt;= L$3), AND($F30&lt;L$3, WORKDAY($F30, 22,Holiday!$A$1:$A$30)&gt;L$3)), 1, 0)+IF(AND((L$3-$B$2)&gt;=0,(L$3-$B$2)&lt;30), 2,0)</f>
        <v>1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2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t="s">
        <v>132</v>
      </c>
      <c r="C31" s="112" t="s">
        <v>112</v>
      </c>
      <c r="D31" s="111">
        <v>5</v>
      </c>
      <c r="E31" s="86">
        <f t="shared" si="0"/>
        <v>8</v>
      </c>
      <c r="F31" s="122">
        <f>WORKDAY(F30,E31,Holiday!A27:A56)</f>
        <v>46197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1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2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t="s">
        <v>130</v>
      </c>
      <c r="C32" s="112" t="s">
        <v>112</v>
      </c>
      <c r="D32" s="111">
        <v>5</v>
      </c>
      <c r="E32" s="86">
        <f t="shared" si="0"/>
        <v>8</v>
      </c>
      <c r="F32" s="122">
        <f>WORKDAY(F31,E32,Holiday!A28:A57)</f>
        <v>46209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1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2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t="s">
        <v>189</v>
      </c>
      <c r="C33" s="112" t="s">
        <v>112</v>
      </c>
      <c r="D33" s="111">
        <v>5</v>
      </c>
      <c r="E33" s="86">
        <f t="shared" si="0"/>
        <v>8</v>
      </c>
      <c r="F33" s="122">
        <f>WORKDAY(F32,E33,Holiday!A29:A58)</f>
        <v>46219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1</v>
      </c>
      <c r="M33" s="113">
        <f>IF(OR(AND($F32&lt;=M$3, $F33 &gt;= M$3), AND($F33&lt;M$3, WORKDAY($F33, 22,Holiday!$A$1:$A$30)&gt;M$3)), 1, 0)+IF(AND((M$3-$B$2)&gt;=0,(M$3-$B$2)&lt;30), 2,0)</f>
        <v>1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2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" x14ac:dyDescent="0.2">
      <c r="B34" t="s">
        <v>124</v>
      </c>
      <c r="C34" s="112" t="s">
        <v>112</v>
      </c>
      <c r="D34" s="111">
        <v>5</v>
      </c>
      <c r="E34" s="86">
        <f t="shared" si="0"/>
        <v>8</v>
      </c>
      <c r="F34" s="122">
        <f>WORKDAY(F33,E34,Holiday!A30:A59)</f>
        <v>46231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1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2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" x14ac:dyDescent="0.2">
      <c r="B35" t="s">
        <v>135</v>
      </c>
      <c r="C35" s="112" t="s">
        <v>112</v>
      </c>
      <c r="D35" s="111">
        <v>5</v>
      </c>
      <c r="E35" s="86">
        <f t="shared" si="0"/>
        <v>8</v>
      </c>
      <c r="F35" s="122">
        <f>WORKDAY(F34,E35,Holiday!A31:A60)</f>
        <v>46241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1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2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" x14ac:dyDescent="0.2">
      <c r="B36" t="s">
        <v>126</v>
      </c>
      <c r="C36" s="112" t="s">
        <v>112</v>
      </c>
      <c r="D36" s="111">
        <v>5</v>
      </c>
      <c r="E36" s="86">
        <f t="shared" si="0"/>
        <v>8</v>
      </c>
      <c r="F36" s="122">
        <f>WORKDAY(F35,E36,Holiday!A32:A61)</f>
        <v>46253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1</v>
      </c>
      <c r="N36" s="113">
        <f>IF(OR(AND($F35&lt;=N$3, $F36 &gt;= N$3), AND($F36&lt;N$3, WORKDAY($F36, 22,Holiday!$A$1:$A$30)&gt;N$3)), 1, 0)+IF(AND((N$3-$B$2)&gt;=0,(N$3-$B$2)&lt;30), 2,0)</f>
        <v>1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2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" x14ac:dyDescent="0.2">
      <c r="B37" t="s">
        <v>131</v>
      </c>
      <c r="C37" s="112" t="s">
        <v>112</v>
      </c>
      <c r="D37" s="111">
        <v>5</v>
      </c>
      <c r="E37" s="86">
        <f t="shared" si="0"/>
        <v>8</v>
      </c>
      <c r="F37" s="122">
        <f>WORKDAY(F36,E37,Holiday!A33:A62)</f>
        <v>46265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1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2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" x14ac:dyDescent="0.2">
      <c r="B38" t="s">
        <v>128</v>
      </c>
      <c r="C38" s="112" t="s">
        <v>112</v>
      </c>
      <c r="D38" s="111">
        <v>5</v>
      </c>
      <c r="E38" s="86">
        <f t="shared" si="0"/>
        <v>8</v>
      </c>
      <c r="F38" s="122">
        <f>WORKDAY(F37,E38,Holiday!A34:A63)</f>
        <v>46275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1</v>
      </c>
      <c r="O38" s="113">
        <f>IF(OR(AND($F37&lt;=O$3, $F38 &gt;= O$3), AND($F38&lt;O$3, WORKDAY($F38, 22,Holiday!$A$1:$A$30)&gt;O$3)), 1, 0)+IF(AND((O$3-$B$2)&gt;=0,(O$3-$B$2)&lt;30), 2,0)</f>
        <v>1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2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" x14ac:dyDescent="0.2">
      <c r="B39" t="s">
        <v>142</v>
      </c>
      <c r="C39" s="112" t="s">
        <v>112</v>
      </c>
      <c r="D39" s="111">
        <v>5</v>
      </c>
      <c r="E39" s="86">
        <f t="shared" si="0"/>
        <v>8</v>
      </c>
      <c r="F39" s="122">
        <f>WORKDAY(F38,E39,Holiday!A35:A64)</f>
        <v>46287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1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2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" x14ac:dyDescent="0.2">
      <c r="B40" t="s">
        <v>125</v>
      </c>
      <c r="C40" s="112" t="s">
        <v>112</v>
      </c>
      <c r="D40" s="111">
        <v>5</v>
      </c>
      <c r="E40" s="86">
        <f t="shared" si="0"/>
        <v>8</v>
      </c>
      <c r="F40" s="122">
        <f>WORKDAY(F39,E40,Holiday!A36:A65)</f>
        <v>46297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1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2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" x14ac:dyDescent="0.2">
      <c r="B41" t="s">
        <v>141</v>
      </c>
      <c r="C41" s="112" t="s">
        <v>112</v>
      </c>
      <c r="D41" s="111">
        <v>5</v>
      </c>
      <c r="E41" s="86">
        <f t="shared" si="0"/>
        <v>8</v>
      </c>
      <c r="F41" s="122">
        <f>WORKDAY(F40,E41,Holiday!A37:A66)</f>
        <v>46309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1</v>
      </c>
      <c r="P41" s="113">
        <f>IF(OR(AND($F40&lt;=P$3, $F41 &gt;= P$3), AND($F41&lt;P$3, WORKDAY($F41, 22,Holiday!$A$1:$A$30)&gt;P$3)), 1, 0)+IF(AND((P$3-$B$2)&gt;=0,(P$3-$B$2)&lt;30), 2,0)</f>
        <v>1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2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" x14ac:dyDescent="0.2">
      <c r="B42" t="s">
        <v>199</v>
      </c>
      <c r="C42" s="112" t="s">
        <v>78</v>
      </c>
      <c r="D42" s="111">
        <v>6</v>
      </c>
      <c r="E42" s="86">
        <f t="shared" si="0"/>
        <v>9</v>
      </c>
      <c r="F42" s="122">
        <f>WORKDAY(F18,E42,Holiday!A38:A67)</f>
        <v>46359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1</v>
      </c>
      <c r="Q42" s="113">
        <f>IF(OR(AND($F41&lt;=Q$3, $F42 &gt;= Q$3), AND($F42&lt;Q$3, WORKDAY($F42, 22,Holiday!$A$1:$A$30)&gt;Q$3)), 1, 0)+IF(AND((Q$3-$B$2)&gt;=0,(Q$3-$B$2)&lt;30), 2,0)</f>
        <v>1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2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" x14ac:dyDescent="0.2">
      <c r="B43" t="s">
        <v>201</v>
      </c>
      <c r="C43" s="112" t="s">
        <v>78</v>
      </c>
      <c r="D43" s="111">
        <v>6</v>
      </c>
      <c r="E43" s="86">
        <f t="shared" si="0"/>
        <v>9</v>
      </c>
      <c r="F43" s="122">
        <f>WORKDAY(F42,E43,Holiday!A39:A68)</f>
        <v>46372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1</v>
      </c>
      <c r="R43" s="113">
        <f>IF(OR(AND($F42&lt;=R$3, $F43 &gt;= R$3), AND($F43&lt;R$3, WORKDAY($F43, 22,Holiday!$A$1:$A$30)&gt;R$3)), 1, 0)+IF(AND((R$3-$B$2)&gt;=0,(R$3-$B$2)&lt;30), 2,0)</f>
        <v>1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2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" x14ac:dyDescent="0.2">
      <c r="B44" t="s">
        <v>204</v>
      </c>
      <c r="C44" s="112" t="s">
        <v>78</v>
      </c>
      <c r="D44" s="111">
        <v>6</v>
      </c>
      <c r="E44" s="86">
        <f t="shared" si="0"/>
        <v>9</v>
      </c>
      <c r="F44" s="122">
        <f>WORKDAY(F43,E44,Holiday!A40:A69)</f>
        <v>46385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1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2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" x14ac:dyDescent="0.2">
      <c r="B45" t="s">
        <v>208</v>
      </c>
      <c r="C45" s="112" t="s">
        <v>78</v>
      </c>
      <c r="D45" s="111">
        <v>6</v>
      </c>
      <c r="E45" s="86">
        <f t="shared" si="0"/>
        <v>9</v>
      </c>
      <c r="F45" s="122">
        <f>WORKDAY(F44,E45,Holiday!A41:A70)</f>
        <v>46398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1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2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2:41" ht="15" x14ac:dyDescent="0.2">
      <c r="B46" t="s">
        <v>206</v>
      </c>
      <c r="C46" s="112" t="s">
        <v>78</v>
      </c>
      <c r="D46" s="111">
        <v>6</v>
      </c>
      <c r="E46" s="86">
        <f t="shared" si="0"/>
        <v>9</v>
      </c>
      <c r="F46" s="122">
        <f>WORKDAY(F45,E46,Holiday!A42:A71)</f>
        <v>46409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0</v>
      </c>
      <c r="M46" s="113">
        <f>IF(OR(AND($F45&lt;=M$3, $F46 &gt;= M$3), AND($F46&lt;M$3, WORKDAY($F46, 22,Holiday!$A$1:$A$30)&gt;M$3)), 1, 0)+IF(AND((M$3-$B$2)&gt;=0,(M$3-$B$2)&lt;30), 2,0)</f>
        <v>0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0</v>
      </c>
      <c r="R46" s="113">
        <f>IF(OR(AND($F45&lt;=R$3, $F46 &gt;= R$3), AND($F46&lt;R$3, WORKDAY($F46, 22,Holiday!$A$1:$A$30)&gt;R$3)), 1, 0)+IF(AND((R$3-$B$2)&gt;=0,(R$3-$B$2)&lt;30), 2,0)</f>
        <v>1</v>
      </c>
      <c r="S46" s="113">
        <f>IF(OR(AND($F45&lt;=S$3, $F46 &gt;= S$3), AND($F46&lt;S$3, WORKDAY($F46, 22,Holiday!$A$1:$A$30)&gt;S$3)), 1, 0)+IF(AND((S$3-$B$2)&gt;=0,(S$3-$B$2)&lt;30), 2,0)</f>
        <v>1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2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2:41" ht="15" x14ac:dyDescent="0.2">
      <c r="B47" t="s">
        <v>198</v>
      </c>
      <c r="C47" s="112" t="s">
        <v>78</v>
      </c>
      <c r="D47" s="111">
        <v>6</v>
      </c>
      <c r="E47" s="86">
        <f t="shared" si="0"/>
        <v>9</v>
      </c>
      <c r="F47" s="122">
        <f>WORKDAY(F46,E47,Holiday!A43:A72)</f>
        <v>46422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0</v>
      </c>
      <c r="M47" s="113">
        <f>IF(OR(AND($F46&lt;=M$3, $F47 &gt;= M$3), AND($F47&lt;M$3, WORKDAY($F47, 22,Holiday!$A$1:$A$30)&gt;M$3)), 1, 0)+IF(AND((M$3-$B$2)&gt;=0,(M$3-$B$2)&lt;30), 2,0)</f>
        <v>0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0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1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2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2:41" ht="15" x14ac:dyDescent="0.2">
      <c r="B48" t="s">
        <v>200</v>
      </c>
      <c r="C48" s="112" t="s">
        <v>78</v>
      </c>
      <c r="D48" s="111">
        <v>6</v>
      </c>
      <c r="E48" s="86">
        <f t="shared" si="0"/>
        <v>9</v>
      </c>
      <c r="F48" s="122">
        <f>WORKDAY(F47,E48,Holiday!A44:A73)</f>
        <v>46435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0</v>
      </c>
      <c r="N48" s="113">
        <f>IF(OR(AND($F47&lt;=N$3, $F48 &gt;= N$3), AND($F48&lt;N$3, WORKDAY($F48, 22,Holiday!$A$1:$A$30)&gt;N$3)), 1, 0)+IF(AND((N$3-$B$2)&gt;=0,(N$3-$B$2)&lt;30), 2,0)</f>
        <v>0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0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1</v>
      </c>
      <c r="T48" s="113">
        <f>IF(OR(AND($F47&lt;=T$3, $F48 &gt;= T$3), AND($F48&lt;T$3, WORKDAY($F48, 22,Holiday!$A$1:$A$30)&gt;T$3)), 1, 0)+IF(AND((T$3-$B$2)&gt;=0,(T$3-$B$2)&lt;30), 2,0)</f>
        <v>1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2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2:41" ht="15" x14ac:dyDescent="0.2">
      <c r="B49" t="s">
        <v>173</v>
      </c>
      <c r="C49" s="112" t="s">
        <v>78</v>
      </c>
      <c r="D49" s="111">
        <v>6</v>
      </c>
      <c r="E49" s="86">
        <f t="shared" si="0"/>
        <v>9</v>
      </c>
      <c r="F49" s="122">
        <f>WORKDAY(F48,E49,Holiday!A45:A74)</f>
        <v>46448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0</v>
      </c>
      <c r="O49" s="113">
        <f>IF(OR(AND($F48&lt;=O$3, $F49 &gt;= O$3), AND($F49&lt;O$3, WORKDAY($F49, 22,Holiday!$A$1:$A$30)&gt;O$3)), 1, 0)+IF(AND((O$3-$B$2)&gt;=0,(O$3-$B$2)&lt;30), 2,0)</f>
        <v>0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0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1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2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2:41" ht="15" x14ac:dyDescent="0.2">
      <c r="B50" t="s">
        <v>165</v>
      </c>
      <c r="C50" s="112" t="s">
        <v>78</v>
      </c>
      <c r="D50" s="111">
        <v>6</v>
      </c>
      <c r="E50" s="86">
        <f t="shared" si="0"/>
        <v>9</v>
      </c>
      <c r="F50" s="122">
        <f>WORKDAY(F49,E50,Holiday!A46:A75)</f>
        <v>46461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0</v>
      </c>
      <c r="O50" s="113">
        <f>IF(OR(AND($F49&lt;=O$3, $F50 &gt;= O$3), AND($F50&lt;O$3, WORKDAY($F50, 22,Holiday!$A$1:$A$30)&gt;O$3)), 1, 0)+IF(AND((O$3-$B$2)&gt;=0,(O$3-$B$2)&lt;30), 2,0)</f>
        <v>0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0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1</v>
      </c>
      <c r="U50" s="113">
        <f>IF(OR(AND($F49&lt;=U$3, $F50 &gt;= U$3), AND($F50&lt;U$3, WORKDAY($F50, 22,Holiday!$A$1:$A$30)&gt;U$3)), 1, 0)+IF(AND((U$3-$B$2)&gt;=0,(U$3-$B$2)&lt;30), 2,0)</f>
        <v>1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2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2:41" ht="15" x14ac:dyDescent="0.2">
      <c r="B51" t="s">
        <v>174</v>
      </c>
      <c r="C51" s="112" t="s">
        <v>78</v>
      </c>
      <c r="D51" s="111">
        <v>6</v>
      </c>
      <c r="E51" s="86">
        <f t="shared" si="0"/>
        <v>9</v>
      </c>
      <c r="F51" s="122">
        <f>WORKDAY(F50,E51,Holiday!A47:A76)</f>
        <v>46472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0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0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1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2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2:41" ht="15" x14ac:dyDescent="0.2">
      <c r="B52" t="s">
        <v>182</v>
      </c>
      <c r="C52" s="112" t="s">
        <v>78</v>
      </c>
      <c r="D52" s="111">
        <v>6</v>
      </c>
      <c r="E52" s="86">
        <f t="shared" si="0"/>
        <v>9</v>
      </c>
      <c r="F52" s="122">
        <f>WORKDAY(F51,E52,Holiday!A48:A77)</f>
        <v>46485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0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0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1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2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2:41" ht="15" x14ac:dyDescent="0.2">
      <c r="B53" t="s">
        <v>207</v>
      </c>
      <c r="C53" s="112" t="s">
        <v>78</v>
      </c>
      <c r="D53" s="111">
        <v>6</v>
      </c>
      <c r="E53" s="86">
        <f t="shared" si="0"/>
        <v>9</v>
      </c>
      <c r="F53" s="122">
        <f>WORKDAY(F52,E53,Holiday!A49:A78)</f>
        <v>46498</v>
      </c>
      <c r="G53" s="113">
        <f>IF(OR(AND($F52&lt;=G$3, $F53 &gt;= G$3), AND($F53&lt;G$3, WORKDAY($F53, 22,Holiday!$A$1:$A$30)&gt;G$3)), 1, 0)+IF(AND((G$3-$B$2)&gt;=0,(G$3-$B$2)&lt;30), 2,0)</f>
        <v>0</v>
      </c>
      <c r="H53" s="113">
        <f>IF(OR(AND($F52&lt;=H$3, $F53 &gt;= H$3), AND($F53&lt;H$3, WORKDAY($F53, 22,Holiday!$A$1:$A$30)&gt;H$3)), 1, 0)+IF(AND((H$3-$B$2)&gt;=0,(H$3-$B$2)&lt;30), 2,0)</f>
        <v>0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0</v>
      </c>
      <c r="L53" s="113">
        <f>IF(OR(AND($F52&lt;=L$3, $F53 &gt;= L$3), AND($F53&lt;L$3, WORKDAY($F53, 22,Holiday!$A$1:$A$30)&gt;L$3)), 1, 0)+IF(AND((L$3-$B$2)&gt;=0,(L$3-$B$2)&lt;30), 2,0)</f>
        <v>0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0</v>
      </c>
      <c r="P53" s="113">
        <f>IF(OR(AND($F52&lt;=P$3, $F53 &gt;= P$3), AND($F53&lt;P$3, WORKDAY($F53, 22,Holiday!$A$1:$A$30)&gt;P$3)), 1, 0)+IF(AND((P$3-$B$2)&gt;=0,(P$3-$B$2)&lt;30), 2,0)</f>
        <v>0</v>
      </c>
      <c r="Q53" s="113">
        <f>IF(OR(AND($F52&lt;=Q$3, $F53 &gt;= Q$3), AND($F53&lt;Q$3, WORKDAY($F53, 22,Holiday!$A$1:$A$30)&gt;Q$3)), 1, 0)+IF(AND((Q$3-$B$2)&gt;=0,(Q$3-$B$2)&lt;30), 2,0)</f>
        <v>0</v>
      </c>
      <c r="R53" s="113">
        <f>IF(OR(AND($F52&lt;=R$3, $F53 &gt;= R$3), AND($F53&lt;R$3, WORKDAY($F53, 22,Holiday!$A$1:$A$30)&gt;R$3)), 1, 0)+IF(AND((R$3-$B$2)&gt;=0,(R$3-$B$2)&lt;30), 2,0)</f>
        <v>0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1</v>
      </c>
      <c r="V53" s="113">
        <f>IF(OR(AND($F52&lt;=V$3, $F53 &gt;= V$3), AND($F53&lt;V$3, WORKDAY($F53, 22,Holiday!$A$1:$A$30)&gt;V$3)), 1, 0)+IF(AND((V$3-$B$2)&gt;=0,(V$3-$B$2)&lt;30), 2,0)</f>
        <v>1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2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</row>
    <row r="54" spans="2:41" ht="15" x14ac:dyDescent="0.2">
      <c r="B54" t="s">
        <v>205</v>
      </c>
      <c r="C54" s="112" t="s">
        <v>78</v>
      </c>
      <c r="D54" s="111">
        <v>6</v>
      </c>
      <c r="E54" s="86">
        <f t="shared" si="0"/>
        <v>9</v>
      </c>
      <c r="F54" s="122">
        <f>WORKDAY(F53,E54,Holiday!A50:A79)</f>
        <v>46511</v>
      </c>
      <c r="G54" s="113">
        <f>IF(OR(AND($F53&lt;=G$3, $F54 &gt;= G$3), AND($F54&lt;G$3, WORKDAY($F54, 22,Holiday!$A$1:$A$30)&gt;G$3)), 1, 0)+IF(AND((G$3-$B$2)&gt;=0,(G$3-$B$2)&lt;30), 2,0)</f>
        <v>0</v>
      </c>
      <c r="H54" s="113">
        <f>IF(OR(AND($F53&lt;=H$3, $F54 &gt;= H$3), AND($F54&lt;H$3, WORKDAY($F54, 22,Holiday!$A$1:$A$30)&gt;H$3)), 1, 0)+IF(AND((H$3-$B$2)&gt;=0,(H$3-$B$2)&lt;30), 2,0)</f>
        <v>0</v>
      </c>
      <c r="I54" s="113">
        <f>IF(OR(AND($F53&lt;=I$3, $F54 &gt;= I$3), AND($F54&lt;I$3, WORKDAY($F54, 22,Holiday!$A$1:$A$30)&gt;I$3)), 1, 0)+IF(AND((I$3-$B$2)&gt;=0,(I$3-$B$2)&lt;30), 2,0)</f>
        <v>0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0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0</v>
      </c>
      <c r="P54" s="113">
        <f>IF(OR(AND($F53&lt;=P$3, $F54 &gt;= P$3), AND($F54&lt;P$3, WORKDAY($F54, 22,Holiday!$A$1:$A$30)&gt;P$3)), 1, 0)+IF(AND((P$3-$B$2)&gt;=0,(P$3-$B$2)&lt;30), 2,0)</f>
        <v>0</v>
      </c>
      <c r="Q54" s="113">
        <f>IF(OR(AND($F53&lt;=Q$3, $F54 &gt;= Q$3), AND($F54&lt;Q$3, WORKDAY($F54, 22,Holiday!$A$1:$A$30)&gt;Q$3)), 1, 0)+IF(AND((Q$3-$B$2)&gt;=0,(Q$3-$B$2)&lt;30), 2,0)</f>
        <v>0</v>
      </c>
      <c r="R54" s="113">
        <f>IF(OR(AND($F53&lt;=R$3, $F54 &gt;= R$3), AND($F54&lt;R$3, WORKDAY($F54, 22,Holiday!$A$1:$A$30)&gt;R$3)), 1, 0)+IF(AND((R$3-$B$2)&gt;=0,(R$3-$B$2)&lt;30), 2,0)</f>
        <v>0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1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2</v>
      </c>
      <c r="AE54" s="113">
        <f>IF(OR(AND($F53&lt;=AE$3, $F54 &gt;= AE$3), AND($F54&lt;AE$3, WORKDAY($F54, 22,Holiday!$A$1:$A$30)&gt;AE$3)), 1, 0)+IF(AND((AE$3-$B$2)&gt;=0,(AE$3-$B$2)&lt;30), 2,0)</f>
        <v>0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</row>
    <row r="55" spans="2:41" ht="15" x14ac:dyDescent="0.2">
      <c r="B55" t="s">
        <v>186</v>
      </c>
      <c r="C55" s="112" t="s">
        <v>78</v>
      </c>
      <c r="D55" s="111">
        <v>6</v>
      </c>
      <c r="E55" s="86">
        <f t="shared" si="0"/>
        <v>9</v>
      </c>
      <c r="F55" s="122">
        <f>WORKDAY(F54,E55,Holiday!A51:A80)</f>
        <v>46524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0</v>
      </c>
      <c r="I55" s="113">
        <f>IF(OR(AND($F54&lt;=I$3, $F55 &gt;= I$3), AND($F55&lt;I$3, WORKDAY($F55, 22,Holiday!$A$1:$A$30)&gt;I$3)), 1, 0)+IF(AND((I$3-$B$2)&gt;=0,(I$3-$B$2)&lt;30), 2,0)</f>
        <v>0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0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1</v>
      </c>
      <c r="W55" s="113">
        <f>IF(OR(AND($F54&lt;=W$3, $F55 &gt;= W$3), AND($F55&lt;W$3, WORKDAY($F55, 22,Holiday!$A$1:$A$30)&gt;W$3)), 1, 0)+IF(AND((W$3-$B$2)&gt;=0,(W$3-$B$2)&lt;30), 2,0)</f>
        <v>1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2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</row>
    <row r="56" spans="2:41" ht="15" x14ac:dyDescent="0.2">
      <c r="B56" t="s">
        <v>171</v>
      </c>
      <c r="C56" s="112" t="s">
        <v>78</v>
      </c>
      <c r="D56" s="111">
        <v>6</v>
      </c>
      <c r="E56" s="86">
        <f t="shared" si="0"/>
        <v>9</v>
      </c>
      <c r="F56" s="122">
        <f>WORKDAY(F55,E56,Holiday!A52:A81)</f>
        <v>46535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0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0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1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2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2:41" ht="15" x14ac:dyDescent="0.2">
      <c r="B57" t="s">
        <v>184</v>
      </c>
      <c r="C57" s="112" t="s">
        <v>78</v>
      </c>
      <c r="D57" s="111">
        <v>6</v>
      </c>
      <c r="E57" s="86">
        <f t="shared" si="0"/>
        <v>9</v>
      </c>
      <c r="F57" s="122">
        <f>WORKDAY(F56,E57,Holiday!A53:A82)</f>
        <v>46548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0</v>
      </c>
      <c r="J57" s="113">
        <f>IF(OR(AND($F56&lt;=J$3, $F57 &gt;= J$3), AND($F57&lt;J$3, WORKDAY($F57, 22,Holiday!$A$1:$A$30)&gt;J$3)), 1, 0)+IF(AND((J$3-$B$2)&gt;=0,(J$3-$B$2)&lt;30), 2,0)</f>
        <v>0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0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1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2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2:41" ht="15" x14ac:dyDescent="0.2">
      <c r="B58" t="s">
        <v>146</v>
      </c>
      <c r="C58" s="112" t="s">
        <v>78</v>
      </c>
      <c r="D58" s="111">
        <v>6</v>
      </c>
      <c r="E58" s="86">
        <f t="shared" si="0"/>
        <v>9</v>
      </c>
      <c r="F58" s="122">
        <f>WORKDAY(F57,E58,Holiday!A54:A83)</f>
        <v>46561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0</v>
      </c>
      <c r="J58" s="113">
        <f>IF(OR(AND($F57&lt;=J$3, $F58 &gt;= J$3), AND($F58&lt;J$3, WORKDAY($F58, 22,Holiday!$A$1:$A$30)&gt;J$3)), 1, 0)+IF(AND((J$3-$B$2)&gt;=0,(J$3-$B$2)&lt;30), 2,0)</f>
        <v>0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0</v>
      </c>
      <c r="R58" s="113">
        <f>IF(OR(AND($F57&lt;=R$3, $F58 &gt;= R$3), AND($F58&lt;R$3, WORKDAY($F58, 22,Holiday!$A$1:$A$30)&gt;R$3)), 1, 0)+IF(AND((R$3-$B$2)&gt;=0,(R$3-$B$2)&lt;30), 2,0)</f>
        <v>0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1</v>
      </c>
      <c r="X58" s="113">
        <f>IF(OR(AND($F57&lt;=X$3, $F58 &gt;= X$3), AND($F58&lt;X$3, WORKDAY($F58, 22,Holiday!$A$1:$A$30)&gt;X$3)), 1, 0)+IF(AND((X$3-$B$2)&gt;=0,(X$3-$B$2)&lt;30), 2,0)</f>
        <v>1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2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2:41" ht="15" x14ac:dyDescent="0.2">
      <c r="B59" t="s">
        <v>170</v>
      </c>
      <c r="C59" s="112" t="s">
        <v>78</v>
      </c>
      <c r="D59" s="111">
        <v>6</v>
      </c>
      <c r="E59" s="86">
        <f t="shared" si="0"/>
        <v>9</v>
      </c>
      <c r="F59" s="122">
        <f>WORKDAY(F58,E59,Holiday!A55:A84)</f>
        <v>46574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0</v>
      </c>
      <c r="K59" s="113">
        <f>IF(OR(AND($F58&lt;=K$3, $F59 &gt;= K$3), AND($F59&lt;K$3, WORKDAY($F59, 22,Holiday!$A$1:$A$30)&gt;K$3)), 1, 0)+IF(AND((K$3-$B$2)&gt;=0,(K$3-$B$2)&lt;30), 2,0)</f>
        <v>0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0</v>
      </c>
      <c r="R59" s="113">
        <f>IF(OR(AND($F58&lt;=R$3, $F59 &gt;= R$3), AND($F59&lt;R$3, WORKDAY($F59, 22,Holiday!$A$1:$A$30)&gt;R$3)), 1, 0)+IF(AND((R$3-$B$2)&gt;=0,(R$3-$B$2)&lt;30), 2,0)</f>
        <v>0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1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2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2:41" ht="15" x14ac:dyDescent="0.2">
      <c r="B60" t="s">
        <v>169</v>
      </c>
      <c r="C60" s="112" t="s">
        <v>78</v>
      </c>
      <c r="D60" s="111">
        <v>6</v>
      </c>
      <c r="E60" s="86">
        <f t="shared" si="0"/>
        <v>9</v>
      </c>
      <c r="F60" s="122">
        <f>WORKDAY(F59,E60,Holiday!A56:A85)</f>
        <v>46587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0</v>
      </c>
      <c r="K60" s="113">
        <f>IF(OR(AND($F59&lt;=K$3, $F60 &gt;= K$3), AND($F60&lt;K$3, WORKDAY($F60, 22,Holiday!$A$1:$A$30)&gt;K$3)), 1, 0)+IF(AND((K$3-$B$2)&gt;=0,(K$3-$B$2)&lt;30), 2,0)</f>
        <v>0</v>
      </c>
      <c r="L60" s="113">
        <f>IF(OR(AND($F59&lt;=L$3, $F60 &gt;= L$3), AND($F60&lt;L$3, WORKDAY($F60, 22,Holiday!$A$1:$A$30)&gt;L$3)), 1, 0)+IF(AND((L$3-$B$2)&gt;=0,(L$3-$B$2)&lt;30), 2,0)</f>
        <v>0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0</v>
      </c>
      <c r="R60" s="113">
        <f>IF(OR(AND($F59&lt;=R$3, $F60 &gt;= R$3), AND($F60&lt;R$3, WORKDAY($F60, 22,Holiday!$A$1:$A$30)&gt;R$3)), 1, 0)+IF(AND((R$3-$B$2)&gt;=0,(R$3-$B$2)&lt;30), 2,0)</f>
        <v>0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1</v>
      </c>
      <c r="Y60" s="113">
        <f>IF(OR(AND($F59&lt;=Y$3, $F60 &gt;= Y$3), AND($F60&lt;Y$3, WORKDAY($F60, 22,Holiday!$A$1:$A$30)&gt;Y$3)), 1, 0)+IF(AND((Y$3-$B$2)&gt;=0,(Y$3-$B$2)&lt;30), 2,0)</f>
        <v>1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2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2:41" ht="15" x14ac:dyDescent="0.2">
      <c r="B61" t="s">
        <v>178</v>
      </c>
      <c r="C61" s="112" t="s">
        <v>78</v>
      </c>
      <c r="D61" s="111">
        <v>6</v>
      </c>
      <c r="E61" s="86">
        <f t="shared" si="0"/>
        <v>9</v>
      </c>
      <c r="F61" s="122">
        <f>WORKDAY(F60,E61,Holiday!A57:A86)</f>
        <v>46598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0</v>
      </c>
      <c r="L61" s="113">
        <f>IF(OR(AND($F60&lt;=L$3, $F61 &gt;= L$3), AND($F61&lt;L$3, WORKDAY($F61, 22,Holiday!$A$1:$A$30)&gt;L$3)), 1, 0)+IF(AND((L$3-$B$2)&gt;=0,(L$3-$B$2)&lt;30), 2,0)</f>
        <v>0</v>
      </c>
      <c r="M61" s="113">
        <f>IF(OR(AND($F60&lt;=M$3, $F61 &gt;= M$3), AND($F61&lt;M$3, WORKDAY($F61, 22,Holiday!$A$1:$A$30)&gt;M$3)), 1, 0)+IF(AND((M$3-$B$2)&gt;=0,(M$3-$B$2)&lt;30), 2,0)</f>
        <v>0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0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1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2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2:41" ht="15" x14ac:dyDescent="0.2">
      <c r="B62" t="s">
        <v>145</v>
      </c>
      <c r="C62" s="112" t="s">
        <v>78</v>
      </c>
      <c r="D62" s="111">
        <v>6</v>
      </c>
      <c r="E62" s="86">
        <f t="shared" si="0"/>
        <v>9</v>
      </c>
      <c r="F62" s="122">
        <f>WORKDAY(F61,E62,Holiday!A58:A87)</f>
        <v>46611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0</v>
      </c>
      <c r="L62" s="113">
        <f>IF(OR(AND($F61&lt;=L$3, $F62 &gt;= L$3), AND($F62&lt;L$3, WORKDAY($F62, 22,Holiday!$A$1:$A$30)&gt;L$3)), 1, 0)+IF(AND((L$3-$B$2)&gt;=0,(L$3-$B$2)&lt;30), 2,0)</f>
        <v>0</v>
      </c>
      <c r="M62" s="113">
        <f>IF(OR(AND($F61&lt;=M$3, $F62 &gt;= M$3), AND($F62&lt;M$3, WORKDAY($F62, 22,Holiday!$A$1:$A$30)&gt;M$3)), 1, 0)+IF(AND((M$3-$B$2)&gt;=0,(M$3-$B$2)&lt;30), 2,0)</f>
        <v>0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0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1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2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2:41" ht="15" x14ac:dyDescent="0.2">
      <c r="B63" t="s">
        <v>143</v>
      </c>
      <c r="C63" s="112" t="s">
        <v>78</v>
      </c>
      <c r="D63" s="111">
        <v>6</v>
      </c>
      <c r="E63" s="86">
        <f t="shared" si="0"/>
        <v>9</v>
      </c>
      <c r="F63" s="122">
        <f>WORKDAY(F62,E63,Holiday!A59:A88)</f>
        <v>46624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0</v>
      </c>
      <c r="L63" s="113">
        <f>IF(OR(AND($F62&lt;=L$3, $F63 &gt;= L$3), AND($F63&lt;L$3, WORKDAY($F63, 22,Holiday!$A$1:$A$30)&gt;L$3)), 1, 0)+IF(AND((L$3-$B$2)&gt;=0,(L$3-$B$2)&lt;30), 2,0)</f>
        <v>0</v>
      </c>
      <c r="M63" s="113">
        <f>IF(OR(AND($F62&lt;=M$3, $F63 &gt;= M$3), AND($F63&lt;M$3, WORKDAY($F63, 22,Holiday!$A$1:$A$30)&gt;M$3)), 1, 0)+IF(AND((M$3-$B$2)&gt;=0,(M$3-$B$2)&lt;30), 2,0)</f>
        <v>0</v>
      </c>
      <c r="N63" s="113">
        <f>IF(OR(AND($F62&lt;=N$3, $F63 &gt;= N$3), AND($F63&lt;N$3, WORKDAY($F63, 22,Holiday!$A$1:$A$30)&gt;N$3)), 1, 0)+IF(AND((N$3-$B$2)&gt;=0,(N$3-$B$2)&lt;30), 2,0)</f>
        <v>0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0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1</v>
      </c>
      <c r="Z63" s="113">
        <f>IF(OR(AND($F62&lt;=Z$3, $F63 &gt;= Z$3), AND($F63&lt;Z$3, WORKDAY($F63, 22,Holiday!$A$1:$A$30)&gt;Z$3)), 1, 0)+IF(AND((Z$3-$B$2)&gt;=0,(Z$3-$B$2)&lt;30), 2,0)</f>
        <v>1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2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2:41" ht="15" x14ac:dyDescent="0.2">
      <c r="B64" t="s">
        <v>144</v>
      </c>
      <c r="C64" s="112" t="s">
        <v>78</v>
      </c>
      <c r="D64" s="111">
        <v>6</v>
      </c>
      <c r="E64" s="86">
        <f t="shared" si="0"/>
        <v>9</v>
      </c>
      <c r="F64" s="122">
        <f>WORKDAY(F63,E64,Holiday!A60:A89)</f>
        <v>46637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0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0</v>
      </c>
      <c r="O64" s="113">
        <f>IF(OR(AND($F63&lt;=O$3, $F64 &gt;= O$3), AND($F64&lt;O$3, WORKDAY($F64, 22,Holiday!$A$1:$A$30)&gt;O$3)), 1, 0)+IF(AND((O$3-$B$2)&gt;=0,(O$3-$B$2)&lt;30), 2,0)</f>
        <v>0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0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1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2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2:41" ht="15" x14ac:dyDescent="0.2">
      <c r="B65" t="s">
        <v>159</v>
      </c>
      <c r="C65" s="112" t="s">
        <v>78</v>
      </c>
      <c r="D65" s="111">
        <v>6</v>
      </c>
      <c r="E65" s="86">
        <f t="shared" si="0"/>
        <v>9</v>
      </c>
      <c r="F65" s="122">
        <f>WORKDAY(F64,E65,Holiday!A61:A90)</f>
        <v>46650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0</v>
      </c>
      <c r="M65" s="113">
        <f>IF(OR(AND($F64&lt;=M$3, $F65 &gt;= M$3), AND($F65&lt;M$3, WORKDAY($F65, 22,Holiday!$A$1:$A$30)&gt;M$3)), 1, 0)+IF(AND((M$3-$B$2)&gt;=0,(M$3-$B$2)&lt;30), 2,0)</f>
        <v>0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0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0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1</v>
      </c>
      <c r="AA65" s="113">
        <f>IF(OR(AND($F64&lt;=AA$3, $F65 &gt;= AA$3), AND($F65&lt;AA$3, WORKDAY($F65, 22,Holiday!$A$1:$A$30)&gt;AA$3)), 1, 0)+IF(AND((AA$3-$B$2)&gt;=0,(AA$3-$B$2)&lt;30), 2,0)</f>
        <v>1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2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2:41" ht="15" x14ac:dyDescent="0.2">
      <c r="B66" t="s">
        <v>156</v>
      </c>
      <c r="C66" s="112" t="s">
        <v>78</v>
      </c>
      <c r="D66" s="111">
        <v>6</v>
      </c>
      <c r="E66" s="86">
        <f t="shared" si="0"/>
        <v>9</v>
      </c>
      <c r="F66" s="122">
        <f>WORKDAY(F65,E66,Holiday!A62:A91)</f>
        <v>46661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0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0</v>
      </c>
      <c r="P66" s="113">
        <f>IF(OR(AND($F65&lt;=P$3, $F66 &gt;= P$3), AND($F66&lt;P$3, WORKDAY($F66, 22,Holiday!$A$1:$A$30)&gt;P$3)), 1, 0)+IF(AND((P$3-$B$2)&gt;=0,(P$3-$B$2)&lt;30), 2,0)</f>
        <v>0</v>
      </c>
      <c r="Q66" s="113">
        <f>IF(OR(AND($F65&lt;=Q$3, $F66 &gt;= Q$3), AND($F66&lt;Q$3, WORKDAY($F66, 22,Holiday!$A$1:$A$30)&gt;Q$3)), 1, 0)+IF(AND((Q$3-$B$2)&gt;=0,(Q$3-$B$2)&lt;30), 2,0)</f>
        <v>0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1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2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2:41" ht="15" x14ac:dyDescent="0.2">
      <c r="B67" t="s">
        <v>179</v>
      </c>
      <c r="C67" s="112" t="s">
        <v>78</v>
      </c>
      <c r="D67" s="111">
        <v>6</v>
      </c>
      <c r="E67" s="86">
        <f t="shared" si="0"/>
        <v>9</v>
      </c>
      <c r="F67" s="122">
        <f>WORKDAY(F66,E67,Holiday!A63:A92)</f>
        <v>46674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0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0</v>
      </c>
      <c r="Q67" s="113">
        <f>IF(OR(AND($F66&lt;=Q$3, $F67 &gt;= Q$3), AND($F67&lt;Q$3, WORKDAY($F67, 22,Holiday!$A$1:$A$30)&gt;Q$3)), 1, 0)+IF(AND((Q$3-$B$2)&gt;=0,(Q$3-$B$2)&lt;30), 2,0)</f>
        <v>0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1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2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2:41" ht="15" x14ac:dyDescent="0.2">
      <c r="B68" t="s">
        <v>202</v>
      </c>
      <c r="C68" s="112" t="s">
        <v>78</v>
      </c>
      <c r="D68" s="111">
        <v>6</v>
      </c>
      <c r="E68" s="86">
        <f t="shared" si="0"/>
        <v>9</v>
      </c>
      <c r="F68" s="122">
        <f>WORKDAY(F67,E68,Holiday!A64:A93)</f>
        <v>46687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0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0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1</v>
      </c>
      <c r="AB68" s="113">
        <f>IF(OR(AND($F67&lt;=AB$3, $F68 &gt;= AB$3), AND($F68&lt;AB$3, WORKDAY($F68, 22,Holiday!$A$1:$A$30)&gt;AB$3)), 1, 0)+IF(AND((AB$3-$B$2)&gt;=0,(AB$3-$B$2)&lt;30), 2,0)</f>
        <v>1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2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2:41" ht="15" x14ac:dyDescent="0.2">
      <c r="B69" t="s">
        <v>180</v>
      </c>
      <c r="C69" s="112" t="s">
        <v>78</v>
      </c>
      <c r="D69" s="111">
        <v>6</v>
      </c>
      <c r="E69" s="86">
        <f t="shared" si="0"/>
        <v>9</v>
      </c>
      <c r="F69" s="122">
        <f>WORKDAY(F68,E69,Holiday!A65:A94)</f>
        <v>46700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0</v>
      </c>
      <c r="O69" s="113">
        <f>IF(OR(AND($F68&lt;=O$3, $F69 &gt;= O$3), AND($F69&lt;O$3, WORKDAY($F69, 22,Holiday!$A$1:$A$30)&gt;O$3)), 1, 0)+IF(AND((O$3-$B$2)&gt;=0,(O$3-$B$2)&lt;30), 2,0)</f>
        <v>0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0</v>
      </c>
      <c r="R69" s="113">
        <f>IF(OR(AND($F68&lt;=R$3, $F69 &gt;= R$3), AND($F69&lt;R$3, WORKDAY($F69, 22,Holiday!$A$1:$A$30)&gt;R$3)), 1, 0)+IF(AND((R$3-$B$2)&gt;=0,(R$3-$B$2)&lt;30), 2,0)</f>
        <v>0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1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2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2:41" ht="15" x14ac:dyDescent="0.2">
      <c r="B70" t="s">
        <v>175</v>
      </c>
      <c r="C70" s="112" t="s">
        <v>78</v>
      </c>
      <c r="D70" s="111">
        <v>6</v>
      </c>
      <c r="E70" s="86">
        <f t="shared" ref="E70:E103" si="1">ROUNDUP(D70*(1+$D$2),0)</f>
        <v>9</v>
      </c>
      <c r="F70" s="122">
        <f>WORKDAY(F69,E70,Holiday!A66:A95)</f>
        <v>46713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0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0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0</v>
      </c>
      <c r="R70" s="113">
        <f>IF(OR(AND($F69&lt;=R$3, $F70 &gt;= R$3), AND($F70&lt;R$3, WORKDAY($F70, 22,Holiday!$A$1:$A$30)&gt;R$3)), 1, 0)+IF(AND((R$3-$B$2)&gt;=0,(R$3-$B$2)&lt;30), 2,0)</f>
        <v>0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1</v>
      </c>
      <c r="AC70" s="113">
        <f>IF(OR(AND($F69&lt;=AC$3, $F70 &gt;= AC$3), AND($F70&lt;AC$3, WORKDAY($F70, 22,Holiday!$A$1:$A$30)&gt;AC$3)), 1, 0)+IF(AND((AC$3-$B$2)&gt;=0,(AC$3-$B$2)&lt;30), 2,0)</f>
        <v>1</v>
      </c>
      <c r="AD70" s="113">
        <f>IF(OR(AND($F69&lt;=AD$3, $F70 &gt;= AD$3), AND($F70&lt;AD$3, WORKDAY($F70, 22,Holiday!$A$1:$A$30)&gt;AD$3)), 1, 0)+IF(AND((AD$3-$B$2)&gt;=0,(AD$3-$B$2)&lt;30), 2,0)</f>
        <v>2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2:41" ht="15" x14ac:dyDescent="0.2">
      <c r="B71" t="s">
        <v>161</v>
      </c>
      <c r="C71" s="112" t="s">
        <v>112</v>
      </c>
      <c r="D71" s="111">
        <v>6</v>
      </c>
      <c r="E71" s="86">
        <f t="shared" si="1"/>
        <v>9</v>
      </c>
      <c r="F71" s="122">
        <f>WORKDAY(F41,E71,Holiday!A67:A96)</f>
        <v>46322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0</v>
      </c>
      <c r="P71" s="113">
        <f>IF(OR(AND($F70&lt;=P$3, $F71 &gt;= P$3), AND($F71&lt;P$3, WORKDAY($F71, 22,Holiday!$A$1:$A$30)&gt;P$3)), 1, 0)+IF(AND((P$3-$B$2)&gt;=0,(P$3-$B$2)&lt;30), 2,0)</f>
        <v>1</v>
      </c>
      <c r="Q71" s="113">
        <f>IF(OR(AND($F70&lt;=Q$3, $F71 &gt;= Q$3), AND($F71&lt;Q$3, WORKDAY($F71, 22,Holiday!$A$1:$A$30)&gt;Q$3)), 1, 0)+IF(AND((Q$3-$B$2)&gt;=0,(Q$3-$B$2)&lt;30), 2,0)</f>
        <v>0</v>
      </c>
      <c r="R71" s="113">
        <f>IF(OR(AND($F70&lt;=R$3, $F71 &gt;= R$3), AND($F71&lt;R$3, WORKDAY($F71, 22,Holiday!$A$1:$A$30)&gt;R$3)), 1, 0)+IF(AND((R$3-$B$2)&gt;=0,(R$3-$B$2)&lt;30), 2,0)</f>
        <v>0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2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2:41" ht="15" x14ac:dyDescent="0.2">
      <c r="B72" t="s">
        <v>172</v>
      </c>
      <c r="C72" s="112" t="s">
        <v>112</v>
      </c>
      <c r="D72" s="111">
        <v>6</v>
      </c>
      <c r="E72" s="86">
        <f t="shared" si="1"/>
        <v>9</v>
      </c>
      <c r="F72" s="122">
        <f>WORKDAY(F71,E72,Holiday!A68:A97)</f>
        <v>46335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0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0</v>
      </c>
      <c r="P72" s="113">
        <f>IF(OR(AND($F71&lt;=P$3, $F72 &gt;= P$3), AND($F72&lt;P$3, WORKDAY($F72, 22,Holiday!$A$1:$A$30)&gt;P$3)), 1, 0)+IF(AND((P$3-$B$2)&gt;=0,(P$3-$B$2)&lt;30), 2,0)</f>
        <v>1</v>
      </c>
      <c r="Q72" s="113">
        <f>IF(OR(AND($F71&lt;=Q$3, $F72 &gt;= Q$3), AND($F72&lt;Q$3, WORKDAY($F72, 22,Holiday!$A$1:$A$30)&gt;Q$3)), 1, 0)+IF(AND((Q$3-$B$2)&gt;=0,(Q$3-$B$2)&lt;30), 2,0)</f>
        <v>0</v>
      </c>
      <c r="R72" s="113">
        <f>IF(OR(AND($F71&lt;=R$3, $F72 &gt;= R$3), AND($F72&lt;R$3, WORKDAY($F72, 22,Holiday!$A$1:$A$30)&gt;R$3)), 1, 0)+IF(AND((R$3-$B$2)&gt;=0,(R$3-$B$2)&lt;30), 2,0)</f>
        <v>0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2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2:41" ht="15" x14ac:dyDescent="0.2">
      <c r="B73" t="s">
        <v>209</v>
      </c>
      <c r="C73" s="112" t="s">
        <v>112</v>
      </c>
      <c r="D73" s="111">
        <v>6</v>
      </c>
      <c r="E73" s="86">
        <f t="shared" si="1"/>
        <v>9</v>
      </c>
      <c r="F73" s="122">
        <f>WORKDAY(F72,E73,Holiday!A69:A98)</f>
        <v>46346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0</v>
      </c>
      <c r="I73" s="113">
        <f>IF(OR(AND($F72&lt;=I$3, $F73 &gt;= I$3), AND($F73&lt;I$3, WORKDAY($F73, 22,Holiday!$A$1:$A$30)&gt;I$3)), 1, 0)+IF(AND((I$3-$B$2)&gt;=0,(I$3-$B$2)&lt;30), 2,0)</f>
        <v>0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1</v>
      </c>
      <c r="Q73" s="113">
        <f>IF(OR(AND($F72&lt;=Q$3, $F73 &gt;= Q$3), AND($F73&lt;Q$3, WORKDAY($F73, 22,Holiday!$A$1:$A$30)&gt;Q$3)), 1, 0)+IF(AND((Q$3-$B$2)&gt;=0,(Q$3-$B$2)&lt;30), 2,0)</f>
        <v>1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2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2:41" ht="15" x14ac:dyDescent="0.2">
      <c r="B74" t="s">
        <v>163</v>
      </c>
      <c r="C74" s="112" t="s">
        <v>112</v>
      </c>
      <c r="D74" s="111">
        <v>6</v>
      </c>
      <c r="E74" s="86">
        <f t="shared" si="1"/>
        <v>9</v>
      </c>
      <c r="F74" s="122">
        <f>WORKDAY(F73,E74,Holiday!A70:A99)</f>
        <v>46359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0</v>
      </c>
      <c r="I74" s="113">
        <f>IF(OR(AND($F73&lt;=I$3, $F74 &gt;= I$3), AND($F74&lt;I$3, WORKDAY($F74, 22,Holiday!$A$1:$A$30)&gt;I$3)), 1, 0)+IF(AND((I$3-$B$2)&gt;=0,(I$3-$B$2)&lt;30), 2,0)</f>
        <v>0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1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2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2:41" ht="15" x14ac:dyDescent="0.2">
      <c r="B75" t="s">
        <v>211</v>
      </c>
      <c r="C75" s="112" t="s">
        <v>112</v>
      </c>
      <c r="D75" s="111">
        <v>6</v>
      </c>
      <c r="E75" s="86">
        <f t="shared" si="1"/>
        <v>9</v>
      </c>
      <c r="F75" s="122">
        <f>WORKDAY(F74,E75,Holiday!A71:A100)</f>
        <v>46372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0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0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1</v>
      </c>
      <c r="R75" s="113">
        <f>IF(OR(AND($F74&lt;=R$3, $F75 &gt;= R$3), AND($F75&lt;R$3, WORKDAY($F75, 22,Holiday!$A$1:$A$30)&gt;R$3)), 1, 0)+IF(AND((R$3-$B$2)&gt;=0,(R$3-$B$2)&lt;30), 2,0)</f>
        <v>1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2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2:41" ht="15" x14ac:dyDescent="0.2">
      <c r="B76" t="s">
        <v>210</v>
      </c>
      <c r="C76" s="112" t="s">
        <v>112</v>
      </c>
      <c r="D76" s="111">
        <v>6</v>
      </c>
      <c r="E76" s="86">
        <f t="shared" si="1"/>
        <v>9</v>
      </c>
      <c r="F76" s="122">
        <f>WORKDAY(F75,E76,Holiday!A72:A101)</f>
        <v>46385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0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0</v>
      </c>
      <c r="R76" s="113">
        <f>IF(OR(AND($F75&lt;=R$3, $F76 &gt;= R$3), AND($F76&lt;R$3, WORKDAY($F76, 22,Holiday!$A$1:$A$30)&gt;R$3)), 1, 0)+IF(AND((R$3-$B$2)&gt;=0,(R$3-$B$2)&lt;30), 2,0)</f>
        <v>1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2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2:41" ht="15" x14ac:dyDescent="0.2">
      <c r="B77" t="s">
        <v>203</v>
      </c>
      <c r="C77" s="112" t="s">
        <v>112</v>
      </c>
      <c r="D77" s="111">
        <v>6</v>
      </c>
      <c r="E77" s="86">
        <f t="shared" si="1"/>
        <v>9</v>
      </c>
      <c r="F77" s="122">
        <f>WORKDAY(F76,E77,Holiday!A73:A102)</f>
        <v>46398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0</v>
      </c>
      <c r="J77" s="113">
        <f>IF(OR(AND($F76&lt;=J$3, $F77 &gt;= J$3), AND($F77&lt;J$3, WORKDAY($F77, 22,Holiday!$A$1:$A$30)&gt;J$3)), 1, 0)+IF(AND((J$3-$B$2)&gt;=0,(J$3-$B$2)&lt;30), 2,0)</f>
        <v>0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0</v>
      </c>
      <c r="R77" s="113">
        <f>IF(OR(AND($F76&lt;=R$3, $F77 &gt;= R$3), AND($F77&lt;R$3, WORKDAY($F77, 22,Holiday!$A$1:$A$30)&gt;R$3)), 1, 0)+IF(AND((R$3-$B$2)&gt;=0,(R$3-$B$2)&lt;30), 2,0)</f>
        <v>1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2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2:41" ht="15" x14ac:dyDescent="0.2">
      <c r="B78" t="s">
        <v>160</v>
      </c>
      <c r="C78" s="112" t="s">
        <v>112</v>
      </c>
      <c r="D78" s="111">
        <v>6</v>
      </c>
      <c r="E78" s="86">
        <f t="shared" si="1"/>
        <v>9</v>
      </c>
      <c r="F78" s="122">
        <f>WORKDAY(F77,E78,Holiday!A74:A103)</f>
        <v>46409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0</v>
      </c>
      <c r="K78" s="113">
        <f>IF(OR(AND($F77&lt;=K$3, $F78 &gt;= K$3), AND($F78&lt;K$3, WORKDAY($F78, 22,Holiday!$A$1:$A$30)&gt;K$3)), 1, 0)+IF(AND((K$3-$B$2)&gt;=0,(K$3-$B$2)&lt;30), 2,0)</f>
        <v>0</v>
      </c>
      <c r="L78" s="113">
        <f>IF(OR(AND($F77&lt;=L$3, $F78 &gt;= L$3), AND($F78&lt;L$3, WORKDAY($F78, 22,Holiday!$A$1:$A$30)&gt;L$3)), 1, 0)+IF(AND((L$3-$B$2)&gt;=0,(L$3-$B$2)&lt;30), 2,0)</f>
        <v>0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0</v>
      </c>
      <c r="R78" s="113">
        <f>IF(OR(AND($F77&lt;=R$3, $F78 &gt;= R$3), AND($F78&lt;R$3, WORKDAY($F78, 22,Holiday!$A$1:$A$30)&gt;R$3)), 1, 0)+IF(AND((R$3-$B$2)&gt;=0,(R$3-$B$2)&lt;30), 2,0)</f>
        <v>1</v>
      </c>
      <c r="S78" s="113">
        <f>IF(OR(AND($F77&lt;=S$3, $F78 &gt;= S$3), AND($F78&lt;S$3, WORKDAY($F78, 22,Holiday!$A$1:$A$30)&gt;S$3)), 1, 0)+IF(AND((S$3-$B$2)&gt;=0,(S$3-$B$2)&lt;30), 2,0)</f>
        <v>1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2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2:41" ht="15" x14ac:dyDescent="0.2">
      <c r="B79" t="s">
        <v>158</v>
      </c>
      <c r="C79" s="112" t="s">
        <v>112</v>
      </c>
      <c r="D79" s="111">
        <v>6</v>
      </c>
      <c r="E79" s="86">
        <f t="shared" si="1"/>
        <v>9</v>
      </c>
      <c r="F79" s="122">
        <f>WORKDAY(F78,E79,Holiday!A75:A104)</f>
        <v>46422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0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0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0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1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2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2:41" ht="15" x14ac:dyDescent="0.2">
      <c r="B80" t="s">
        <v>157</v>
      </c>
      <c r="C80" s="112" t="s">
        <v>112</v>
      </c>
      <c r="D80" s="111">
        <v>6</v>
      </c>
      <c r="E80" s="86">
        <f t="shared" si="1"/>
        <v>9</v>
      </c>
      <c r="F80" s="122">
        <f>WORKDAY(F79,E80,Holiday!A76:A105)</f>
        <v>46435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0</v>
      </c>
      <c r="K80" s="113">
        <f>IF(OR(AND($F79&lt;=K$3, $F80 &gt;= K$3), AND($F80&lt;K$3, WORKDAY($F80, 22,Holiday!$A$1:$A$30)&gt;K$3)), 1, 0)+IF(AND((K$3-$B$2)&gt;=0,(K$3-$B$2)&lt;30), 2,0)</f>
        <v>0</v>
      </c>
      <c r="L80" s="113">
        <f>IF(OR(AND($F79&lt;=L$3, $F80 &gt;= L$3), AND($F80&lt;L$3, WORKDAY($F80, 22,Holiday!$A$1:$A$30)&gt;L$3)), 1, 0)+IF(AND((L$3-$B$2)&gt;=0,(L$3-$B$2)&lt;30), 2,0)</f>
        <v>0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0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1</v>
      </c>
      <c r="T80" s="113">
        <f>IF(OR(AND($F79&lt;=T$3, $F80 &gt;= T$3), AND($F80&lt;T$3, WORKDAY($F80, 22,Holiday!$A$1:$A$30)&gt;T$3)), 1, 0)+IF(AND((T$3-$B$2)&gt;=0,(T$3-$B$2)&lt;30), 2,0)</f>
        <v>1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2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2:41" ht="15" x14ac:dyDescent="0.2">
      <c r="B81" t="s">
        <v>164</v>
      </c>
      <c r="C81" s="112" t="s">
        <v>112</v>
      </c>
      <c r="D81" s="111">
        <v>6</v>
      </c>
      <c r="E81" s="86">
        <f t="shared" si="1"/>
        <v>9</v>
      </c>
      <c r="F81" s="122">
        <f>WORKDAY(F80,E81,Holiday!A77:A106)</f>
        <v>46448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0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0</v>
      </c>
      <c r="L81" s="113">
        <f>IF(OR(AND($F80&lt;=L$3, $F81 &gt;= L$3), AND($F81&lt;L$3, WORKDAY($F81, 22,Holiday!$A$1:$A$30)&gt;L$3)), 1, 0)+IF(AND((L$3-$B$2)&gt;=0,(L$3-$B$2)&lt;30), 2,0)</f>
        <v>0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0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1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2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2:41" ht="15" x14ac:dyDescent="0.2">
      <c r="B82" t="s">
        <v>168</v>
      </c>
      <c r="C82" s="112" t="s">
        <v>112</v>
      </c>
      <c r="D82" s="111">
        <v>6</v>
      </c>
      <c r="E82" s="86">
        <f t="shared" si="1"/>
        <v>9</v>
      </c>
      <c r="F82" s="122">
        <f>WORKDAY(F81,E82,Holiday!A78:A107)</f>
        <v>46461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0</v>
      </c>
      <c r="L82" s="113">
        <f>IF(OR(AND($F81&lt;=L$3, $F82 &gt;= L$3), AND($F82&lt;L$3, WORKDAY($F82, 22,Holiday!$A$1:$A$30)&gt;L$3)), 1, 0)+IF(AND((L$3-$B$2)&gt;=0,(L$3-$B$2)&lt;30), 2,0)</f>
        <v>0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0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1</v>
      </c>
      <c r="U82" s="113">
        <f>IF(OR(AND($F81&lt;=U$3, $F82 &gt;= U$3), AND($F82&lt;U$3, WORKDAY($F82, 22,Holiday!$A$1:$A$30)&gt;U$3)), 1, 0)+IF(AND((U$3-$B$2)&gt;=0,(U$3-$B$2)&lt;30), 2,0)</f>
        <v>1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2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2:41" ht="15" x14ac:dyDescent="0.2">
      <c r="B83" t="s">
        <v>166</v>
      </c>
      <c r="C83" s="112" t="s">
        <v>112</v>
      </c>
      <c r="D83" s="111">
        <v>6</v>
      </c>
      <c r="E83" s="86">
        <f t="shared" si="1"/>
        <v>9</v>
      </c>
      <c r="F83" s="122">
        <f>WORKDAY(F82,E83,Holiday!A79:A108)</f>
        <v>46472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0</v>
      </c>
      <c r="L83" s="113">
        <f>IF(OR(AND($F82&lt;=L$3, $F83 &gt;= L$3), AND($F83&lt;L$3, WORKDAY($F83, 22,Holiday!$A$1:$A$30)&gt;L$3)), 1, 0)+IF(AND((L$3-$B$2)&gt;=0,(L$3-$B$2)&lt;30), 2,0)</f>
        <v>0</v>
      </c>
      <c r="M83" s="113">
        <f>IF(OR(AND($F82&lt;=M$3, $F83 &gt;= M$3), AND($F83&lt;M$3, WORKDAY($F83, 22,Holiday!$A$1:$A$30)&gt;M$3)), 1, 0)+IF(AND((M$3-$B$2)&gt;=0,(M$3-$B$2)&lt;30), 2,0)</f>
        <v>0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0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1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2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2:41" ht="15" x14ac:dyDescent="0.2">
      <c r="B84" t="s">
        <v>155</v>
      </c>
      <c r="C84" s="112" t="s">
        <v>112</v>
      </c>
      <c r="D84" s="111">
        <v>6</v>
      </c>
      <c r="E84" s="86">
        <f t="shared" si="1"/>
        <v>9</v>
      </c>
      <c r="F84" s="122">
        <f>WORKDAY(F83,E84,Holiday!A80:A109)</f>
        <v>46485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0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0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1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2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2:41" ht="15" x14ac:dyDescent="0.2">
      <c r="B85" t="s">
        <v>181</v>
      </c>
      <c r="C85" s="112" t="s">
        <v>112</v>
      </c>
      <c r="D85" s="111">
        <v>6</v>
      </c>
      <c r="E85" s="86">
        <f t="shared" si="1"/>
        <v>9</v>
      </c>
      <c r="F85" s="122">
        <f>WORKDAY(F84,E85,Holiday!A81:A110)</f>
        <v>46498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0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0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0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1</v>
      </c>
      <c r="V85" s="113">
        <f>IF(OR(AND($F84&lt;=V$3, $F85 &gt;= V$3), AND($F85&lt;V$3, WORKDAY($F85, 22,Holiday!$A$1:$A$30)&gt;V$3)), 1, 0)+IF(AND((V$3-$B$2)&gt;=0,(V$3-$B$2)&lt;30), 2,0)</f>
        <v>1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2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2:41" ht="15" x14ac:dyDescent="0.2">
      <c r="B86" t="s">
        <v>183</v>
      </c>
      <c r="C86" s="112" t="s">
        <v>112</v>
      </c>
      <c r="D86" s="111">
        <v>6</v>
      </c>
      <c r="E86" s="86">
        <f t="shared" si="1"/>
        <v>9</v>
      </c>
      <c r="F86" s="122">
        <f>WORKDAY(F85,E86,Holiday!A82:A111)</f>
        <v>46511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0</v>
      </c>
      <c r="L86" s="113">
        <f>IF(OR(AND($F85&lt;=L$3, $F86 &gt;= L$3), AND($F86&lt;L$3, WORKDAY($F86, 22,Holiday!$A$1:$A$30)&gt;L$3)), 1, 0)+IF(AND((L$3-$B$2)&gt;=0,(L$3-$B$2)&lt;30), 2,0)</f>
        <v>0</v>
      </c>
      <c r="M86" s="113">
        <f>IF(OR(AND($F85&lt;=M$3, $F86 &gt;= M$3), AND($F86&lt;M$3, WORKDAY($F86, 22,Holiday!$A$1:$A$30)&gt;M$3)), 1, 0)+IF(AND((M$3-$B$2)&gt;=0,(M$3-$B$2)&lt;30), 2,0)</f>
        <v>0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0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0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1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2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2:41" ht="15" x14ac:dyDescent="0.2">
      <c r="B87" t="s">
        <v>177</v>
      </c>
      <c r="C87" s="112" t="s">
        <v>112</v>
      </c>
      <c r="D87" s="111">
        <v>6</v>
      </c>
      <c r="E87" s="86">
        <f t="shared" si="1"/>
        <v>9</v>
      </c>
      <c r="F87" s="122">
        <f>WORKDAY(F86,E87,Holiday!A83:A112)</f>
        <v>46524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0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0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0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1</v>
      </c>
      <c r="W87" s="113">
        <f>IF(OR(AND($F86&lt;=W$3, $F87 &gt;= W$3), AND($F87&lt;W$3, WORKDAY($F87, 22,Holiday!$A$1:$A$30)&gt;W$3)), 1, 0)+IF(AND((W$3-$B$2)&gt;=0,(W$3-$B$2)&lt;30), 2,0)</f>
        <v>1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2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2:41" ht="15" x14ac:dyDescent="0.2">
      <c r="B88" t="s">
        <v>176</v>
      </c>
      <c r="C88" s="112" t="s">
        <v>112</v>
      </c>
      <c r="D88" s="111">
        <v>6</v>
      </c>
      <c r="E88" s="86">
        <f t="shared" si="1"/>
        <v>9</v>
      </c>
      <c r="F88" s="122">
        <f>WORKDAY(F87,E88,Holiday!A84:A113)</f>
        <v>46535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0</v>
      </c>
      <c r="N88" s="113">
        <f>IF(OR(AND($F87&lt;=N$3, $F88 &gt;= N$3), AND($F88&lt;N$3, WORKDAY($F88, 22,Holiday!$A$1:$A$30)&gt;N$3)), 1, 0)+IF(AND((N$3-$B$2)&gt;=0,(N$3-$B$2)&lt;30), 2,0)</f>
        <v>0</v>
      </c>
      <c r="O88" s="113">
        <f>IF(OR(AND($F87&lt;=O$3, $F88 &gt;= O$3), AND($F88&lt;O$3, WORKDAY($F88, 22,Holiday!$A$1:$A$30)&gt;O$3)), 1, 0)+IF(AND((O$3-$B$2)&gt;=0,(O$3-$B$2)&lt;30), 2,0)</f>
        <v>0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0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1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2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2:41" ht="15" x14ac:dyDescent="0.2">
      <c r="B89" t="s">
        <v>167</v>
      </c>
      <c r="C89" s="112" t="s">
        <v>112</v>
      </c>
      <c r="D89" s="111">
        <v>6</v>
      </c>
      <c r="E89" s="86">
        <f t="shared" si="1"/>
        <v>9</v>
      </c>
      <c r="F89" s="122">
        <f>WORKDAY(F88,E89,Holiday!A85:A114)</f>
        <v>46548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0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0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0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0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1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2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2:41" ht="15" x14ac:dyDescent="0.2">
      <c r="B90" t="s">
        <v>185</v>
      </c>
      <c r="C90" s="112" t="s">
        <v>112</v>
      </c>
      <c r="D90" s="111">
        <v>6</v>
      </c>
      <c r="E90" s="86">
        <f t="shared" si="1"/>
        <v>9</v>
      </c>
      <c r="F90" s="122">
        <f>WORKDAY(F89,E90,Holiday!A86:A115)</f>
        <v>46561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0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0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0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1</v>
      </c>
      <c r="X90" s="113">
        <f>IF(OR(AND($F89&lt;=X$3, $F90 &gt;= X$3), AND($F90&lt;X$3, WORKDAY($F90, 22,Holiday!$A$1:$A$30)&gt;X$3)), 1, 0)+IF(AND((X$3-$B$2)&gt;=0,(X$3-$B$2)&lt;30), 2,0)</f>
        <v>1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2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2:41" ht="15" x14ac:dyDescent="0.2">
      <c r="B91" t="s">
        <v>148</v>
      </c>
      <c r="C91" s="112" t="s">
        <v>112</v>
      </c>
      <c r="D91" s="111">
        <v>6</v>
      </c>
      <c r="E91" s="86">
        <f t="shared" si="1"/>
        <v>9</v>
      </c>
      <c r="F91" s="122">
        <f>WORKDAY(F90,E91,Holiday!A87:A116)</f>
        <v>46574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0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0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0</v>
      </c>
      <c r="O91" s="113">
        <f>IF(OR(AND($F90&lt;=O$3, $F91 &gt;= O$3), AND($F91&lt;O$3, WORKDAY($F91, 22,Holiday!$A$1:$A$30)&gt;O$3)), 1, 0)+IF(AND((O$3-$B$2)&gt;=0,(O$3-$B$2)&lt;30), 2,0)</f>
        <v>0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0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1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2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2:41" ht="15" x14ac:dyDescent="0.2">
      <c r="B92" t="s">
        <v>147</v>
      </c>
      <c r="C92" s="112" t="s">
        <v>112</v>
      </c>
      <c r="D92" s="111">
        <v>6</v>
      </c>
      <c r="E92" s="86">
        <f t="shared" si="1"/>
        <v>9</v>
      </c>
      <c r="F92" s="122">
        <f>WORKDAY(F91,E92,Holiday!A88:A117)</f>
        <v>46587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0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0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0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1</v>
      </c>
      <c r="Y92" s="113">
        <f>IF(OR(AND($F91&lt;=Y$3, $F92 &gt;= Y$3), AND($F92&lt;Y$3, WORKDAY($F92, 22,Holiday!$A$1:$A$30)&gt;Y$3)), 1, 0)+IF(AND((Y$3-$B$2)&gt;=0,(Y$3-$B$2)&lt;30), 2,0)</f>
        <v>1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2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2:41" ht="15" x14ac:dyDescent="0.2">
      <c r="B93" t="s">
        <v>151</v>
      </c>
      <c r="C93" s="112" t="s">
        <v>112</v>
      </c>
      <c r="D93" s="111">
        <v>6</v>
      </c>
      <c r="E93" s="86">
        <f t="shared" si="1"/>
        <v>9</v>
      </c>
      <c r="F93" s="122">
        <f>WORKDAY(F92,E93,Holiday!A89:A118)</f>
        <v>46598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0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0</v>
      </c>
      <c r="R93" s="113">
        <f>IF(OR(AND($F92&lt;=R$3, $F93 &gt;= R$3), AND($F93&lt;R$3, WORKDAY($F93, 22,Holiday!$A$1:$A$30)&gt;R$3)), 1, 0)+IF(AND((R$3-$B$2)&gt;=0,(R$3-$B$2)&lt;30), 2,0)</f>
        <v>0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1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2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2:41" ht="15" x14ac:dyDescent="0.2">
      <c r="B94" t="s">
        <v>154</v>
      </c>
      <c r="C94" s="112" t="s">
        <v>112</v>
      </c>
      <c r="D94" s="111">
        <v>6</v>
      </c>
      <c r="E94" s="86">
        <f t="shared" si="1"/>
        <v>9</v>
      </c>
      <c r="F94" s="122">
        <f>WORKDAY(F93,E94,Holiday!A90:A119)</f>
        <v>46611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0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0</v>
      </c>
      <c r="P94" s="113">
        <f>IF(OR(AND($F93&lt;=P$3, $F94 &gt;= P$3), AND($F94&lt;P$3, WORKDAY($F94, 22,Holiday!$A$1:$A$30)&gt;P$3)), 1, 0)+IF(AND((P$3-$B$2)&gt;=0,(P$3-$B$2)&lt;30), 2,0)</f>
        <v>0</v>
      </c>
      <c r="Q94" s="113">
        <f>IF(OR(AND($F93&lt;=Q$3, $F94 &gt;= Q$3), AND($F94&lt;Q$3, WORKDAY($F94, 22,Holiday!$A$1:$A$30)&gt;Q$3)), 1, 0)+IF(AND((Q$3-$B$2)&gt;=0,(Q$3-$B$2)&lt;30), 2,0)</f>
        <v>0</v>
      </c>
      <c r="R94" s="113">
        <f>IF(OR(AND($F93&lt;=R$3, $F94 &gt;= R$3), AND($F94&lt;R$3, WORKDAY($F94, 22,Holiday!$A$1:$A$30)&gt;R$3)), 1, 0)+IF(AND((R$3-$B$2)&gt;=0,(R$3-$B$2)&lt;30), 2,0)</f>
        <v>0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1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2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2:41" ht="15" x14ac:dyDescent="0.2">
      <c r="B95" t="s">
        <v>153</v>
      </c>
      <c r="C95" s="112" t="s">
        <v>112</v>
      </c>
      <c r="D95" s="111">
        <v>6</v>
      </c>
      <c r="E95" s="86">
        <f t="shared" si="1"/>
        <v>9</v>
      </c>
      <c r="F95" s="122">
        <f>WORKDAY(F94,E95,Holiday!A91:A120)</f>
        <v>46624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0</v>
      </c>
      <c r="Q95" s="113">
        <f>IF(OR(AND($F94&lt;=Q$3, $F95 &gt;= Q$3), AND($F95&lt;Q$3, WORKDAY($F95, 22,Holiday!$A$1:$A$30)&gt;Q$3)), 1, 0)+IF(AND((Q$3-$B$2)&gt;=0,(Q$3-$B$2)&lt;30), 2,0)</f>
        <v>0</v>
      </c>
      <c r="R95" s="113">
        <f>IF(OR(AND($F94&lt;=R$3, $F95 &gt;= R$3), AND($F95&lt;R$3, WORKDAY($F95, 22,Holiday!$A$1:$A$30)&gt;R$3)), 1, 0)+IF(AND((R$3-$B$2)&gt;=0,(R$3-$B$2)&lt;30), 2,0)</f>
        <v>0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1</v>
      </c>
      <c r="Z95" s="113">
        <f>IF(OR(AND($F94&lt;=Z$3, $F95 &gt;= Z$3), AND($F95&lt;Z$3, WORKDAY($F95, 22,Holiday!$A$1:$A$30)&gt;Z$3)), 1, 0)+IF(AND((Z$3-$B$2)&gt;=0,(Z$3-$B$2)&lt;30), 2,0)</f>
        <v>1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2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2:41" ht="15" x14ac:dyDescent="0.2">
      <c r="B96" t="s">
        <v>149</v>
      </c>
      <c r="C96" s="112" t="s">
        <v>112</v>
      </c>
      <c r="D96" s="111">
        <v>6</v>
      </c>
      <c r="E96" s="86">
        <f t="shared" si="1"/>
        <v>9</v>
      </c>
      <c r="F96" s="122">
        <f>WORKDAY(F95,E96,Holiday!A92:A121)</f>
        <v>46637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0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0</v>
      </c>
      <c r="P96" s="113">
        <f>IF(OR(AND($F95&lt;=P$3, $F96 &gt;= P$3), AND($F96&lt;P$3, WORKDAY($F96, 22,Holiday!$A$1:$A$30)&gt;P$3)), 1, 0)+IF(AND((P$3-$B$2)&gt;=0,(P$3-$B$2)&lt;30), 2,0)</f>
        <v>0</v>
      </c>
      <c r="Q96" s="113">
        <f>IF(OR(AND($F95&lt;=Q$3, $F96 &gt;= Q$3), AND($F96&lt;Q$3, WORKDAY($F96, 22,Holiday!$A$1:$A$30)&gt;Q$3)), 1, 0)+IF(AND((Q$3-$B$2)&gt;=0,(Q$3-$B$2)&lt;30), 2,0)</f>
        <v>0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1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2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2:41" ht="15" x14ac:dyDescent="0.2">
      <c r="B97" t="s">
        <v>152</v>
      </c>
      <c r="C97" s="112" t="s">
        <v>112</v>
      </c>
      <c r="D97" s="111">
        <v>6</v>
      </c>
      <c r="E97" s="86">
        <f t="shared" si="1"/>
        <v>9</v>
      </c>
      <c r="F97" s="122">
        <f>WORKDAY(F96,E97,Holiday!A93:A122)</f>
        <v>46650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0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0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0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1</v>
      </c>
      <c r="AA97" s="113">
        <f>IF(OR(AND($F96&lt;=AA$3, $F97 &gt;= AA$3), AND($F97&lt;AA$3, WORKDAY($F97, 22,Holiday!$A$1:$A$30)&gt;AA$3)), 1, 0)+IF(AND((AA$3-$B$2)&gt;=0,(AA$3-$B$2)&lt;30), 2,0)</f>
        <v>1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2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2:41" ht="15" x14ac:dyDescent="0.2">
      <c r="B98" t="s">
        <v>150</v>
      </c>
      <c r="C98" s="112" t="s">
        <v>112</v>
      </c>
      <c r="D98" s="111">
        <v>6</v>
      </c>
      <c r="E98" s="86">
        <f t="shared" si="1"/>
        <v>9</v>
      </c>
      <c r="F98" s="122">
        <f>WORKDAY(F97,E98,Holiday!A94:A123)</f>
        <v>46661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0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0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1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2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2:41" ht="15" x14ac:dyDescent="0.2">
      <c r="B99" t="s">
        <v>162</v>
      </c>
      <c r="C99" s="112" t="s">
        <v>112</v>
      </c>
      <c r="D99" s="111">
        <v>6</v>
      </c>
      <c r="E99" s="86">
        <f t="shared" si="1"/>
        <v>9</v>
      </c>
      <c r="F99" s="122">
        <f>WORKDAY(F98,E99,Holiday!A95:A124)</f>
        <v>46674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0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0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0</v>
      </c>
      <c r="R99" s="113">
        <f>IF(OR(AND($F98&lt;=R$3, $F99 &gt;= R$3), AND($F99&lt;R$3, WORKDAY($F99, 22,Holiday!$A$1:$A$30)&gt;R$3)), 1, 0)+IF(AND((R$3-$B$2)&gt;=0,(R$3-$B$2)&lt;30), 2,0)</f>
        <v>0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1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2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2:41" ht="15" x14ac:dyDescent="0.2">
      <c r="B100" t="s">
        <v>196</v>
      </c>
      <c r="C100" s="112" t="s">
        <v>112</v>
      </c>
      <c r="D100" s="111">
        <v>10</v>
      </c>
      <c r="E100" s="86">
        <f t="shared" si="1"/>
        <v>15</v>
      </c>
      <c r="F100" s="122">
        <f>WORKDAY(F99,E100,Holiday!A96:A125)</f>
        <v>46695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0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0</v>
      </c>
      <c r="R100" s="113">
        <f>IF(OR(AND($F99&lt;=R$3, $F100 &gt;= R$3), AND($F100&lt;R$3, WORKDAY($F100, 22,Holiday!$A$1:$A$30)&gt;R$3)), 1, 0)+IF(AND((R$3-$B$2)&gt;=0,(R$3-$B$2)&lt;30), 2,0)</f>
        <v>0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1</v>
      </c>
      <c r="AB100" s="113">
        <f>IF(OR(AND($F99&lt;=AB$3, $F100 &gt;= AB$3), AND($F100&lt;AB$3, WORKDAY($F100, 22,Holiday!$A$1:$A$30)&gt;AB$3)), 1, 0)+IF(AND((AB$3-$B$2)&gt;=0,(AB$3-$B$2)&lt;30), 2,0)</f>
        <v>1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2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2:41" ht="15" x14ac:dyDescent="0.2">
      <c r="B101" t="s">
        <v>116</v>
      </c>
      <c r="C101" s="112" t="s">
        <v>112</v>
      </c>
      <c r="D101" s="111">
        <v>10</v>
      </c>
      <c r="E101" s="86">
        <f t="shared" si="1"/>
        <v>15</v>
      </c>
      <c r="F101" s="122">
        <f>WORKDAY(F100,E101,Holiday!A97:A126)</f>
        <v>46716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0</v>
      </c>
      <c r="J101" s="113">
        <f>IF(OR(AND($F100&lt;=J$3, $F101 &gt;= J$3), AND($F101&lt;J$3, WORKDAY($F101, 22,Holiday!$A$1:$A$30)&gt;J$3)), 1, 0)+IF(AND((J$3-$B$2)&gt;=0,(J$3-$B$2)&lt;30), 2,0)</f>
        <v>0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0</v>
      </c>
      <c r="M101" s="113">
        <f>IF(OR(AND($F100&lt;=M$3, $F101 &gt;= M$3), AND($F101&lt;M$3, WORKDAY($F101, 22,Holiday!$A$1:$A$30)&gt;M$3)), 1, 0)+IF(AND((M$3-$B$2)&gt;=0,(M$3-$B$2)&lt;30), 2,0)</f>
        <v>0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0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0</v>
      </c>
      <c r="R101" s="113">
        <f>IF(OR(AND($F100&lt;=R$3, $F101 &gt;= R$3), AND($F101&lt;R$3, WORKDAY($F101, 22,Holiday!$A$1:$A$30)&gt;R$3)), 1, 0)+IF(AND((R$3-$B$2)&gt;=0,(R$3-$B$2)&lt;30), 2,0)</f>
        <v>0</v>
      </c>
      <c r="S101" s="113">
        <f>IF(OR(AND($F100&lt;=S$3, $F101 &gt;= S$3), AND($F101&lt;S$3, WORKDAY($F101, 22,Holiday!$A$1:$A$30)&gt;S$3)), 1, 0)+IF(AND((S$3-$B$2)&gt;=0,(S$3-$B$2)&lt;30), 2,0)</f>
        <v>0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0</v>
      </c>
      <c r="V101" s="113">
        <f>IF(OR(AND($F100&lt;=V$3, $F101 &gt;= V$3), AND($F101&lt;V$3, WORKDAY($F101, 22,Holiday!$A$1:$A$30)&gt;V$3)), 1, 0)+IF(AND((V$3-$B$2)&gt;=0,(V$3-$B$2)&lt;30), 2,0)</f>
        <v>0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1</v>
      </c>
      <c r="AC101" s="113">
        <f>IF(OR(AND($F100&lt;=AC$3, $F101 &gt;= AC$3), AND($F101&lt;AC$3, WORKDAY($F101, 22,Holiday!$A$1:$A$30)&gt;AC$3)), 1, 0)+IF(AND((AC$3-$B$2)&gt;=0,(AC$3-$B$2)&lt;30), 2,0)</f>
        <v>1</v>
      </c>
      <c r="AD101" s="113">
        <f>IF(OR(AND($F100&lt;=AD$3, $F101 &gt;= AD$3), AND($F101&lt;AD$3, WORKDAY($F101, 22,Holiday!$A$1:$A$30)&gt;AD$3)), 1, 0)+IF(AND((AD$3-$B$2)&gt;=0,(AD$3-$B$2)&lt;30), 2,0)</f>
        <v>2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</row>
    <row r="102" spans="2:41" ht="15" x14ac:dyDescent="0.2">
      <c r="B102" t="s">
        <v>213</v>
      </c>
      <c r="C102" s="112" t="s">
        <v>112</v>
      </c>
      <c r="D102" s="111">
        <v>10</v>
      </c>
      <c r="E102" s="86">
        <f t="shared" si="1"/>
        <v>15</v>
      </c>
      <c r="F102" s="122">
        <f>WORKDAY(F101,E102,Holiday!A98:A127)</f>
        <v>46737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0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0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0</v>
      </c>
      <c r="M102" s="113">
        <f>IF(OR(AND($F101&lt;=M$3, $F102 &gt;= M$3), AND($F102&lt;M$3, WORKDAY($F102, 22,Holiday!$A$1:$A$30)&gt;M$3)), 1, 0)+IF(AND((M$3-$B$2)&gt;=0,(M$3-$B$2)&lt;30), 2,0)</f>
        <v>0</v>
      </c>
      <c r="N102" s="113">
        <f>IF(OR(AND($F101&lt;=N$3, $F102 &gt;= N$3), AND($F102&lt;N$3, WORKDAY($F102, 22,Holiday!$A$1:$A$30)&gt;N$3)), 1, 0)+IF(AND((N$3-$B$2)&gt;=0,(N$3-$B$2)&lt;30), 2,0)</f>
        <v>0</v>
      </c>
      <c r="O102" s="113">
        <f>IF(OR(AND($F101&lt;=O$3, $F102 &gt;= O$3), AND($F102&lt;O$3, WORKDAY($F102, 22,Holiday!$A$1:$A$30)&gt;O$3)), 1, 0)+IF(AND((O$3-$B$2)&gt;=0,(O$3-$B$2)&lt;30), 2,0)</f>
        <v>0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0</v>
      </c>
      <c r="R102" s="113">
        <f>IF(OR(AND($F101&lt;=R$3, $F102 &gt;= R$3), AND($F102&lt;R$3, WORKDAY($F102, 22,Holiday!$A$1:$A$30)&gt;R$3)), 1, 0)+IF(AND((R$3-$B$2)&gt;=0,(R$3-$B$2)&lt;30), 2,0)</f>
        <v>0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0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1</v>
      </c>
      <c r="AD102" s="113">
        <f>IF(OR(AND($F101&lt;=AD$3, $F102 &gt;= AD$3), AND($F102&lt;AD$3, WORKDAY($F102, 22,Holiday!$A$1:$A$30)&gt;AD$3)), 1, 0)+IF(AND((AD$3-$B$2)&gt;=0,(AD$3-$B$2)&lt;30), 2,0)</f>
        <v>3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</row>
    <row r="103" spans="2:41" ht="15" x14ac:dyDescent="0.2">
      <c r="B103" t="s">
        <v>195</v>
      </c>
      <c r="C103" s="112" t="s">
        <v>112</v>
      </c>
      <c r="D103" s="111">
        <v>10</v>
      </c>
      <c r="E103" s="86">
        <f t="shared" si="1"/>
        <v>15</v>
      </c>
      <c r="F103" s="122">
        <f>WORKDAY(F102,E103,Holiday!A99:A128)</f>
        <v>46758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0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0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3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2:41" ht="12.75" x14ac:dyDescent="0.2">
      <c r="F104" s="122"/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43" type="noConversion"/>
  <conditionalFormatting sqref="G3:AO3">
    <cfRule type="expression" dxfId="43" priority="1">
      <formula>G$4&gt;1</formula>
    </cfRule>
  </conditionalFormatting>
  <conditionalFormatting sqref="G4:AO103">
    <cfRule type="cellIs" dxfId="42" priority="2" operator="greaterThan">
      <formula>1</formula>
    </cfRule>
    <cfRule type="cellIs" dxfId="41" priority="3" operator="equal">
      <formula>0</formula>
    </cfRule>
    <cfRule type="cellIs" dxfId="40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A0EF-4D63-4111-978C-A611AF4A8CB1}">
  <sheetPr>
    <tabColor rgb="FF3D85C6"/>
    <outlinePr summaryBelow="0" summaryRight="0"/>
  </sheetPr>
  <dimension ref="A1:AO104"/>
  <sheetViews>
    <sheetView showGridLines="0" zoomScale="89" workbookViewId="0">
      <pane xSplit="6" topLeftCell="G1" activePane="topRight" state="frozen"/>
      <selection pane="topRight" activeCell="F3" sqref="F3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46512</v>
      </c>
      <c r="C2" s="129">
        <v>3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SUM(E4:E103)</f>
        <v>996</v>
      </c>
      <c r="F3" s="126">
        <f>Setting!$B$2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19"/>
      <c r="B4" s="116" t="s">
        <v>217</v>
      </c>
      <c r="C4" s="116" t="s">
        <v>255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2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t="s">
        <v>115</v>
      </c>
      <c r="C5" s="112" t="s">
        <v>78</v>
      </c>
      <c r="D5" s="86">
        <v>10</v>
      </c>
      <c r="E5" s="86">
        <f>ROUNDUP(D5*(1+$D$2),0)</f>
        <v>15</v>
      </c>
      <c r="F5" s="122">
        <f>WORKDAY(F4,E5,Holiday!A1:A30)</f>
        <v>46072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2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t="s">
        <v>192</v>
      </c>
      <c r="C6" s="112" t="s">
        <v>78</v>
      </c>
      <c r="D6" s="86">
        <v>10</v>
      </c>
      <c r="E6" s="86">
        <f t="shared" ref="E6:E69" si="0">ROUNDUP(D6*(1+$D$2),0)</f>
        <v>15</v>
      </c>
      <c r="F6" s="122">
        <f>WORKDAY(F5,E6,Holiday!A2:A31)</f>
        <v>46093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2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t="s">
        <v>188</v>
      </c>
      <c r="C7" s="112" t="s">
        <v>78</v>
      </c>
      <c r="D7" s="86">
        <v>10</v>
      </c>
      <c r="E7" s="86">
        <f t="shared" si="0"/>
        <v>15</v>
      </c>
      <c r="F7" s="122">
        <f>WORKDAY(F6,E7,Holiday!A3:A32)</f>
        <v>46114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2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t="s">
        <v>120</v>
      </c>
      <c r="C8" s="112" t="s">
        <v>78</v>
      </c>
      <c r="D8" s="86">
        <v>10</v>
      </c>
      <c r="E8" s="86">
        <f t="shared" si="0"/>
        <v>15</v>
      </c>
      <c r="F8" s="122">
        <f>WORKDAY(F7,E8,Holiday!A4:A33)</f>
        <v>46135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2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t="s">
        <v>119</v>
      </c>
      <c r="C9" s="112" t="s">
        <v>78</v>
      </c>
      <c r="D9" s="86">
        <v>10</v>
      </c>
      <c r="E9" s="86">
        <f t="shared" si="0"/>
        <v>15</v>
      </c>
      <c r="F9" s="122">
        <f>WORKDAY(F8,E9,Holiday!A5:A34)</f>
        <v>46157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1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2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t="s">
        <v>212</v>
      </c>
      <c r="C10" s="112" t="s">
        <v>78</v>
      </c>
      <c r="D10" s="86">
        <v>10</v>
      </c>
      <c r="E10" s="86">
        <f t="shared" si="0"/>
        <v>15</v>
      </c>
      <c r="F10" s="122">
        <f>WORKDAY(F9,E10,Holiday!A6:A35)</f>
        <v>46178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2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t="s">
        <v>191</v>
      </c>
      <c r="C11" s="112" t="s">
        <v>78</v>
      </c>
      <c r="D11" s="86">
        <v>10</v>
      </c>
      <c r="E11" s="86">
        <f t="shared" si="0"/>
        <v>15</v>
      </c>
      <c r="F11" s="122">
        <f>WORKDAY(F10,E11,Holiday!A7:A36)</f>
        <v>46199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2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t="s">
        <v>190</v>
      </c>
      <c r="C12" s="112" t="s">
        <v>78</v>
      </c>
      <c r="D12" s="86">
        <v>10</v>
      </c>
      <c r="E12" s="86">
        <f t="shared" si="0"/>
        <v>15</v>
      </c>
      <c r="F12" s="122">
        <f>WORKDAY(F11,E12,Holiday!A8:A37)</f>
        <v>46220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2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t="s">
        <v>117</v>
      </c>
      <c r="C13" s="112" t="s">
        <v>78</v>
      </c>
      <c r="D13" s="86">
        <v>10</v>
      </c>
      <c r="E13" s="86">
        <f t="shared" si="0"/>
        <v>15</v>
      </c>
      <c r="F13" s="122">
        <f>WORKDAY(F12,E13,Holiday!A9:A38)</f>
        <v>46241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2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t="s">
        <v>193</v>
      </c>
      <c r="C14" s="112" t="s">
        <v>78</v>
      </c>
      <c r="D14" s="86">
        <v>10</v>
      </c>
      <c r="E14" s="86">
        <f t="shared" si="0"/>
        <v>15</v>
      </c>
      <c r="F14" s="122">
        <f>WORKDAY(F13,E14,Holiday!A10:A39)</f>
        <v>46262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2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t="s">
        <v>197</v>
      </c>
      <c r="C15" s="112" t="s">
        <v>78</v>
      </c>
      <c r="D15" s="86">
        <v>10</v>
      </c>
      <c r="E15" s="86">
        <f t="shared" si="0"/>
        <v>15</v>
      </c>
      <c r="F15" s="122">
        <f>WORKDAY(F14,E15,Holiday!A11:A40)</f>
        <v>46283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2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t="s">
        <v>118</v>
      </c>
      <c r="C16" s="112" t="s">
        <v>78</v>
      </c>
      <c r="D16" s="86">
        <v>10</v>
      </c>
      <c r="E16" s="86">
        <f t="shared" si="0"/>
        <v>15</v>
      </c>
      <c r="F16" s="122">
        <f>WORKDAY(F15,E16,Holiday!A12:A41)</f>
        <v>46304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1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2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t="s">
        <v>194</v>
      </c>
      <c r="C17" s="112" t="s">
        <v>78</v>
      </c>
      <c r="D17" s="86">
        <v>10</v>
      </c>
      <c r="E17" s="86">
        <f t="shared" si="0"/>
        <v>15</v>
      </c>
      <c r="F17" s="122">
        <f>WORKDAY(F16,E17,Holiday!A13:A42)</f>
        <v>46325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1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2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t="s">
        <v>187</v>
      </c>
      <c r="C18" s="112" t="s">
        <v>78</v>
      </c>
      <c r="D18" s="86">
        <v>10</v>
      </c>
      <c r="E18" s="86">
        <f t="shared" si="0"/>
        <v>15</v>
      </c>
      <c r="F18" s="122">
        <f>WORKDAY(F17,E18,Holiday!A14:A43)</f>
        <v>46346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1</v>
      </c>
      <c r="Q18" s="113">
        <f>IF(OR(AND($F17&lt;=Q$3, $F18 &gt;= Q$3), AND($F18&lt;Q$3, WORKDAY($F18, 22,Holiday!$A$1:$A$30)&gt;Q$3)), 1, 0)+IF(AND((Q$3-$B$2)&gt;=0,(Q$3-$B$2)&lt;30), 2,0)</f>
        <v>1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2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t="s">
        <v>122</v>
      </c>
      <c r="C19" s="112" t="s">
        <v>78</v>
      </c>
      <c r="D19" s="111">
        <v>5</v>
      </c>
      <c r="E19" s="86">
        <f t="shared" si="0"/>
        <v>8</v>
      </c>
      <c r="F19" s="122">
        <f>WORKDAY(F18,E19,Holiday!A15:A44)</f>
        <v>46358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1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2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t="s">
        <v>138</v>
      </c>
      <c r="C20" s="112" t="s">
        <v>78</v>
      </c>
      <c r="D20" s="111">
        <v>5</v>
      </c>
      <c r="E20" s="86">
        <f t="shared" si="0"/>
        <v>8</v>
      </c>
      <c r="F20" s="122">
        <f>WORKDAY(F19,E20,Holiday!A16:A45)</f>
        <v>46370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1</v>
      </c>
      <c r="R20" s="113">
        <f>IF(OR(AND($F19&lt;=R$3, $F20 &gt;= R$3), AND($F20&lt;R$3, WORKDAY($F20, 22,Holiday!$A$1:$A$30)&gt;R$3)), 1, 0)+IF(AND((R$3-$B$2)&gt;=0,(R$3-$B$2)&lt;30), 2,0)</f>
        <v>1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2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t="s">
        <v>121</v>
      </c>
      <c r="C21" s="112" t="s">
        <v>78</v>
      </c>
      <c r="D21" s="111">
        <v>5</v>
      </c>
      <c r="E21" s="86">
        <f t="shared" si="0"/>
        <v>8</v>
      </c>
      <c r="F21" s="122">
        <f>WORKDAY(F20,E21,Holiday!A17:A46)</f>
        <v>46380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1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2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t="s">
        <v>137</v>
      </c>
      <c r="C22" s="112" t="s">
        <v>78</v>
      </c>
      <c r="D22" s="111">
        <v>5</v>
      </c>
      <c r="E22" s="86">
        <f t="shared" si="0"/>
        <v>8</v>
      </c>
      <c r="F22" s="122">
        <f>WORKDAY(F21,E22,Holiday!A18:A47)</f>
        <v>46392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1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2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t="s">
        <v>129</v>
      </c>
      <c r="C23" s="112" t="s">
        <v>78</v>
      </c>
      <c r="D23" s="111">
        <v>5</v>
      </c>
      <c r="E23" s="86">
        <f t="shared" si="0"/>
        <v>8</v>
      </c>
      <c r="F23" s="122">
        <f>WORKDAY(F22,E23,Holiday!A19:A48)</f>
        <v>46402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1</v>
      </c>
      <c r="S23" s="113">
        <f>IF(OR(AND($F22&lt;=S$3, $F23 &gt;= S$3), AND($F23&lt;S$3, WORKDAY($F23, 22,Holiday!$A$1:$A$30)&gt;S$3)), 1, 0)+IF(AND((S$3-$B$2)&gt;=0,(S$3-$B$2)&lt;30), 2,0)</f>
        <v>1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2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t="s">
        <v>139</v>
      </c>
      <c r="C24" s="112" t="s">
        <v>78</v>
      </c>
      <c r="D24" s="111">
        <v>5</v>
      </c>
      <c r="E24" s="86">
        <f t="shared" si="0"/>
        <v>8</v>
      </c>
      <c r="F24" s="122">
        <f>WORKDAY(F23,E24,Holiday!A20:A49)</f>
        <v>46414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1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2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t="s">
        <v>127</v>
      </c>
      <c r="C25" s="112" t="s">
        <v>78</v>
      </c>
      <c r="D25" s="111">
        <v>5</v>
      </c>
      <c r="E25" s="86">
        <f t="shared" si="0"/>
        <v>8</v>
      </c>
      <c r="F25" s="122">
        <f>WORKDAY(F24,E25,Holiday!A21:A50)</f>
        <v>46426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1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2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t="s">
        <v>123</v>
      </c>
      <c r="C26" s="112" t="s">
        <v>78</v>
      </c>
      <c r="D26" s="111">
        <v>5</v>
      </c>
      <c r="E26" s="86">
        <f t="shared" si="0"/>
        <v>8</v>
      </c>
      <c r="F26" s="122">
        <f>WORKDAY(F25,E26,Holiday!A22:A51)</f>
        <v>46436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1</v>
      </c>
      <c r="T26" s="113">
        <f>IF(OR(AND($F25&lt;=T$3, $F26 &gt;= T$3), AND($F26&lt;T$3, WORKDAY($F26, 22,Holiday!$A$1:$A$30)&gt;T$3)), 1, 0)+IF(AND((T$3-$B$2)&gt;=0,(T$3-$B$2)&lt;30), 2,0)</f>
        <v>1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2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t="s">
        <v>134</v>
      </c>
      <c r="C27" s="112" t="s">
        <v>78</v>
      </c>
      <c r="D27" s="111">
        <v>5</v>
      </c>
      <c r="E27" s="86">
        <f t="shared" si="0"/>
        <v>8</v>
      </c>
      <c r="F27" s="122">
        <f>WORKDAY(F26,E27,Holiday!A23:A52)</f>
        <v>46448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1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2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t="s">
        <v>136</v>
      </c>
      <c r="C28" s="112" t="s">
        <v>78</v>
      </c>
      <c r="D28" s="111">
        <v>5</v>
      </c>
      <c r="E28" s="86">
        <f t="shared" si="0"/>
        <v>8</v>
      </c>
      <c r="F28" s="122">
        <f>WORKDAY(F27,E28,Holiday!A24:A53)</f>
        <v>46458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1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2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t="s">
        <v>140</v>
      </c>
      <c r="C29" s="112" t="s">
        <v>78</v>
      </c>
      <c r="D29" s="111">
        <v>5</v>
      </c>
      <c r="E29" s="86">
        <f t="shared" si="0"/>
        <v>8</v>
      </c>
      <c r="F29" s="122">
        <f>WORKDAY(F28,E29,Holiday!A25:A54)</f>
        <v>46470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1</v>
      </c>
      <c r="U29" s="113">
        <f>IF(OR(AND($F28&lt;=U$3, $F29 &gt;= U$3), AND($F29&lt;U$3, WORKDAY($F29, 22,Holiday!$A$1:$A$30)&gt;U$3)), 1, 0)+IF(AND((U$3-$B$2)&gt;=0,(U$3-$B$2)&lt;30), 2,0)</f>
        <v>1</v>
      </c>
      <c r="V29" s="113">
        <f>IF(OR(AND($F28&lt;=V$3, $F29 &gt;= V$3), AND($F29&lt;V$3, WORKDAY($F29, 22,Holiday!$A$1:$A$30)&gt;V$3)), 1, 0)+IF(AND((V$3-$B$2)&gt;=0,(V$3-$B$2)&lt;30), 2,0)</f>
        <v>2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t="s">
        <v>133</v>
      </c>
      <c r="C30" s="112" t="s">
        <v>78</v>
      </c>
      <c r="D30" s="111">
        <v>5</v>
      </c>
      <c r="E30" s="86">
        <f t="shared" si="0"/>
        <v>8</v>
      </c>
      <c r="F30" s="122">
        <f>WORKDAY(F29,E30,Holiday!A26:A55)</f>
        <v>46482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1</v>
      </c>
      <c r="V30" s="113">
        <f>IF(OR(AND($F29&lt;=V$3, $F30 &gt;= V$3), AND($F30&lt;V$3, WORKDAY($F30, 22,Holiday!$A$1:$A$30)&gt;V$3)), 1, 0)+IF(AND((V$3-$B$2)&gt;=0,(V$3-$B$2)&lt;30), 2,0)</f>
        <v>2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t="s">
        <v>132</v>
      </c>
      <c r="C31" s="112" t="s">
        <v>78</v>
      </c>
      <c r="D31" s="111">
        <v>5</v>
      </c>
      <c r="E31" s="86">
        <f t="shared" si="0"/>
        <v>8</v>
      </c>
      <c r="F31" s="122">
        <f>WORKDAY(F30,E31,Holiday!A27:A56)</f>
        <v>46492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1</v>
      </c>
      <c r="V31" s="113">
        <f>IF(OR(AND($F30&lt;=V$3, $F31 &gt;= V$3), AND($F31&lt;V$3, WORKDAY($F31, 22,Holiday!$A$1:$A$30)&gt;V$3)), 1, 0)+IF(AND((V$3-$B$2)&gt;=0,(V$3-$B$2)&lt;30), 2,0)</f>
        <v>3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t="s">
        <v>130</v>
      </c>
      <c r="C32" s="112" t="s">
        <v>112</v>
      </c>
      <c r="D32" s="111">
        <v>5</v>
      </c>
      <c r="E32" s="86">
        <f t="shared" si="0"/>
        <v>8</v>
      </c>
      <c r="F32" s="122">
        <f>WORKDAY(F4,E32,Holiday!A28:A57)</f>
        <v>46063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1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2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t="s">
        <v>189</v>
      </c>
      <c r="C33" s="112" t="s">
        <v>112</v>
      </c>
      <c r="D33" s="111">
        <v>5</v>
      </c>
      <c r="E33" s="86">
        <f t="shared" si="0"/>
        <v>8</v>
      </c>
      <c r="F33" s="122">
        <f>WORKDAY(F32,E33,Holiday!A29:A58)</f>
        <v>46073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1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2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" x14ac:dyDescent="0.2">
      <c r="B34" t="s">
        <v>124</v>
      </c>
      <c r="C34" s="112" t="s">
        <v>112</v>
      </c>
      <c r="D34" s="111">
        <v>5</v>
      </c>
      <c r="E34" s="86">
        <f t="shared" si="0"/>
        <v>8</v>
      </c>
      <c r="F34" s="122">
        <f>WORKDAY(F33,E34,Holiday!A30:A59)</f>
        <v>46085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1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2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" x14ac:dyDescent="0.2">
      <c r="B35" t="s">
        <v>135</v>
      </c>
      <c r="C35" s="112" t="s">
        <v>112</v>
      </c>
      <c r="D35" s="111">
        <v>5</v>
      </c>
      <c r="E35" s="86">
        <f t="shared" si="0"/>
        <v>8</v>
      </c>
      <c r="F35" s="122">
        <f>WORKDAY(F34,E35,Holiday!A31:A60)</f>
        <v>46097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1</v>
      </c>
      <c r="I35" s="113">
        <f>IF(OR(AND($F34&lt;=I$3, $F35 &gt;= I$3), AND($F35&lt;I$3, WORKDAY($F35, 22,Holiday!$A$1:$A$30)&gt;I$3)), 1, 0)+IF(AND((I$3-$B$2)&gt;=0,(I$3-$B$2)&lt;30), 2,0)</f>
        <v>1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2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" x14ac:dyDescent="0.2">
      <c r="B36" t="s">
        <v>126</v>
      </c>
      <c r="C36" s="112" t="s">
        <v>112</v>
      </c>
      <c r="D36" s="111">
        <v>5</v>
      </c>
      <c r="E36" s="86">
        <f t="shared" si="0"/>
        <v>8</v>
      </c>
      <c r="F36" s="122">
        <f>WORKDAY(F35,E36,Holiday!A32:A61)</f>
        <v>46107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1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2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" x14ac:dyDescent="0.2">
      <c r="B37" t="s">
        <v>131</v>
      </c>
      <c r="C37" s="112" t="s">
        <v>112</v>
      </c>
      <c r="D37" s="111">
        <v>5</v>
      </c>
      <c r="E37" s="86">
        <f t="shared" si="0"/>
        <v>8</v>
      </c>
      <c r="F37" s="122">
        <f>WORKDAY(F36,E37,Holiday!A33:A62)</f>
        <v>46119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1</v>
      </c>
      <c r="J37" s="113">
        <f>IF(OR(AND($F36&lt;=J$3, $F37 &gt;= J$3), AND($F37&lt;J$3, WORKDAY($F37, 22,Holiday!$A$1:$A$30)&gt;J$3)), 1, 0)+IF(AND((J$3-$B$2)&gt;=0,(J$3-$B$2)&lt;30), 2,0)</f>
        <v>1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2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" x14ac:dyDescent="0.2">
      <c r="B38" t="s">
        <v>128</v>
      </c>
      <c r="C38" s="112" t="s">
        <v>112</v>
      </c>
      <c r="D38" s="111">
        <v>5</v>
      </c>
      <c r="E38" s="86">
        <f t="shared" si="0"/>
        <v>8</v>
      </c>
      <c r="F38" s="122">
        <f>WORKDAY(F37,E38,Holiday!A34:A63)</f>
        <v>46129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1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2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" x14ac:dyDescent="0.2">
      <c r="B39" t="s">
        <v>142</v>
      </c>
      <c r="C39" s="112" t="s">
        <v>112</v>
      </c>
      <c r="D39" s="111">
        <v>5</v>
      </c>
      <c r="E39" s="86">
        <f t="shared" si="0"/>
        <v>8</v>
      </c>
      <c r="F39" s="122">
        <f>WORKDAY(F38,E39,Holiday!A35:A64)</f>
        <v>46141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1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2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" x14ac:dyDescent="0.2">
      <c r="B40" t="s">
        <v>125</v>
      </c>
      <c r="C40" s="112" t="s">
        <v>112</v>
      </c>
      <c r="D40" s="111">
        <v>5</v>
      </c>
      <c r="E40" s="86">
        <f t="shared" si="0"/>
        <v>8</v>
      </c>
      <c r="F40" s="122">
        <f>WORKDAY(F39,E40,Holiday!A36:A65)</f>
        <v>46153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1</v>
      </c>
      <c r="K40" s="113">
        <f>IF(OR(AND($F39&lt;=K$3, $F40 &gt;= K$3), AND($F40&lt;K$3, WORKDAY($F40, 22,Holiday!$A$1:$A$30)&gt;K$3)), 1, 0)+IF(AND((K$3-$B$2)&gt;=0,(K$3-$B$2)&lt;30), 2,0)</f>
        <v>1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2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" x14ac:dyDescent="0.2">
      <c r="B41" t="s">
        <v>141</v>
      </c>
      <c r="C41" s="112" t="s">
        <v>112</v>
      </c>
      <c r="D41" s="111">
        <v>5</v>
      </c>
      <c r="E41" s="86">
        <f t="shared" si="0"/>
        <v>8</v>
      </c>
      <c r="F41" s="122">
        <f>WORKDAY(F40,E41,Holiday!A37:A66)</f>
        <v>46163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1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2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" x14ac:dyDescent="0.2">
      <c r="B42" t="s">
        <v>199</v>
      </c>
      <c r="C42" s="112" t="s">
        <v>112</v>
      </c>
      <c r="D42" s="111">
        <v>6</v>
      </c>
      <c r="E42" s="86">
        <f t="shared" si="0"/>
        <v>9</v>
      </c>
      <c r="F42" s="122">
        <f>WORKDAY(F41,E42,Holiday!A38:A67)</f>
        <v>46176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1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2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" x14ac:dyDescent="0.2">
      <c r="B43" t="s">
        <v>201</v>
      </c>
      <c r="C43" s="112" t="s">
        <v>112</v>
      </c>
      <c r="D43" s="111">
        <v>6</v>
      </c>
      <c r="E43" s="86">
        <f t="shared" si="0"/>
        <v>9</v>
      </c>
      <c r="F43" s="122">
        <f>WORKDAY(F42,E43,Holiday!A39:A68)</f>
        <v>46189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1</v>
      </c>
      <c r="L43" s="113">
        <f>IF(OR(AND($F42&lt;=L$3, $F43 &gt;= L$3), AND($F43&lt;L$3, WORKDAY($F43, 22,Holiday!$A$1:$A$30)&gt;L$3)), 1, 0)+IF(AND((L$3-$B$2)&gt;=0,(L$3-$B$2)&lt;30), 2,0)</f>
        <v>1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2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" x14ac:dyDescent="0.2">
      <c r="B44" t="s">
        <v>204</v>
      </c>
      <c r="C44" s="112" t="s">
        <v>112</v>
      </c>
      <c r="D44" s="111">
        <v>6</v>
      </c>
      <c r="E44" s="86">
        <f t="shared" si="0"/>
        <v>9</v>
      </c>
      <c r="F44" s="122">
        <f>WORKDAY(F43,E44,Holiday!A40:A69)</f>
        <v>46202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1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2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" x14ac:dyDescent="0.2">
      <c r="B45" t="s">
        <v>208</v>
      </c>
      <c r="C45" s="112" t="s">
        <v>112</v>
      </c>
      <c r="D45" s="111">
        <v>6</v>
      </c>
      <c r="E45" s="86">
        <f t="shared" si="0"/>
        <v>9</v>
      </c>
      <c r="F45" s="122">
        <f>WORKDAY(F44,E45,Holiday!A41:A70)</f>
        <v>46213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1</v>
      </c>
      <c r="M45" s="113">
        <f>IF(OR(AND($F44&lt;=M$3, $F45 &gt;= M$3), AND($F45&lt;M$3, WORKDAY($F45, 22,Holiday!$A$1:$A$30)&gt;M$3)), 1, 0)+IF(AND((M$3-$B$2)&gt;=0,(M$3-$B$2)&lt;30), 2,0)</f>
        <v>1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2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2:41" ht="15" x14ac:dyDescent="0.2">
      <c r="B46" t="s">
        <v>206</v>
      </c>
      <c r="C46" s="112" t="s">
        <v>112</v>
      </c>
      <c r="D46" s="111">
        <v>6</v>
      </c>
      <c r="E46" s="86">
        <f t="shared" si="0"/>
        <v>9</v>
      </c>
      <c r="F46" s="122">
        <f>WORKDAY(F45,E46,Holiday!A42:A71)</f>
        <v>46226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0</v>
      </c>
      <c r="M46" s="113">
        <f>IF(OR(AND($F45&lt;=M$3, $F46 &gt;= M$3), AND($F46&lt;M$3, WORKDAY($F46, 22,Holiday!$A$1:$A$30)&gt;M$3)), 1, 0)+IF(AND((M$3-$B$2)&gt;=0,(M$3-$B$2)&lt;30), 2,0)</f>
        <v>1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0</v>
      </c>
      <c r="R46" s="113">
        <f>IF(OR(AND($F45&lt;=R$3, $F46 &gt;= R$3), AND($F46&lt;R$3, WORKDAY($F46, 22,Holiday!$A$1:$A$30)&gt;R$3)), 1, 0)+IF(AND((R$3-$B$2)&gt;=0,(R$3-$B$2)&lt;30), 2,0)</f>
        <v>0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2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2:41" ht="15" x14ac:dyDescent="0.2">
      <c r="B47" t="s">
        <v>198</v>
      </c>
      <c r="C47" s="112" t="s">
        <v>112</v>
      </c>
      <c r="D47" s="111">
        <v>6</v>
      </c>
      <c r="E47" s="86">
        <f t="shared" si="0"/>
        <v>9</v>
      </c>
      <c r="F47" s="122">
        <f>WORKDAY(F46,E47,Holiday!A43:A72)</f>
        <v>46239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0</v>
      </c>
      <c r="M47" s="113">
        <f>IF(OR(AND($F46&lt;=M$3, $F47 &gt;= M$3), AND($F47&lt;M$3, WORKDAY($F47, 22,Holiday!$A$1:$A$30)&gt;M$3)), 1, 0)+IF(AND((M$3-$B$2)&gt;=0,(M$3-$B$2)&lt;30), 2,0)</f>
        <v>1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0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2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2:41" ht="15" x14ac:dyDescent="0.2">
      <c r="B48" t="s">
        <v>200</v>
      </c>
      <c r="C48" s="112" t="s">
        <v>112</v>
      </c>
      <c r="D48" s="111">
        <v>6</v>
      </c>
      <c r="E48" s="86">
        <f t="shared" si="0"/>
        <v>9</v>
      </c>
      <c r="F48" s="122">
        <f>WORKDAY(F47,E48,Holiday!A44:A73)</f>
        <v>46252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1</v>
      </c>
      <c r="N48" s="113">
        <f>IF(OR(AND($F47&lt;=N$3, $F48 &gt;= N$3), AND($F48&lt;N$3, WORKDAY($F48, 22,Holiday!$A$1:$A$30)&gt;N$3)), 1, 0)+IF(AND((N$3-$B$2)&gt;=0,(N$3-$B$2)&lt;30), 2,0)</f>
        <v>1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0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2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2:41" ht="15" x14ac:dyDescent="0.2">
      <c r="B49" t="s">
        <v>173</v>
      </c>
      <c r="C49" s="112" t="s">
        <v>112</v>
      </c>
      <c r="D49" s="111">
        <v>6</v>
      </c>
      <c r="E49" s="86">
        <f t="shared" si="0"/>
        <v>9</v>
      </c>
      <c r="F49" s="122">
        <f>WORKDAY(F48,E49,Holiday!A45:A74)</f>
        <v>46265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1</v>
      </c>
      <c r="O49" s="113">
        <f>IF(OR(AND($F48&lt;=O$3, $F49 &gt;= O$3), AND($F49&lt;O$3, WORKDAY($F49, 22,Holiday!$A$1:$A$30)&gt;O$3)), 1, 0)+IF(AND((O$3-$B$2)&gt;=0,(O$3-$B$2)&lt;30), 2,0)</f>
        <v>0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0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2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2:41" ht="15" x14ac:dyDescent="0.2">
      <c r="B50" t="s">
        <v>165</v>
      </c>
      <c r="C50" s="112" t="s">
        <v>112</v>
      </c>
      <c r="D50" s="111">
        <v>6</v>
      </c>
      <c r="E50" s="86">
        <f t="shared" si="0"/>
        <v>9</v>
      </c>
      <c r="F50" s="122">
        <f>WORKDAY(F49,E50,Holiday!A46:A75)</f>
        <v>46276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1</v>
      </c>
      <c r="O50" s="113">
        <f>IF(OR(AND($F49&lt;=O$3, $F50 &gt;= O$3), AND($F50&lt;O$3, WORKDAY($F50, 22,Holiday!$A$1:$A$30)&gt;O$3)), 1, 0)+IF(AND((O$3-$B$2)&gt;=0,(O$3-$B$2)&lt;30), 2,0)</f>
        <v>1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0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2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2:41" ht="15" x14ac:dyDescent="0.2">
      <c r="B51" t="s">
        <v>174</v>
      </c>
      <c r="C51" s="112" t="s">
        <v>112</v>
      </c>
      <c r="D51" s="111">
        <v>6</v>
      </c>
      <c r="E51" s="86">
        <f t="shared" si="0"/>
        <v>9</v>
      </c>
      <c r="F51" s="122">
        <f>WORKDAY(F50,E51,Holiday!A47:A76)</f>
        <v>46289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1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0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2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2:41" ht="15" x14ac:dyDescent="0.2">
      <c r="B52" t="s">
        <v>182</v>
      </c>
      <c r="C52" s="112" t="s">
        <v>112</v>
      </c>
      <c r="D52" s="111">
        <v>6</v>
      </c>
      <c r="E52" s="86">
        <f t="shared" si="0"/>
        <v>9</v>
      </c>
      <c r="F52" s="122">
        <f>WORKDAY(F51,E52,Holiday!A48:A77)</f>
        <v>46302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1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0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2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0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2:41" ht="15" x14ac:dyDescent="0.2">
      <c r="B53" t="s">
        <v>207</v>
      </c>
      <c r="C53" s="112" t="s">
        <v>112</v>
      </c>
      <c r="D53" s="111">
        <v>6</v>
      </c>
      <c r="E53" s="86">
        <f t="shared" si="0"/>
        <v>9</v>
      </c>
      <c r="F53" s="122">
        <f>WORKDAY(F52,E53,Holiday!A49:A78)</f>
        <v>46315</v>
      </c>
      <c r="G53" s="113">
        <f>IF(OR(AND($F52&lt;=G$3, $F53 &gt;= G$3), AND($F53&lt;G$3, WORKDAY($F53, 22,Holiday!$A$1:$A$30)&gt;G$3)), 1, 0)+IF(AND((G$3-$B$2)&gt;=0,(G$3-$B$2)&lt;30), 2,0)</f>
        <v>0</v>
      </c>
      <c r="H53" s="113">
        <f>IF(OR(AND($F52&lt;=H$3, $F53 &gt;= H$3), AND($F53&lt;H$3, WORKDAY($F53, 22,Holiday!$A$1:$A$30)&gt;H$3)), 1, 0)+IF(AND((H$3-$B$2)&gt;=0,(H$3-$B$2)&lt;30), 2,0)</f>
        <v>0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0</v>
      </c>
      <c r="L53" s="113">
        <f>IF(OR(AND($F52&lt;=L$3, $F53 &gt;= L$3), AND($F53&lt;L$3, WORKDAY($F53, 22,Holiday!$A$1:$A$30)&gt;L$3)), 1, 0)+IF(AND((L$3-$B$2)&gt;=0,(L$3-$B$2)&lt;30), 2,0)</f>
        <v>0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1</v>
      </c>
      <c r="P53" s="113">
        <f>IF(OR(AND($F52&lt;=P$3, $F53 &gt;= P$3), AND($F53&lt;P$3, WORKDAY($F53, 22,Holiday!$A$1:$A$30)&gt;P$3)), 1, 0)+IF(AND((P$3-$B$2)&gt;=0,(P$3-$B$2)&lt;30), 2,0)</f>
        <v>1</v>
      </c>
      <c r="Q53" s="113">
        <f>IF(OR(AND($F52&lt;=Q$3, $F53 &gt;= Q$3), AND($F53&lt;Q$3, WORKDAY($F53, 22,Holiday!$A$1:$A$30)&gt;Q$3)), 1, 0)+IF(AND((Q$3-$B$2)&gt;=0,(Q$3-$B$2)&lt;30), 2,0)</f>
        <v>0</v>
      </c>
      <c r="R53" s="113">
        <f>IF(OR(AND($F52&lt;=R$3, $F53 &gt;= R$3), AND($F53&lt;R$3, WORKDAY($F53, 22,Holiday!$A$1:$A$30)&gt;R$3)), 1, 0)+IF(AND((R$3-$B$2)&gt;=0,(R$3-$B$2)&lt;30), 2,0)</f>
        <v>0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0</v>
      </c>
      <c r="V53" s="113">
        <f>IF(OR(AND($F52&lt;=V$3, $F53 &gt;= V$3), AND($F53&lt;V$3, WORKDAY($F53, 22,Holiday!$A$1:$A$30)&gt;V$3)), 1, 0)+IF(AND((V$3-$B$2)&gt;=0,(V$3-$B$2)&lt;30), 2,0)</f>
        <v>2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0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</row>
    <row r="54" spans="2:41" ht="15" x14ac:dyDescent="0.2">
      <c r="B54" t="s">
        <v>205</v>
      </c>
      <c r="C54" s="112" t="s">
        <v>112</v>
      </c>
      <c r="D54" s="111">
        <v>6</v>
      </c>
      <c r="E54" s="86">
        <f t="shared" si="0"/>
        <v>9</v>
      </c>
      <c r="F54" s="122">
        <f>WORKDAY(F53,E54,Holiday!A50:A79)</f>
        <v>46328</v>
      </c>
      <c r="G54" s="113">
        <f>IF(OR(AND($F53&lt;=G$3, $F54 &gt;= G$3), AND($F54&lt;G$3, WORKDAY($F54, 22,Holiday!$A$1:$A$30)&gt;G$3)), 1, 0)+IF(AND((G$3-$B$2)&gt;=0,(G$3-$B$2)&lt;30), 2,0)</f>
        <v>0</v>
      </c>
      <c r="H54" s="113">
        <f>IF(OR(AND($F53&lt;=H$3, $F54 &gt;= H$3), AND($F54&lt;H$3, WORKDAY($F54, 22,Holiday!$A$1:$A$30)&gt;H$3)), 1, 0)+IF(AND((H$3-$B$2)&gt;=0,(H$3-$B$2)&lt;30), 2,0)</f>
        <v>0</v>
      </c>
      <c r="I54" s="113">
        <f>IF(OR(AND($F53&lt;=I$3, $F54 &gt;= I$3), AND($F54&lt;I$3, WORKDAY($F54, 22,Holiday!$A$1:$A$30)&gt;I$3)), 1, 0)+IF(AND((I$3-$B$2)&gt;=0,(I$3-$B$2)&lt;30), 2,0)</f>
        <v>0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0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0</v>
      </c>
      <c r="P54" s="113">
        <f>IF(OR(AND($F53&lt;=P$3, $F54 &gt;= P$3), AND($F54&lt;P$3, WORKDAY($F54, 22,Holiday!$A$1:$A$30)&gt;P$3)), 1, 0)+IF(AND((P$3-$B$2)&gt;=0,(P$3-$B$2)&lt;30), 2,0)</f>
        <v>1</v>
      </c>
      <c r="Q54" s="113">
        <f>IF(OR(AND($F53&lt;=Q$3, $F54 &gt;= Q$3), AND($F54&lt;Q$3, WORKDAY($F54, 22,Holiday!$A$1:$A$30)&gt;Q$3)), 1, 0)+IF(AND((Q$3-$B$2)&gt;=0,(Q$3-$B$2)&lt;30), 2,0)</f>
        <v>0</v>
      </c>
      <c r="R54" s="113">
        <f>IF(OR(AND($F53&lt;=R$3, $F54 &gt;= R$3), AND($F54&lt;R$3, WORKDAY($F54, 22,Holiday!$A$1:$A$30)&gt;R$3)), 1, 0)+IF(AND((R$3-$B$2)&gt;=0,(R$3-$B$2)&lt;30), 2,0)</f>
        <v>0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2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0</v>
      </c>
      <c r="AE54" s="113">
        <f>IF(OR(AND($F53&lt;=AE$3, $F54 &gt;= AE$3), AND($F54&lt;AE$3, WORKDAY($F54, 22,Holiday!$A$1:$A$30)&gt;AE$3)), 1, 0)+IF(AND((AE$3-$B$2)&gt;=0,(AE$3-$B$2)&lt;30), 2,0)</f>
        <v>0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</row>
    <row r="55" spans="2:41" ht="15" x14ac:dyDescent="0.2">
      <c r="B55" t="s">
        <v>186</v>
      </c>
      <c r="C55" s="112" t="s">
        <v>112</v>
      </c>
      <c r="D55" s="111">
        <v>6</v>
      </c>
      <c r="E55" s="86">
        <f t="shared" si="0"/>
        <v>9</v>
      </c>
      <c r="F55" s="122">
        <f>WORKDAY(F54,E55,Holiday!A51:A80)</f>
        <v>46339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0</v>
      </c>
      <c r="I55" s="113">
        <f>IF(OR(AND($F54&lt;=I$3, $F55 &gt;= I$3), AND($F55&lt;I$3, WORKDAY($F55, 22,Holiday!$A$1:$A$30)&gt;I$3)), 1, 0)+IF(AND((I$3-$B$2)&gt;=0,(I$3-$B$2)&lt;30), 2,0)</f>
        <v>0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1</v>
      </c>
      <c r="Q55" s="113">
        <f>IF(OR(AND($F54&lt;=Q$3, $F55 &gt;= Q$3), AND($F55&lt;Q$3, WORKDAY($F55, 22,Holiday!$A$1:$A$30)&gt;Q$3)), 1, 0)+IF(AND((Q$3-$B$2)&gt;=0,(Q$3-$B$2)&lt;30), 2,0)</f>
        <v>1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2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</row>
    <row r="56" spans="2:41" ht="15" x14ac:dyDescent="0.2">
      <c r="B56" t="s">
        <v>171</v>
      </c>
      <c r="C56" s="112" t="s">
        <v>112</v>
      </c>
      <c r="D56" s="111">
        <v>6</v>
      </c>
      <c r="E56" s="86">
        <f t="shared" si="0"/>
        <v>9</v>
      </c>
      <c r="F56" s="122">
        <f>WORKDAY(F55,E56,Holiday!A52:A81)</f>
        <v>46352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0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1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2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2:41" ht="15" x14ac:dyDescent="0.2">
      <c r="B57" t="s">
        <v>184</v>
      </c>
      <c r="C57" s="112" t="s">
        <v>112</v>
      </c>
      <c r="D57" s="111">
        <v>6</v>
      </c>
      <c r="E57" s="86">
        <f t="shared" si="0"/>
        <v>9</v>
      </c>
      <c r="F57" s="122">
        <f>WORKDAY(F56,E57,Holiday!A53:A82)</f>
        <v>46365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0</v>
      </c>
      <c r="J57" s="113">
        <f>IF(OR(AND($F56&lt;=J$3, $F57 &gt;= J$3), AND($F57&lt;J$3, WORKDAY($F57, 22,Holiday!$A$1:$A$30)&gt;J$3)), 1, 0)+IF(AND((J$3-$B$2)&gt;=0,(J$3-$B$2)&lt;30), 2,0)</f>
        <v>0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1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2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2:41" ht="15" x14ac:dyDescent="0.2">
      <c r="B58" t="s">
        <v>146</v>
      </c>
      <c r="C58" s="112" t="s">
        <v>112</v>
      </c>
      <c r="D58" s="111">
        <v>6</v>
      </c>
      <c r="E58" s="86">
        <f t="shared" si="0"/>
        <v>9</v>
      </c>
      <c r="F58" s="122">
        <f>WORKDAY(F57,E58,Holiday!A54:A83)</f>
        <v>46378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0</v>
      </c>
      <c r="J58" s="113">
        <f>IF(OR(AND($F57&lt;=J$3, $F58 &gt;= J$3), AND($F58&lt;J$3, WORKDAY($F58, 22,Holiday!$A$1:$A$30)&gt;J$3)), 1, 0)+IF(AND((J$3-$B$2)&gt;=0,(J$3-$B$2)&lt;30), 2,0)</f>
        <v>0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1</v>
      </c>
      <c r="R58" s="113">
        <f>IF(OR(AND($F57&lt;=R$3, $F58 &gt;= R$3), AND($F58&lt;R$3, WORKDAY($F58, 22,Holiday!$A$1:$A$30)&gt;R$3)), 1, 0)+IF(AND((R$3-$B$2)&gt;=0,(R$3-$B$2)&lt;30), 2,0)</f>
        <v>1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2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2:41" ht="15" x14ac:dyDescent="0.2">
      <c r="B59" t="s">
        <v>170</v>
      </c>
      <c r="C59" s="112" t="s">
        <v>112</v>
      </c>
      <c r="D59" s="111">
        <v>6</v>
      </c>
      <c r="E59" s="86">
        <f t="shared" si="0"/>
        <v>9</v>
      </c>
      <c r="F59" s="122">
        <f>WORKDAY(F58,E59,Holiday!A55:A84)</f>
        <v>46391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0</v>
      </c>
      <c r="K59" s="113">
        <f>IF(OR(AND($F58&lt;=K$3, $F59 &gt;= K$3), AND($F59&lt;K$3, WORKDAY($F59, 22,Holiday!$A$1:$A$30)&gt;K$3)), 1, 0)+IF(AND((K$3-$B$2)&gt;=0,(K$3-$B$2)&lt;30), 2,0)</f>
        <v>0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0</v>
      </c>
      <c r="R59" s="113">
        <f>IF(OR(AND($F58&lt;=R$3, $F59 &gt;= R$3), AND($F59&lt;R$3, WORKDAY($F59, 22,Holiday!$A$1:$A$30)&gt;R$3)), 1, 0)+IF(AND((R$3-$B$2)&gt;=0,(R$3-$B$2)&lt;30), 2,0)</f>
        <v>1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2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2:41" ht="15" x14ac:dyDescent="0.2">
      <c r="B60" t="s">
        <v>169</v>
      </c>
      <c r="C60" s="112" t="s">
        <v>112</v>
      </c>
      <c r="D60" s="111">
        <v>6</v>
      </c>
      <c r="E60" s="86">
        <f t="shared" si="0"/>
        <v>9</v>
      </c>
      <c r="F60" s="122">
        <f>WORKDAY(F59,E60,Holiday!A56:A85)</f>
        <v>46402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0</v>
      </c>
      <c r="K60" s="113">
        <f>IF(OR(AND($F59&lt;=K$3, $F60 &gt;= K$3), AND($F60&lt;K$3, WORKDAY($F60, 22,Holiday!$A$1:$A$30)&gt;K$3)), 1, 0)+IF(AND((K$3-$B$2)&gt;=0,(K$3-$B$2)&lt;30), 2,0)</f>
        <v>0</v>
      </c>
      <c r="L60" s="113">
        <f>IF(OR(AND($F59&lt;=L$3, $F60 &gt;= L$3), AND($F60&lt;L$3, WORKDAY($F60, 22,Holiday!$A$1:$A$30)&gt;L$3)), 1, 0)+IF(AND((L$3-$B$2)&gt;=0,(L$3-$B$2)&lt;30), 2,0)</f>
        <v>0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0</v>
      </c>
      <c r="R60" s="113">
        <f>IF(OR(AND($F59&lt;=R$3, $F60 &gt;= R$3), AND($F60&lt;R$3, WORKDAY($F60, 22,Holiday!$A$1:$A$30)&gt;R$3)), 1, 0)+IF(AND((R$3-$B$2)&gt;=0,(R$3-$B$2)&lt;30), 2,0)</f>
        <v>1</v>
      </c>
      <c r="S60" s="113">
        <f>IF(OR(AND($F59&lt;=S$3, $F60 &gt;= S$3), AND($F60&lt;S$3, WORKDAY($F60, 22,Holiday!$A$1:$A$30)&gt;S$3)), 1, 0)+IF(AND((S$3-$B$2)&gt;=0,(S$3-$B$2)&lt;30), 2,0)</f>
        <v>1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2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2:41" ht="15" x14ac:dyDescent="0.2">
      <c r="B61" t="s">
        <v>178</v>
      </c>
      <c r="C61" s="112" t="s">
        <v>112</v>
      </c>
      <c r="D61" s="111">
        <v>6</v>
      </c>
      <c r="E61" s="86">
        <f t="shared" si="0"/>
        <v>9</v>
      </c>
      <c r="F61" s="122">
        <f>WORKDAY(F60,E61,Holiday!A57:A86)</f>
        <v>46415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0</v>
      </c>
      <c r="L61" s="113">
        <f>IF(OR(AND($F60&lt;=L$3, $F61 &gt;= L$3), AND($F61&lt;L$3, WORKDAY($F61, 22,Holiday!$A$1:$A$30)&gt;L$3)), 1, 0)+IF(AND((L$3-$B$2)&gt;=0,(L$3-$B$2)&lt;30), 2,0)</f>
        <v>0</v>
      </c>
      <c r="M61" s="113">
        <f>IF(OR(AND($F60&lt;=M$3, $F61 &gt;= M$3), AND($F61&lt;M$3, WORKDAY($F61, 22,Holiday!$A$1:$A$30)&gt;M$3)), 1, 0)+IF(AND((M$3-$B$2)&gt;=0,(M$3-$B$2)&lt;30), 2,0)</f>
        <v>0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0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1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2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2:41" ht="15" x14ac:dyDescent="0.2">
      <c r="B62" t="s">
        <v>145</v>
      </c>
      <c r="C62" s="112" t="s">
        <v>112</v>
      </c>
      <c r="D62" s="111">
        <v>6</v>
      </c>
      <c r="E62" s="86">
        <f t="shared" si="0"/>
        <v>9</v>
      </c>
      <c r="F62" s="122">
        <f>WORKDAY(F61,E62,Holiday!A58:A87)</f>
        <v>46428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0</v>
      </c>
      <c r="L62" s="113">
        <f>IF(OR(AND($F61&lt;=L$3, $F62 &gt;= L$3), AND($F62&lt;L$3, WORKDAY($F62, 22,Holiday!$A$1:$A$30)&gt;L$3)), 1, 0)+IF(AND((L$3-$B$2)&gt;=0,(L$3-$B$2)&lt;30), 2,0)</f>
        <v>0</v>
      </c>
      <c r="M62" s="113">
        <f>IF(OR(AND($F61&lt;=M$3, $F62 &gt;= M$3), AND($F62&lt;M$3, WORKDAY($F62, 22,Holiday!$A$1:$A$30)&gt;M$3)), 1, 0)+IF(AND((M$3-$B$2)&gt;=0,(M$3-$B$2)&lt;30), 2,0)</f>
        <v>0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0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1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2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2:41" ht="15" x14ac:dyDescent="0.2">
      <c r="B63" t="s">
        <v>143</v>
      </c>
      <c r="C63" s="112" t="s">
        <v>112</v>
      </c>
      <c r="D63" s="111">
        <v>6</v>
      </c>
      <c r="E63" s="86">
        <f t="shared" si="0"/>
        <v>9</v>
      </c>
      <c r="F63" s="122">
        <f>WORKDAY(F62,E63,Holiday!A59:A88)</f>
        <v>46441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0</v>
      </c>
      <c r="L63" s="113">
        <f>IF(OR(AND($F62&lt;=L$3, $F63 &gt;= L$3), AND($F63&lt;L$3, WORKDAY($F63, 22,Holiday!$A$1:$A$30)&gt;L$3)), 1, 0)+IF(AND((L$3-$B$2)&gt;=0,(L$3-$B$2)&lt;30), 2,0)</f>
        <v>0</v>
      </c>
      <c r="M63" s="113">
        <f>IF(OR(AND($F62&lt;=M$3, $F63 &gt;= M$3), AND($F63&lt;M$3, WORKDAY($F63, 22,Holiday!$A$1:$A$30)&gt;M$3)), 1, 0)+IF(AND((M$3-$B$2)&gt;=0,(M$3-$B$2)&lt;30), 2,0)</f>
        <v>0</v>
      </c>
      <c r="N63" s="113">
        <f>IF(OR(AND($F62&lt;=N$3, $F63 &gt;= N$3), AND($F63&lt;N$3, WORKDAY($F63, 22,Holiday!$A$1:$A$30)&gt;N$3)), 1, 0)+IF(AND((N$3-$B$2)&gt;=0,(N$3-$B$2)&lt;30), 2,0)</f>
        <v>0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0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1</v>
      </c>
      <c r="T63" s="113">
        <f>IF(OR(AND($F62&lt;=T$3, $F63 &gt;= T$3), AND($F63&lt;T$3, WORKDAY($F63, 22,Holiday!$A$1:$A$30)&gt;T$3)), 1, 0)+IF(AND((T$3-$B$2)&gt;=0,(T$3-$B$2)&lt;30), 2,0)</f>
        <v>1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2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2:41" ht="15" x14ac:dyDescent="0.2">
      <c r="B64" t="s">
        <v>144</v>
      </c>
      <c r="C64" s="112" t="s">
        <v>112</v>
      </c>
      <c r="D64" s="111">
        <v>6</v>
      </c>
      <c r="E64" s="86">
        <f t="shared" si="0"/>
        <v>9</v>
      </c>
      <c r="F64" s="122">
        <f>WORKDAY(F63,E64,Holiday!A60:A89)</f>
        <v>46454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0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0</v>
      </c>
      <c r="O64" s="113">
        <f>IF(OR(AND($F63&lt;=O$3, $F64 &gt;= O$3), AND($F64&lt;O$3, WORKDAY($F64, 22,Holiday!$A$1:$A$30)&gt;O$3)), 1, 0)+IF(AND((O$3-$B$2)&gt;=0,(O$3-$B$2)&lt;30), 2,0)</f>
        <v>0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0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1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2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2:41" ht="15" x14ac:dyDescent="0.2">
      <c r="B65" t="s">
        <v>159</v>
      </c>
      <c r="C65" s="112" t="s">
        <v>112</v>
      </c>
      <c r="D65" s="111">
        <v>6</v>
      </c>
      <c r="E65" s="86">
        <f t="shared" si="0"/>
        <v>9</v>
      </c>
      <c r="F65" s="122">
        <f>WORKDAY(F64,E65,Holiday!A61:A90)</f>
        <v>46465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0</v>
      </c>
      <c r="M65" s="113">
        <f>IF(OR(AND($F64&lt;=M$3, $F65 &gt;= M$3), AND($F65&lt;M$3, WORKDAY($F65, 22,Holiday!$A$1:$A$30)&gt;M$3)), 1, 0)+IF(AND((M$3-$B$2)&gt;=0,(M$3-$B$2)&lt;30), 2,0)</f>
        <v>0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0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0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1</v>
      </c>
      <c r="U65" s="113">
        <f>IF(OR(AND($F64&lt;=U$3, $F65 &gt;= U$3), AND($F65&lt;U$3, WORKDAY($F65, 22,Holiday!$A$1:$A$30)&gt;U$3)), 1, 0)+IF(AND((U$3-$B$2)&gt;=0,(U$3-$B$2)&lt;30), 2,0)</f>
        <v>1</v>
      </c>
      <c r="V65" s="113">
        <f>IF(OR(AND($F64&lt;=V$3, $F65 &gt;= V$3), AND($F65&lt;V$3, WORKDAY($F65, 22,Holiday!$A$1:$A$30)&gt;V$3)), 1, 0)+IF(AND((V$3-$B$2)&gt;=0,(V$3-$B$2)&lt;30), 2,0)</f>
        <v>2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2:41" ht="15" x14ac:dyDescent="0.2">
      <c r="B66" t="s">
        <v>156</v>
      </c>
      <c r="C66" s="112" t="s">
        <v>112</v>
      </c>
      <c r="D66" s="111">
        <v>6</v>
      </c>
      <c r="E66" s="86">
        <f t="shared" si="0"/>
        <v>9</v>
      </c>
      <c r="F66" s="122">
        <f>WORKDAY(F65,E66,Holiday!A62:A91)</f>
        <v>46478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0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0</v>
      </c>
      <c r="P66" s="113">
        <f>IF(OR(AND($F65&lt;=P$3, $F66 &gt;= P$3), AND($F66&lt;P$3, WORKDAY($F66, 22,Holiday!$A$1:$A$30)&gt;P$3)), 1, 0)+IF(AND((P$3-$B$2)&gt;=0,(P$3-$B$2)&lt;30), 2,0)</f>
        <v>0</v>
      </c>
      <c r="Q66" s="113">
        <f>IF(OR(AND($F65&lt;=Q$3, $F66 &gt;= Q$3), AND($F66&lt;Q$3, WORKDAY($F66, 22,Holiday!$A$1:$A$30)&gt;Q$3)), 1, 0)+IF(AND((Q$3-$B$2)&gt;=0,(Q$3-$B$2)&lt;30), 2,0)</f>
        <v>0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1</v>
      </c>
      <c r="V66" s="113">
        <f>IF(OR(AND($F65&lt;=V$3, $F66 &gt;= V$3), AND($F66&lt;V$3, WORKDAY($F66, 22,Holiday!$A$1:$A$30)&gt;V$3)), 1, 0)+IF(AND((V$3-$B$2)&gt;=0,(V$3-$B$2)&lt;30), 2,0)</f>
        <v>2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2:41" ht="15" x14ac:dyDescent="0.2">
      <c r="B67" t="s">
        <v>179</v>
      </c>
      <c r="C67" s="112" t="s">
        <v>112</v>
      </c>
      <c r="D67" s="111">
        <v>6</v>
      </c>
      <c r="E67" s="86">
        <f t="shared" si="0"/>
        <v>9</v>
      </c>
      <c r="F67" s="122">
        <f>WORKDAY(F66,E67,Holiday!A63:A92)</f>
        <v>46491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0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0</v>
      </c>
      <c r="Q67" s="113">
        <f>IF(OR(AND($F66&lt;=Q$3, $F67 &gt;= Q$3), AND($F67&lt;Q$3, WORKDAY($F67, 22,Holiday!$A$1:$A$30)&gt;Q$3)), 1, 0)+IF(AND((Q$3-$B$2)&gt;=0,(Q$3-$B$2)&lt;30), 2,0)</f>
        <v>0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1</v>
      </c>
      <c r="V67" s="113">
        <f>IF(OR(AND($F66&lt;=V$3, $F67 &gt;= V$3), AND($F67&lt;V$3, WORKDAY($F67, 22,Holiday!$A$1:$A$30)&gt;V$3)), 1, 0)+IF(AND((V$3-$B$2)&gt;=0,(V$3-$B$2)&lt;30), 2,0)</f>
        <v>3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2:41" ht="15" x14ac:dyDescent="0.2">
      <c r="B68" t="s">
        <v>202</v>
      </c>
      <c r="C68" s="112" t="s">
        <v>113</v>
      </c>
      <c r="D68" s="111">
        <v>6</v>
      </c>
      <c r="E68" s="86">
        <f t="shared" si="0"/>
        <v>9</v>
      </c>
      <c r="F68" s="122">
        <f>WORKDAY(F4,E68,Holiday!A64:A93)</f>
        <v>46064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1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0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0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2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2:41" ht="15" x14ac:dyDescent="0.2">
      <c r="B69" t="s">
        <v>180</v>
      </c>
      <c r="C69" s="112" t="s">
        <v>113</v>
      </c>
      <c r="D69" s="111">
        <v>6</v>
      </c>
      <c r="E69" s="86">
        <f t="shared" si="0"/>
        <v>9</v>
      </c>
      <c r="F69" s="122">
        <f>WORKDAY(F68,E69,Holiday!A65:A94)</f>
        <v>46077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1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0</v>
      </c>
      <c r="O69" s="113">
        <f>IF(OR(AND($F68&lt;=O$3, $F69 &gt;= O$3), AND($F69&lt;O$3, WORKDAY($F69, 22,Holiday!$A$1:$A$30)&gt;O$3)), 1, 0)+IF(AND((O$3-$B$2)&gt;=0,(O$3-$B$2)&lt;30), 2,0)</f>
        <v>0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0</v>
      </c>
      <c r="R69" s="113">
        <f>IF(OR(AND($F68&lt;=R$3, $F69 &gt;= R$3), AND($F69&lt;R$3, WORKDAY($F69, 22,Holiday!$A$1:$A$30)&gt;R$3)), 1, 0)+IF(AND((R$3-$B$2)&gt;=0,(R$3-$B$2)&lt;30), 2,0)</f>
        <v>0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2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2:41" ht="15" x14ac:dyDescent="0.2">
      <c r="B70" t="s">
        <v>175</v>
      </c>
      <c r="C70" s="112" t="s">
        <v>113</v>
      </c>
      <c r="D70" s="111">
        <v>6</v>
      </c>
      <c r="E70" s="86">
        <f t="shared" ref="E70:E103" si="1">ROUNDUP(D70*(1+$D$2),0)</f>
        <v>9</v>
      </c>
      <c r="F70" s="122">
        <f>WORKDAY(F69,E70,Holiday!A66:A95)</f>
        <v>46090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1</v>
      </c>
      <c r="I70" s="113">
        <f>IF(OR(AND($F69&lt;=I$3, $F70 &gt;= I$3), AND($F70&lt;I$3, WORKDAY($F70, 22,Holiday!$A$1:$A$30)&gt;I$3)), 1, 0)+IF(AND((I$3-$B$2)&gt;=0,(I$3-$B$2)&lt;30), 2,0)</f>
        <v>1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0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0</v>
      </c>
      <c r="R70" s="113">
        <f>IF(OR(AND($F69&lt;=R$3, $F70 &gt;= R$3), AND($F70&lt;R$3, WORKDAY($F70, 22,Holiday!$A$1:$A$30)&gt;R$3)), 1, 0)+IF(AND((R$3-$B$2)&gt;=0,(R$3-$B$2)&lt;30), 2,0)</f>
        <v>0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2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2:41" ht="15" x14ac:dyDescent="0.2">
      <c r="B71" t="s">
        <v>161</v>
      </c>
      <c r="C71" s="112" t="s">
        <v>113</v>
      </c>
      <c r="D71" s="111">
        <v>6</v>
      </c>
      <c r="E71" s="86">
        <f t="shared" si="1"/>
        <v>9</v>
      </c>
      <c r="F71" s="122">
        <f>WORKDAY(F70,E71,Holiday!A67:A96)</f>
        <v>46101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1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0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0</v>
      </c>
      <c r="R71" s="113">
        <f>IF(OR(AND($F70&lt;=R$3, $F71 &gt;= R$3), AND($F71&lt;R$3, WORKDAY($F71, 22,Holiday!$A$1:$A$30)&gt;R$3)), 1, 0)+IF(AND((R$3-$B$2)&gt;=0,(R$3-$B$2)&lt;30), 2,0)</f>
        <v>0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2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2:41" ht="15" x14ac:dyDescent="0.2">
      <c r="B72" t="s">
        <v>172</v>
      </c>
      <c r="C72" s="112" t="s">
        <v>113</v>
      </c>
      <c r="D72" s="111">
        <v>6</v>
      </c>
      <c r="E72" s="86">
        <f t="shared" si="1"/>
        <v>9</v>
      </c>
      <c r="F72" s="122">
        <f>WORKDAY(F71,E72,Holiday!A68:A97)</f>
        <v>46114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0</v>
      </c>
      <c r="I72" s="113">
        <f>IF(OR(AND($F71&lt;=I$3, $F72 &gt;= I$3), AND($F72&lt;I$3, WORKDAY($F72, 22,Holiday!$A$1:$A$30)&gt;I$3)), 1, 0)+IF(AND((I$3-$B$2)&gt;=0,(I$3-$B$2)&lt;30), 2,0)</f>
        <v>1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0</v>
      </c>
      <c r="P72" s="113">
        <f>IF(OR(AND($F71&lt;=P$3, $F72 &gt;= P$3), AND($F72&lt;P$3, WORKDAY($F72, 22,Holiday!$A$1:$A$30)&gt;P$3)), 1, 0)+IF(AND((P$3-$B$2)&gt;=0,(P$3-$B$2)&lt;30), 2,0)</f>
        <v>0</v>
      </c>
      <c r="Q72" s="113">
        <f>IF(OR(AND($F71&lt;=Q$3, $F72 &gt;= Q$3), AND($F72&lt;Q$3, WORKDAY($F72, 22,Holiday!$A$1:$A$30)&gt;Q$3)), 1, 0)+IF(AND((Q$3-$B$2)&gt;=0,(Q$3-$B$2)&lt;30), 2,0)</f>
        <v>0</v>
      </c>
      <c r="R72" s="113">
        <f>IF(OR(AND($F71&lt;=R$3, $F72 &gt;= R$3), AND($F72&lt;R$3, WORKDAY($F72, 22,Holiday!$A$1:$A$30)&gt;R$3)), 1, 0)+IF(AND((R$3-$B$2)&gt;=0,(R$3-$B$2)&lt;30), 2,0)</f>
        <v>0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2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2:41" ht="15" x14ac:dyDescent="0.2">
      <c r="B73" t="s">
        <v>209</v>
      </c>
      <c r="C73" s="112" t="s">
        <v>113</v>
      </c>
      <c r="D73" s="111">
        <v>6</v>
      </c>
      <c r="E73" s="86">
        <f t="shared" si="1"/>
        <v>9</v>
      </c>
      <c r="F73" s="122">
        <f>WORKDAY(F72,E73,Holiday!A69:A98)</f>
        <v>46127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0</v>
      </c>
      <c r="I73" s="113">
        <f>IF(OR(AND($F72&lt;=I$3, $F73 &gt;= I$3), AND($F73&lt;I$3, WORKDAY($F73, 22,Holiday!$A$1:$A$30)&gt;I$3)), 1, 0)+IF(AND((I$3-$B$2)&gt;=0,(I$3-$B$2)&lt;30), 2,0)</f>
        <v>1</v>
      </c>
      <c r="J73" s="113">
        <f>IF(OR(AND($F72&lt;=J$3, $F73 &gt;= J$3), AND($F73&lt;J$3, WORKDAY($F73, 22,Holiday!$A$1:$A$30)&gt;J$3)), 1, 0)+IF(AND((J$3-$B$2)&gt;=0,(J$3-$B$2)&lt;30), 2,0)</f>
        <v>1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0</v>
      </c>
      <c r="Q73" s="113">
        <f>IF(OR(AND($F72&lt;=Q$3, $F73 &gt;= Q$3), AND($F73&lt;Q$3, WORKDAY($F73, 22,Holiday!$A$1:$A$30)&gt;Q$3)), 1, 0)+IF(AND((Q$3-$B$2)&gt;=0,(Q$3-$B$2)&lt;30), 2,0)</f>
        <v>0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2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2:41" ht="15" x14ac:dyDescent="0.2">
      <c r="B74" t="s">
        <v>163</v>
      </c>
      <c r="C74" s="112" t="s">
        <v>113</v>
      </c>
      <c r="D74" s="111">
        <v>6</v>
      </c>
      <c r="E74" s="86">
        <f t="shared" si="1"/>
        <v>9</v>
      </c>
      <c r="F74" s="122">
        <f>WORKDAY(F73,E74,Holiday!A70:A99)</f>
        <v>46140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0</v>
      </c>
      <c r="I74" s="113">
        <f>IF(OR(AND($F73&lt;=I$3, $F74 &gt;= I$3), AND($F74&lt;I$3, WORKDAY($F74, 22,Holiday!$A$1:$A$30)&gt;I$3)), 1, 0)+IF(AND((I$3-$B$2)&gt;=0,(I$3-$B$2)&lt;30), 2,0)</f>
        <v>0</v>
      </c>
      <c r="J74" s="113">
        <f>IF(OR(AND($F73&lt;=J$3, $F74 &gt;= J$3), AND($F74&lt;J$3, WORKDAY($F74, 22,Holiday!$A$1:$A$30)&gt;J$3)), 1, 0)+IF(AND((J$3-$B$2)&gt;=0,(J$3-$B$2)&lt;30), 2,0)</f>
        <v>1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0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2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2:41" ht="15" x14ac:dyDescent="0.2">
      <c r="B75" t="s">
        <v>211</v>
      </c>
      <c r="C75" s="112" t="s">
        <v>113</v>
      </c>
      <c r="D75" s="111">
        <v>6</v>
      </c>
      <c r="E75" s="86">
        <f t="shared" si="1"/>
        <v>9</v>
      </c>
      <c r="F75" s="122">
        <f>WORKDAY(F74,E75,Holiday!A71:A100)</f>
        <v>46153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0</v>
      </c>
      <c r="J75" s="113">
        <f>IF(OR(AND($F74&lt;=J$3, $F75 &gt;= J$3), AND($F75&lt;J$3, WORKDAY($F75, 22,Holiday!$A$1:$A$30)&gt;J$3)), 1, 0)+IF(AND((J$3-$B$2)&gt;=0,(J$3-$B$2)&lt;30), 2,0)</f>
        <v>1</v>
      </c>
      <c r="K75" s="113">
        <f>IF(OR(AND($F74&lt;=K$3, $F75 &gt;= K$3), AND($F75&lt;K$3, WORKDAY($F75, 22,Holiday!$A$1:$A$30)&gt;K$3)), 1, 0)+IF(AND((K$3-$B$2)&gt;=0,(K$3-$B$2)&lt;30), 2,0)</f>
        <v>1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0</v>
      </c>
      <c r="R75" s="113">
        <f>IF(OR(AND($F74&lt;=R$3, $F75 &gt;= R$3), AND($F75&lt;R$3, WORKDAY($F75, 22,Holiday!$A$1:$A$30)&gt;R$3)), 1, 0)+IF(AND((R$3-$B$2)&gt;=0,(R$3-$B$2)&lt;30), 2,0)</f>
        <v>0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2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2:41" ht="15" x14ac:dyDescent="0.2">
      <c r="B76" t="s">
        <v>210</v>
      </c>
      <c r="C76" s="112" t="s">
        <v>113</v>
      </c>
      <c r="D76" s="111">
        <v>6</v>
      </c>
      <c r="E76" s="86">
        <f t="shared" si="1"/>
        <v>9</v>
      </c>
      <c r="F76" s="122">
        <f>WORKDAY(F75,E76,Holiday!A72:A101)</f>
        <v>46164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0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1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0</v>
      </c>
      <c r="R76" s="113">
        <f>IF(OR(AND($F75&lt;=R$3, $F76 &gt;= R$3), AND($F76&lt;R$3, WORKDAY($F76, 22,Holiday!$A$1:$A$30)&gt;R$3)), 1, 0)+IF(AND((R$3-$B$2)&gt;=0,(R$3-$B$2)&lt;30), 2,0)</f>
        <v>0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2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2:41" ht="15" x14ac:dyDescent="0.2">
      <c r="B77" t="s">
        <v>203</v>
      </c>
      <c r="C77" s="112" t="s">
        <v>113</v>
      </c>
      <c r="D77" s="111">
        <v>6</v>
      </c>
      <c r="E77" s="86">
        <f t="shared" si="1"/>
        <v>9</v>
      </c>
      <c r="F77" s="122">
        <f>WORKDAY(F76,E77,Holiday!A73:A102)</f>
        <v>46177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0</v>
      </c>
      <c r="J77" s="113">
        <f>IF(OR(AND($F76&lt;=J$3, $F77 &gt;= J$3), AND($F77&lt;J$3, WORKDAY($F77, 22,Holiday!$A$1:$A$30)&gt;J$3)), 1, 0)+IF(AND((J$3-$B$2)&gt;=0,(J$3-$B$2)&lt;30), 2,0)</f>
        <v>0</v>
      </c>
      <c r="K77" s="113">
        <f>IF(OR(AND($F76&lt;=K$3, $F77 &gt;= K$3), AND($F77&lt;K$3, WORKDAY($F77, 22,Holiday!$A$1:$A$30)&gt;K$3)), 1, 0)+IF(AND((K$3-$B$2)&gt;=0,(K$3-$B$2)&lt;30), 2,0)</f>
        <v>1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0</v>
      </c>
      <c r="R77" s="113">
        <f>IF(OR(AND($F76&lt;=R$3, $F77 &gt;= R$3), AND($F77&lt;R$3, WORKDAY($F77, 22,Holiday!$A$1:$A$30)&gt;R$3)), 1, 0)+IF(AND((R$3-$B$2)&gt;=0,(R$3-$B$2)&lt;30), 2,0)</f>
        <v>0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2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2:41" ht="15" x14ac:dyDescent="0.2">
      <c r="B78" t="s">
        <v>160</v>
      </c>
      <c r="C78" s="112" t="s">
        <v>113</v>
      </c>
      <c r="D78" s="111">
        <v>6</v>
      </c>
      <c r="E78" s="86">
        <f t="shared" si="1"/>
        <v>9</v>
      </c>
      <c r="F78" s="122">
        <f>WORKDAY(F77,E78,Holiday!A74:A103)</f>
        <v>46190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0</v>
      </c>
      <c r="K78" s="113">
        <f>IF(OR(AND($F77&lt;=K$3, $F78 &gt;= K$3), AND($F78&lt;K$3, WORKDAY($F78, 22,Holiday!$A$1:$A$30)&gt;K$3)), 1, 0)+IF(AND((K$3-$B$2)&gt;=0,(K$3-$B$2)&lt;30), 2,0)</f>
        <v>1</v>
      </c>
      <c r="L78" s="113">
        <f>IF(OR(AND($F77&lt;=L$3, $F78 &gt;= L$3), AND($F78&lt;L$3, WORKDAY($F78, 22,Holiday!$A$1:$A$30)&gt;L$3)), 1, 0)+IF(AND((L$3-$B$2)&gt;=0,(L$3-$B$2)&lt;30), 2,0)</f>
        <v>1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0</v>
      </c>
      <c r="R78" s="113">
        <f>IF(OR(AND($F77&lt;=R$3, $F78 &gt;= R$3), AND($F78&lt;R$3, WORKDAY($F78, 22,Holiday!$A$1:$A$30)&gt;R$3)), 1, 0)+IF(AND((R$3-$B$2)&gt;=0,(R$3-$B$2)&lt;30), 2,0)</f>
        <v>0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2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2:41" ht="15" x14ac:dyDescent="0.2">
      <c r="B79" t="s">
        <v>158</v>
      </c>
      <c r="C79" s="112" t="s">
        <v>113</v>
      </c>
      <c r="D79" s="111">
        <v>6</v>
      </c>
      <c r="E79" s="86">
        <f t="shared" si="1"/>
        <v>9</v>
      </c>
      <c r="F79" s="122">
        <f>WORKDAY(F78,E79,Holiday!A75:A104)</f>
        <v>46203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0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1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0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2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2:41" ht="15" x14ac:dyDescent="0.2">
      <c r="B80" t="s">
        <v>157</v>
      </c>
      <c r="C80" s="112" t="s">
        <v>113</v>
      </c>
      <c r="D80" s="111">
        <v>6</v>
      </c>
      <c r="E80" s="86">
        <f t="shared" si="1"/>
        <v>9</v>
      </c>
      <c r="F80" s="122">
        <f>WORKDAY(F79,E80,Holiday!A76:A105)</f>
        <v>46216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0</v>
      </c>
      <c r="K80" s="113">
        <f>IF(OR(AND($F79&lt;=K$3, $F80 &gt;= K$3), AND($F80&lt;K$3, WORKDAY($F80, 22,Holiday!$A$1:$A$30)&gt;K$3)), 1, 0)+IF(AND((K$3-$B$2)&gt;=0,(K$3-$B$2)&lt;30), 2,0)</f>
        <v>0</v>
      </c>
      <c r="L80" s="113">
        <f>IF(OR(AND($F79&lt;=L$3, $F80 &gt;= L$3), AND($F80&lt;L$3, WORKDAY($F80, 22,Holiday!$A$1:$A$30)&gt;L$3)), 1, 0)+IF(AND((L$3-$B$2)&gt;=0,(L$3-$B$2)&lt;30), 2,0)</f>
        <v>1</v>
      </c>
      <c r="M80" s="113">
        <f>IF(OR(AND($F79&lt;=M$3, $F80 &gt;= M$3), AND($F80&lt;M$3, WORKDAY($F80, 22,Holiday!$A$1:$A$30)&gt;M$3)), 1, 0)+IF(AND((M$3-$B$2)&gt;=0,(M$3-$B$2)&lt;30), 2,0)</f>
        <v>1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0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2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2:41" ht="15" x14ac:dyDescent="0.2">
      <c r="B81" t="s">
        <v>164</v>
      </c>
      <c r="C81" s="112" t="s">
        <v>113</v>
      </c>
      <c r="D81" s="111">
        <v>6</v>
      </c>
      <c r="E81" s="86">
        <f t="shared" si="1"/>
        <v>9</v>
      </c>
      <c r="F81" s="122">
        <f>WORKDAY(F80,E81,Holiday!A77:A106)</f>
        <v>46227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0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0</v>
      </c>
      <c r="L81" s="113">
        <f>IF(OR(AND($F80&lt;=L$3, $F81 &gt;= L$3), AND($F81&lt;L$3, WORKDAY($F81, 22,Holiday!$A$1:$A$30)&gt;L$3)), 1, 0)+IF(AND((L$3-$B$2)&gt;=0,(L$3-$B$2)&lt;30), 2,0)</f>
        <v>0</v>
      </c>
      <c r="M81" s="113">
        <f>IF(OR(AND($F80&lt;=M$3, $F81 &gt;= M$3), AND($F81&lt;M$3, WORKDAY($F81, 22,Holiday!$A$1:$A$30)&gt;M$3)), 1, 0)+IF(AND((M$3-$B$2)&gt;=0,(M$3-$B$2)&lt;30), 2,0)</f>
        <v>1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0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2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2:41" ht="15" x14ac:dyDescent="0.2">
      <c r="B82" t="s">
        <v>168</v>
      </c>
      <c r="C82" s="112" t="s">
        <v>113</v>
      </c>
      <c r="D82" s="111">
        <v>6</v>
      </c>
      <c r="E82" s="86">
        <f t="shared" si="1"/>
        <v>9</v>
      </c>
      <c r="F82" s="122">
        <f>WORKDAY(F81,E82,Holiday!A78:A107)</f>
        <v>46240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0</v>
      </c>
      <c r="L82" s="113">
        <f>IF(OR(AND($F81&lt;=L$3, $F82 &gt;= L$3), AND($F82&lt;L$3, WORKDAY($F82, 22,Holiday!$A$1:$A$30)&gt;L$3)), 1, 0)+IF(AND((L$3-$B$2)&gt;=0,(L$3-$B$2)&lt;30), 2,0)</f>
        <v>0</v>
      </c>
      <c r="M82" s="113">
        <f>IF(OR(AND($F81&lt;=M$3, $F82 &gt;= M$3), AND($F82&lt;M$3, WORKDAY($F82, 22,Holiday!$A$1:$A$30)&gt;M$3)), 1, 0)+IF(AND((M$3-$B$2)&gt;=0,(M$3-$B$2)&lt;30), 2,0)</f>
        <v>1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0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2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2:41" ht="15" x14ac:dyDescent="0.2">
      <c r="B83" t="s">
        <v>166</v>
      </c>
      <c r="C83" s="112" t="s">
        <v>113</v>
      </c>
      <c r="D83" s="111">
        <v>6</v>
      </c>
      <c r="E83" s="86">
        <f t="shared" si="1"/>
        <v>9</v>
      </c>
      <c r="F83" s="122">
        <f>WORKDAY(F82,E83,Holiday!A79:A108)</f>
        <v>46253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0</v>
      </c>
      <c r="L83" s="113">
        <f>IF(OR(AND($F82&lt;=L$3, $F83 &gt;= L$3), AND($F83&lt;L$3, WORKDAY($F83, 22,Holiday!$A$1:$A$30)&gt;L$3)), 1, 0)+IF(AND((L$3-$B$2)&gt;=0,(L$3-$B$2)&lt;30), 2,0)</f>
        <v>0</v>
      </c>
      <c r="M83" s="113">
        <f>IF(OR(AND($F82&lt;=M$3, $F83 &gt;= M$3), AND($F83&lt;M$3, WORKDAY($F83, 22,Holiday!$A$1:$A$30)&gt;M$3)), 1, 0)+IF(AND((M$3-$B$2)&gt;=0,(M$3-$B$2)&lt;30), 2,0)</f>
        <v>1</v>
      </c>
      <c r="N83" s="113">
        <f>IF(OR(AND($F82&lt;=N$3, $F83 &gt;= N$3), AND($F83&lt;N$3, WORKDAY($F83, 22,Holiday!$A$1:$A$30)&gt;N$3)), 1, 0)+IF(AND((N$3-$B$2)&gt;=0,(N$3-$B$2)&lt;30), 2,0)</f>
        <v>1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0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2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2:41" ht="15" x14ac:dyDescent="0.2">
      <c r="B84" t="s">
        <v>155</v>
      </c>
      <c r="C84" s="112" t="s">
        <v>113</v>
      </c>
      <c r="D84" s="111">
        <v>6</v>
      </c>
      <c r="E84" s="86">
        <f t="shared" si="1"/>
        <v>9</v>
      </c>
      <c r="F84" s="122">
        <f>WORKDAY(F83,E84,Holiday!A80:A109)</f>
        <v>46266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0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1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0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2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2:41" ht="15" x14ac:dyDescent="0.2">
      <c r="B85" t="s">
        <v>181</v>
      </c>
      <c r="C85" s="112" t="s">
        <v>113</v>
      </c>
      <c r="D85" s="111">
        <v>6</v>
      </c>
      <c r="E85" s="86">
        <f t="shared" si="1"/>
        <v>9</v>
      </c>
      <c r="F85" s="122">
        <f>WORKDAY(F84,E85,Holiday!A81:A110)</f>
        <v>46279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0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1</v>
      </c>
      <c r="O85" s="113">
        <f>IF(OR(AND($F84&lt;=O$3, $F85 &gt;= O$3), AND($F85&lt;O$3, WORKDAY($F85, 22,Holiday!$A$1:$A$30)&gt;O$3)), 1, 0)+IF(AND((O$3-$B$2)&gt;=0,(O$3-$B$2)&lt;30), 2,0)</f>
        <v>1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0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2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2:41" ht="15" x14ac:dyDescent="0.2">
      <c r="B86" t="s">
        <v>183</v>
      </c>
      <c r="C86" s="112" t="s">
        <v>113</v>
      </c>
      <c r="D86" s="111">
        <v>6</v>
      </c>
      <c r="E86" s="86">
        <f t="shared" si="1"/>
        <v>9</v>
      </c>
      <c r="F86" s="122">
        <f>WORKDAY(F85,E86,Holiday!A82:A111)</f>
        <v>46290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0</v>
      </c>
      <c r="L86" s="113">
        <f>IF(OR(AND($F85&lt;=L$3, $F86 &gt;= L$3), AND($F86&lt;L$3, WORKDAY($F86, 22,Holiday!$A$1:$A$30)&gt;L$3)), 1, 0)+IF(AND((L$3-$B$2)&gt;=0,(L$3-$B$2)&lt;30), 2,0)</f>
        <v>0</v>
      </c>
      <c r="M86" s="113">
        <f>IF(OR(AND($F85&lt;=M$3, $F86 &gt;= M$3), AND($F86&lt;M$3, WORKDAY($F86, 22,Holiday!$A$1:$A$30)&gt;M$3)), 1, 0)+IF(AND((M$3-$B$2)&gt;=0,(M$3-$B$2)&lt;30), 2,0)</f>
        <v>0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1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0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2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2:41" ht="15" x14ac:dyDescent="0.2">
      <c r="B87" t="s">
        <v>177</v>
      </c>
      <c r="C87" s="112" t="s">
        <v>113</v>
      </c>
      <c r="D87" s="111">
        <v>6</v>
      </c>
      <c r="E87" s="86">
        <f t="shared" si="1"/>
        <v>9</v>
      </c>
      <c r="F87" s="122">
        <f>WORKDAY(F86,E87,Holiday!A83:A112)</f>
        <v>46303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0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1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0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2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2:41" ht="15" x14ac:dyDescent="0.2">
      <c r="B88" t="s">
        <v>176</v>
      </c>
      <c r="C88" s="112" t="s">
        <v>113</v>
      </c>
      <c r="D88" s="111">
        <v>6</v>
      </c>
      <c r="E88" s="86">
        <f t="shared" si="1"/>
        <v>9</v>
      </c>
      <c r="F88" s="122">
        <f>WORKDAY(F87,E88,Holiday!A84:A113)</f>
        <v>46316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0</v>
      </c>
      <c r="N88" s="113">
        <f>IF(OR(AND($F87&lt;=N$3, $F88 &gt;= N$3), AND($F88&lt;N$3, WORKDAY($F88, 22,Holiday!$A$1:$A$30)&gt;N$3)), 1, 0)+IF(AND((N$3-$B$2)&gt;=0,(N$3-$B$2)&lt;30), 2,0)</f>
        <v>0</v>
      </c>
      <c r="O88" s="113">
        <f>IF(OR(AND($F87&lt;=O$3, $F88 &gt;= O$3), AND($F88&lt;O$3, WORKDAY($F88, 22,Holiday!$A$1:$A$30)&gt;O$3)), 1, 0)+IF(AND((O$3-$B$2)&gt;=0,(O$3-$B$2)&lt;30), 2,0)</f>
        <v>1</v>
      </c>
      <c r="P88" s="113">
        <f>IF(OR(AND($F87&lt;=P$3, $F88 &gt;= P$3), AND($F88&lt;P$3, WORKDAY($F88, 22,Holiday!$A$1:$A$30)&gt;P$3)), 1, 0)+IF(AND((P$3-$B$2)&gt;=0,(P$3-$B$2)&lt;30), 2,0)</f>
        <v>1</v>
      </c>
      <c r="Q88" s="113">
        <f>IF(OR(AND($F87&lt;=Q$3, $F88 &gt;= Q$3), AND($F88&lt;Q$3, WORKDAY($F88, 22,Holiday!$A$1:$A$30)&gt;Q$3)), 1, 0)+IF(AND((Q$3-$B$2)&gt;=0,(Q$3-$B$2)&lt;30), 2,0)</f>
        <v>0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2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2:41" ht="15" x14ac:dyDescent="0.2">
      <c r="B89" t="s">
        <v>167</v>
      </c>
      <c r="C89" s="112" t="s">
        <v>113</v>
      </c>
      <c r="D89" s="111">
        <v>6</v>
      </c>
      <c r="E89" s="86">
        <f t="shared" si="1"/>
        <v>9</v>
      </c>
      <c r="F89" s="122">
        <f>WORKDAY(F88,E89,Holiday!A85:A114)</f>
        <v>46329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0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0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0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1</v>
      </c>
      <c r="Q89" s="113">
        <f>IF(OR(AND($F88&lt;=Q$3, $F89 &gt;= Q$3), AND($F89&lt;Q$3, WORKDAY($F89, 22,Holiday!$A$1:$A$30)&gt;Q$3)), 1, 0)+IF(AND((Q$3-$B$2)&gt;=0,(Q$3-$B$2)&lt;30), 2,0)</f>
        <v>0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2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2:41" ht="15" x14ac:dyDescent="0.2">
      <c r="B90" t="s">
        <v>185</v>
      </c>
      <c r="C90" s="112" t="s">
        <v>113</v>
      </c>
      <c r="D90" s="111">
        <v>6</v>
      </c>
      <c r="E90" s="86">
        <f t="shared" si="1"/>
        <v>9</v>
      </c>
      <c r="F90" s="122">
        <f>WORKDAY(F89,E90,Holiday!A86:A115)</f>
        <v>46342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0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0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1</v>
      </c>
      <c r="Q90" s="113">
        <f>IF(OR(AND($F89&lt;=Q$3, $F90 &gt;= Q$3), AND($F90&lt;Q$3, WORKDAY($F90, 22,Holiday!$A$1:$A$30)&gt;Q$3)), 1, 0)+IF(AND((Q$3-$B$2)&gt;=0,(Q$3-$B$2)&lt;30), 2,0)</f>
        <v>1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2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2:41" ht="15" x14ac:dyDescent="0.2">
      <c r="B91" t="s">
        <v>148</v>
      </c>
      <c r="C91" s="112" t="s">
        <v>113</v>
      </c>
      <c r="D91" s="111">
        <v>6</v>
      </c>
      <c r="E91" s="86">
        <f t="shared" si="1"/>
        <v>9</v>
      </c>
      <c r="F91" s="122">
        <f>WORKDAY(F90,E91,Holiday!A87:A116)</f>
        <v>46353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0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0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0</v>
      </c>
      <c r="O91" s="113">
        <f>IF(OR(AND($F90&lt;=O$3, $F91 &gt;= O$3), AND($F91&lt;O$3, WORKDAY($F91, 22,Holiday!$A$1:$A$30)&gt;O$3)), 1, 0)+IF(AND((O$3-$B$2)&gt;=0,(O$3-$B$2)&lt;30), 2,0)</f>
        <v>0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1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2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2:41" ht="15" x14ac:dyDescent="0.2">
      <c r="B92" t="s">
        <v>147</v>
      </c>
      <c r="C92" s="112" t="s">
        <v>113</v>
      </c>
      <c r="D92" s="111">
        <v>6</v>
      </c>
      <c r="E92" s="86">
        <f t="shared" si="1"/>
        <v>9</v>
      </c>
      <c r="F92" s="122">
        <f>WORKDAY(F91,E92,Holiday!A88:A117)</f>
        <v>46366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0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0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1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2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2:41" ht="15" x14ac:dyDescent="0.2">
      <c r="B93" t="s">
        <v>151</v>
      </c>
      <c r="C93" s="112" t="s">
        <v>113</v>
      </c>
      <c r="D93" s="111">
        <v>6</v>
      </c>
      <c r="E93" s="86">
        <f t="shared" si="1"/>
        <v>9</v>
      </c>
      <c r="F93" s="122">
        <f>WORKDAY(F92,E93,Holiday!A89:A118)</f>
        <v>46379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0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1</v>
      </c>
      <c r="R93" s="113">
        <f>IF(OR(AND($F92&lt;=R$3, $F93 &gt;= R$3), AND($F93&lt;R$3, WORKDAY($F93, 22,Holiday!$A$1:$A$30)&gt;R$3)), 1, 0)+IF(AND((R$3-$B$2)&gt;=0,(R$3-$B$2)&lt;30), 2,0)</f>
        <v>1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2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2:41" ht="15" x14ac:dyDescent="0.2">
      <c r="B94" t="s">
        <v>154</v>
      </c>
      <c r="C94" s="112" t="s">
        <v>113</v>
      </c>
      <c r="D94" s="111">
        <v>6</v>
      </c>
      <c r="E94" s="86">
        <f t="shared" si="1"/>
        <v>9</v>
      </c>
      <c r="F94" s="122">
        <f>WORKDAY(F93,E94,Holiday!A90:A119)</f>
        <v>46392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0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0</v>
      </c>
      <c r="P94" s="113">
        <f>IF(OR(AND($F93&lt;=P$3, $F94 &gt;= P$3), AND($F94&lt;P$3, WORKDAY($F94, 22,Holiday!$A$1:$A$30)&gt;P$3)), 1, 0)+IF(AND((P$3-$B$2)&gt;=0,(P$3-$B$2)&lt;30), 2,0)</f>
        <v>0</v>
      </c>
      <c r="Q94" s="113">
        <f>IF(OR(AND($F93&lt;=Q$3, $F94 &gt;= Q$3), AND($F94&lt;Q$3, WORKDAY($F94, 22,Holiday!$A$1:$A$30)&gt;Q$3)), 1, 0)+IF(AND((Q$3-$B$2)&gt;=0,(Q$3-$B$2)&lt;30), 2,0)</f>
        <v>0</v>
      </c>
      <c r="R94" s="113">
        <f>IF(OR(AND($F93&lt;=R$3, $F94 &gt;= R$3), AND($F94&lt;R$3, WORKDAY($F94, 22,Holiday!$A$1:$A$30)&gt;R$3)), 1, 0)+IF(AND((R$3-$B$2)&gt;=0,(R$3-$B$2)&lt;30), 2,0)</f>
        <v>1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2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2:41" ht="15" x14ac:dyDescent="0.2">
      <c r="B95" t="s">
        <v>153</v>
      </c>
      <c r="C95" s="112" t="s">
        <v>113</v>
      </c>
      <c r="D95" s="111">
        <v>6</v>
      </c>
      <c r="E95" s="86">
        <f t="shared" si="1"/>
        <v>9</v>
      </c>
      <c r="F95" s="122">
        <f>WORKDAY(F94,E95,Holiday!A91:A120)</f>
        <v>46405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0</v>
      </c>
      <c r="Q95" s="113">
        <f>IF(OR(AND($F94&lt;=Q$3, $F95 &gt;= Q$3), AND($F95&lt;Q$3, WORKDAY($F95, 22,Holiday!$A$1:$A$30)&gt;Q$3)), 1, 0)+IF(AND((Q$3-$B$2)&gt;=0,(Q$3-$B$2)&lt;30), 2,0)</f>
        <v>0</v>
      </c>
      <c r="R95" s="113">
        <f>IF(OR(AND($F94&lt;=R$3, $F95 &gt;= R$3), AND($F95&lt;R$3, WORKDAY($F95, 22,Holiday!$A$1:$A$30)&gt;R$3)), 1, 0)+IF(AND((R$3-$B$2)&gt;=0,(R$3-$B$2)&lt;30), 2,0)</f>
        <v>1</v>
      </c>
      <c r="S95" s="113">
        <f>IF(OR(AND($F94&lt;=S$3, $F95 &gt;= S$3), AND($F95&lt;S$3, WORKDAY($F95, 22,Holiday!$A$1:$A$30)&gt;S$3)), 1, 0)+IF(AND((S$3-$B$2)&gt;=0,(S$3-$B$2)&lt;30), 2,0)</f>
        <v>1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2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2:41" ht="15" x14ac:dyDescent="0.2">
      <c r="B96" t="s">
        <v>149</v>
      </c>
      <c r="C96" s="112" t="s">
        <v>113</v>
      </c>
      <c r="D96" s="111">
        <v>6</v>
      </c>
      <c r="E96" s="86">
        <f t="shared" si="1"/>
        <v>9</v>
      </c>
      <c r="F96" s="122">
        <f>WORKDAY(F95,E96,Holiday!A92:A121)</f>
        <v>46416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0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0</v>
      </c>
      <c r="P96" s="113">
        <f>IF(OR(AND($F95&lt;=P$3, $F96 &gt;= P$3), AND($F96&lt;P$3, WORKDAY($F96, 22,Holiday!$A$1:$A$30)&gt;P$3)), 1, 0)+IF(AND((P$3-$B$2)&gt;=0,(P$3-$B$2)&lt;30), 2,0)</f>
        <v>0</v>
      </c>
      <c r="Q96" s="113">
        <f>IF(OR(AND($F95&lt;=Q$3, $F96 &gt;= Q$3), AND($F96&lt;Q$3, WORKDAY($F96, 22,Holiday!$A$1:$A$30)&gt;Q$3)), 1, 0)+IF(AND((Q$3-$B$2)&gt;=0,(Q$3-$B$2)&lt;30), 2,0)</f>
        <v>0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1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2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2:41" ht="15" x14ac:dyDescent="0.2">
      <c r="B97" t="s">
        <v>152</v>
      </c>
      <c r="C97" s="112" t="s">
        <v>113</v>
      </c>
      <c r="D97" s="111">
        <v>6</v>
      </c>
      <c r="E97" s="86">
        <f t="shared" si="1"/>
        <v>9</v>
      </c>
      <c r="F97" s="122">
        <f>WORKDAY(F96,E97,Holiday!A93:A122)</f>
        <v>46429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0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0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0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1</v>
      </c>
      <c r="T97" s="113">
        <f>IF(OR(AND($F96&lt;=T$3, $F97 &gt;= T$3), AND($F97&lt;T$3, WORKDAY($F97, 22,Holiday!$A$1:$A$30)&gt;T$3)), 1, 0)+IF(AND((T$3-$B$2)&gt;=0,(T$3-$B$2)&lt;30), 2,0)</f>
        <v>1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2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2:41" ht="15" x14ac:dyDescent="0.2">
      <c r="B98" t="s">
        <v>150</v>
      </c>
      <c r="C98" s="112" t="s">
        <v>113</v>
      </c>
      <c r="D98" s="111">
        <v>6</v>
      </c>
      <c r="E98" s="86">
        <f t="shared" si="1"/>
        <v>9</v>
      </c>
      <c r="F98" s="122">
        <f>WORKDAY(F97,E98,Holiday!A94:A123)</f>
        <v>46442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0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0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1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2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2:41" ht="15" x14ac:dyDescent="0.2">
      <c r="B99" t="s">
        <v>162</v>
      </c>
      <c r="C99" s="112" t="s">
        <v>113</v>
      </c>
      <c r="D99" s="111">
        <v>6</v>
      </c>
      <c r="E99" s="86">
        <f t="shared" si="1"/>
        <v>9</v>
      </c>
      <c r="F99" s="122">
        <f>WORKDAY(F98,E99,Holiday!A95:A124)</f>
        <v>46455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0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0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0</v>
      </c>
      <c r="R99" s="113">
        <f>IF(OR(AND($F98&lt;=R$3, $F99 &gt;= R$3), AND($F99&lt;R$3, WORKDAY($F99, 22,Holiday!$A$1:$A$30)&gt;R$3)), 1, 0)+IF(AND((R$3-$B$2)&gt;=0,(R$3-$B$2)&lt;30), 2,0)</f>
        <v>0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1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2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2:41" ht="15" x14ac:dyDescent="0.2">
      <c r="B100" t="s">
        <v>196</v>
      </c>
      <c r="C100" s="112" t="s">
        <v>113</v>
      </c>
      <c r="D100" s="111">
        <v>10</v>
      </c>
      <c r="E100" s="86">
        <f t="shared" si="1"/>
        <v>15</v>
      </c>
      <c r="F100" s="122">
        <f>WORKDAY(F99,E100,Holiday!A96:A125)</f>
        <v>46476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0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0</v>
      </c>
      <c r="R100" s="113">
        <f>IF(OR(AND($F99&lt;=R$3, $F100 &gt;= R$3), AND($F100&lt;R$3, WORKDAY($F100, 22,Holiday!$A$1:$A$30)&gt;R$3)), 1, 0)+IF(AND((R$3-$B$2)&gt;=0,(R$3-$B$2)&lt;30), 2,0)</f>
        <v>0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1</v>
      </c>
      <c r="U100" s="113">
        <f>IF(OR(AND($F99&lt;=U$3, $F100 &gt;= U$3), AND($F100&lt;U$3, WORKDAY($F100, 22,Holiday!$A$1:$A$30)&gt;U$3)), 1, 0)+IF(AND((U$3-$B$2)&gt;=0,(U$3-$B$2)&lt;30), 2,0)</f>
        <v>1</v>
      </c>
      <c r="V100" s="113">
        <f>IF(OR(AND($F99&lt;=V$3, $F100 &gt;= V$3), AND($F100&lt;V$3, WORKDAY($F100, 22,Holiday!$A$1:$A$30)&gt;V$3)), 1, 0)+IF(AND((V$3-$B$2)&gt;=0,(V$3-$B$2)&lt;30), 2,0)</f>
        <v>2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2:41" ht="15" x14ac:dyDescent="0.2">
      <c r="B101" t="s">
        <v>116</v>
      </c>
      <c r="C101" s="112" t="s">
        <v>113</v>
      </c>
      <c r="D101" s="111">
        <v>10</v>
      </c>
      <c r="E101" s="86">
        <f t="shared" si="1"/>
        <v>15</v>
      </c>
      <c r="F101" s="122">
        <f>WORKDAY(F100,E101,Holiday!A97:A126)</f>
        <v>46497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0</v>
      </c>
      <c r="J101" s="113">
        <f>IF(OR(AND($F100&lt;=J$3, $F101 &gt;= J$3), AND($F101&lt;J$3, WORKDAY($F101, 22,Holiday!$A$1:$A$30)&gt;J$3)), 1, 0)+IF(AND((J$3-$B$2)&gt;=0,(J$3-$B$2)&lt;30), 2,0)</f>
        <v>0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0</v>
      </c>
      <c r="M101" s="113">
        <f>IF(OR(AND($F100&lt;=M$3, $F101 &gt;= M$3), AND($F101&lt;M$3, WORKDAY($F101, 22,Holiday!$A$1:$A$30)&gt;M$3)), 1, 0)+IF(AND((M$3-$B$2)&gt;=0,(M$3-$B$2)&lt;30), 2,0)</f>
        <v>0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0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0</v>
      </c>
      <c r="R101" s="113">
        <f>IF(OR(AND($F100&lt;=R$3, $F101 &gt;= R$3), AND($F101&lt;R$3, WORKDAY($F101, 22,Holiday!$A$1:$A$30)&gt;R$3)), 1, 0)+IF(AND((R$3-$B$2)&gt;=0,(R$3-$B$2)&lt;30), 2,0)</f>
        <v>0</v>
      </c>
      <c r="S101" s="113">
        <f>IF(OR(AND($F100&lt;=S$3, $F101 &gt;= S$3), AND($F101&lt;S$3, WORKDAY($F101, 22,Holiday!$A$1:$A$30)&gt;S$3)), 1, 0)+IF(AND((S$3-$B$2)&gt;=0,(S$3-$B$2)&lt;30), 2,0)</f>
        <v>0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1</v>
      </c>
      <c r="V101" s="113">
        <f>IF(OR(AND($F100&lt;=V$3, $F101 &gt;= V$3), AND($F101&lt;V$3, WORKDAY($F101, 22,Holiday!$A$1:$A$30)&gt;V$3)), 1, 0)+IF(AND((V$3-$B$2)&gt;=0,(V$3-$B$2)&lt;30), 2,0)</f>
        <v>3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0</v>
      </c>
      <c r="AC101" s="113">
        <f>IF(OR(AND($F100&lt;=AC$3, $F101 &gt;= AC$3), AND($F101&lt;AC$3, WORKDAY($F101, 22,Holiday!$A$1:$A$30)&gt;AC$3)), 1, 0)+IF(AND((AC$3-$B$2)&gt;=0,(AC$3-$B$2)&lt;30), 2,0)</f>
        <v>0</v>
      </c>
      <c r="AD101" s="113">
        <f>IF(OR(AND($F100&lt;=AD$3, $F101 &gt;= AD$3), AND($F101&lt;AD$3, WORKDAY($F101, 22,Holiday!$A$1:$A$30)&gt;AD$3)), 1, 0)+IF(AND((AD$3-$B$2)&gt;=0,(AD$3-$B$2)&lt;30), 2,0)</f>
        <v>0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</row>
    <row r="102" spans="2:41" ht="15" x14ac:dyDescent="0.2">
      <c r="B102" t="s">
        <v>213</v>
      </c>
      <c r="C102" s="112" t="s">
        <v>113</v>
      </c>
      <c r="D102" s="111">
        <v>10</v>
      </c>
      <c r="E102" s="86">
        <f t="shared" si="1"/>
        <v>15</v>
      </c>
      <c r="F102" s="122">
        <f>WORKDAY(F101,E102,Holiday!A98:A127)</f>
        <v>46518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0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0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0</v>
      </c>
      <c r="M102" s="113">
        <f>IF(OR(AND($F101&lt;=M$3, $F102 &gt;= M$3), AND($F102&lt;M$3, WORKDAY($F102, 22,Holiday!$A$1:$A$30)&gt;M$3)), 1, 0)+IF(AND((M$3-$B$2)&gt;=0,(M$3-$B$2)&lt;30), 2,0)</f>
        <v>0</v>
      </c>
      <c r="N102" s="113">
        <f>IF(OR(AND($F101&lt;=N$3, $F102 &gt;= N$3), AND($F102&lt;N$3, WORKDAY($F102, 22,Holiday!$A$1:$A$30)&gt;N$3)), 1, 0)+IF(AND((N$3-$B$2)&gt;=0,(N$3-$B$2)&lt;30), 2,0)</f>
        <v>0</v>
      </c>
      <c r="O102" s="113">
        <f>IF(OR(AND($F101&lt;=O$3, $F102 &gt;= O$3), AND($F102&lt;O$3, WORKDAY($F102, 22,Holiday!$A$1:$A$30)&gt;O$3)), 1, 0)+IF(AND((O$3-$B$2)&gt;=0,(O$3-$B$2)&lt;30), 2,0)</f>
        <v>0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0</v>
      </c>
      <c r="R102" s="113">
        <f>IF(OR(AND($F101&lt;=R$3, $F102 &gt;= R$3), AND($F102&lt;R$3, WORKDAY($F102, 22,Holiday!$A$1:$A$30)&gt;R$3)), 1, 0)+IF(AND((R$3-$B$2)&gt;=0,(R$3-$B$2)&lt;30), 2,0)</f>
        <v>0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3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0</v>
      </c>
      <c r="AD102" s="113">
        <f>IF(OR(AND($F101&lt;=AD$3, $F102 &gt;= AD$3), AND($F102&lt;AD$3, WORKDAY($F102, 22,Holiday!$A$1:$A$30)&gt;AD$3)), 1, 0)+IF(AND((AD$3-$B$2)&gt;=0,(AD$3-$B$2)&lt;30), 2,0)</f>
        <v>0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</row>
    <row r="103" spans="2:41" ht="15" x14ac:dyDescent="0.2">
      <c r="B103" t="s">
        <v>195</v>
      </c>
      <c r="C103" s="112" t="s">
        <v>113</v>
      </c>
      <c r="D103" s="111">
        <v>10</v>
      </c>
      <c r="E103" s="86">
        <f t="shared" si="1"/>
        <v>15</v>
      </c>
      <c r="F103" s="122">
        <f>WORKDAY(F102,E103,Holiday!A99:A128)</f>
        <v>46539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0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0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3</v>
      </c>
      <c r="W103" s="113">
        <f>IF(OR(AND($F102&lt;=W$3, $F103 &gt;= W$3), AND($F103&lt;W$3, WORKDAY($F103, 22,Holiday!$A$1:$A$30)&gt;W$3)), 1, 0)+IF(AND((W$3-$B$2)&gt;=0,(W$3-$B$2)&lt;30), 2,0)</f>
        <v>1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2:41" ht="12.75" x14ac:dyDescent="0.2">
      <c r="F104" s="122"/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43" type="noConversion"/>
  <conditionalFormatting sqref="G3:AO3">
    <cfRule type="expression" dxfId="39" priority="1">
      <formula>G$4&gt;1</formula>
    </cfRule>
  </conditionalFormatting>
  <conditionalFormatting sqref="G4:AO103">
    <cfRule type="cellIs" dxfId="38" priority="2" operator="greaterThan">
      <formula>1</formula>
    </cfRule>
    <cfRule type="cellIs" dxfId="37" priority="3" operator="equal">
      <formula>0</formula>
    </cfRule>
    <cfRule type="cellIs" dxfId="36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FB6E-840B-45D9-9595-1ED55049D717}">
  <sheetPr>
    <tabColor rgb="FF3D85C6"/>
    <outlinePr summaryBelow="0" summaryRight="0"/>
  </sheetPr>
  <dimension ref="A1:AR104"/>
  <sheetViews>
    <sheetView showGridLines="0" zoomScale="89" workbookViewId="0">
      <pane xSplit="6" topLeftCell="G1" activePane="topRight" state="frozen"/>
      <selection pane="topRight" activeCell="F3" sqref="F3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4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4" ht="31.5" customHeight="1" x14ac:dyDescent="0.2">
      <c r="A2" s="194"/>
      <c r="B2" s="128">
        <f>WORKDAY($F$3,ROUNDUP(($E$3-$E$4)/$C$2,0)+$E$4,Holiday!$A$1:$A$30)</f>
        <v>46398</v>
      </c>
      <c r="C2" s="129">
        <v>4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4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SUM(E4:E103)</f>
        <v>996</v>
      </c>
      <c r="F3" s="126">
        <f>Setting!$B$2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4" ht="12.75" x14ac:dyDescent="0.2">
      <c r="A4" s="119"/>
      <c r="B4" s="116" t="s">
        <v>217</v>
      </c>
      <c r="C4" s="116" t="s">
        <v>255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2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4" ht="15" x14ac:dyDescent="0.2">
      <c r="A5" s="85"/>
      <c r="B5" t="s">
        <v>115</v>
      </c>
      <c r="C5" s="112" t="s">
        <v>78</v>
      </c>
      <c r="D5" s="86">
        <v>10</v>
      </c>
      <c r="E5" s="86">
        <f>ROUNDUP(D5*(1+$D$2),0)</f>
        <v>15</v>
      </c>
      <c r="F5" s="122">
        <f>WORKDAY(F4,E5,Holiday!A1:A30)</f>
        <v>46072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2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  <c r="AR5" s="121">
        <f>ROUNDUP(($E$3-$E$4)/$C$2,0)+$E$4</f>
        <v>264</v>
      </c>
    </row>
    <row r="6" spans="1:44" ht="15" x14ac:dyDescent="0.2">
      <c r="B6" t="s">
        <v>192</v>
      </c>
      <c r="C6" s="112" t="s">
        <v>78</v>
      </c>
      <c r="D6" s="86">
        <v>10</v>
      </c>
      <c r="E6" s="86">
        <f t="shared" ref="E6:E69" si="0">ROUNDUP(D6*(1+$D$2),0)</f>
        <v>15</v>
      </c>
      <c r="F6" s="122">
        <f>WORKDAY(F5,E6,Holiday!A2:A31)</f>
        <v>46093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2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4" ht="15" x14ac:dyDescent="0.2">
      <c r="B7" t="s">
        <v>188</v>
      </c>
      <c r="C7" s="112" t="s">
        <v>78</v>
      </c>
      <c r="D7" s="86">
        <v>10</v>
      </c>
      <c r="E7" s="86">
        <f t="shared" si="0"/>
        <v>15</v>
      </c>
      <c r="F7" s="122">
        <f>WORKDAY(F6,E7,Holiday!A3:A32)</f>
        <v>46114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2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4" ht="15" x14ac:dyDescent="0.2">
      <c r="B8" t="s">
        <v>120</v>
      </c>
      <c r="C8" s="112" t="s">
        <v>78</v>
      </c>
      <c r="D8" s="86">
        <v>10</v>
      </c>
      <c r="E8" s="86">
        <f t="shared" si="0"/>
        <v>15</v>
      </c>
      <c r="F8" s="122">
        <f>WORKDAY(F7,E8,Holiday!A4:A33)</f>
        <v>46135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2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4" ht="15" x14ac:dyDescent="0.2">
      <c r="B9" t="s">
        <v>119</v>
      </c>
      <c r="C9" s="112" t="s">
        <v>78</v>
      </c>
      <c r="D9" s="86">
        <v>10</v>
      </c>
      <c r="E9" s="86">
        <f t="shared" si="0"/>
        <v>15</v>
      </c>
      <c r="F9" s="122">
        <f>WORKDAY(F8,E9,Holiday!A5:A34)</f>
        <v>46157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1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2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4" ht="15" x14ac:dyDescent="0.2">
      <c r="B10" t="s">
        <v>212</v>
      </c>
      <c r="C10" s="112" t="s">
        <v>78</v>
      </c>
      <c r="D10" s="86">
        <v>10</v>
      </c>
      <c r="E10" s="86">
        <f t="shared" si="0"/>
        <v>15</v>
      </c>
      <c r="F10" s="122">
        <f>WORKDAY(F9,E10,Holiday!A6:A35)</f>
        <v>46178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2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4" ht="15" x14ac:dyDescent="0.2">
      <c r="B11" t="s">
        <v>191</v>
      </c>
      <c r="C11" s="112" t="s">
        <v>78</v>
      </c>
      <c r="D11" s="86">
        <v>10</v>
      </c>
      <c r="E11" s="86">
        <f t="shared" si="0"/>
        <v>15</v>
      </c>
      <c r="F11" s="122">
        <f>WORKDAY(F10,E11,Holiday!A7:A36)</f>
        <v>46199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2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4" ht="15" x14ac:dyDescent="0.2">
      <c r="B12" t="s">
        <v>190</v>
      </c>
      <c r="C12" s="112" t="s">
        <v>78</v>
      </c>
      <c r="D12" s="86">
        <v>10</v>
      </c>
      <c r="E12" s="86">
        <f t="shared" si="0"/>
        <v>15</v>
      </c>
      <c r="F12" s="122">
        <f>WORKDAY(F11,E12,Holiday!A8:A37)</f>
        <v>46220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2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4" ht="15" x14ac:dyDescent="0.2">
      <c r="B13" t="s">
        <v>117</v>
      </c>
      <c r="C13" s="112" t="s">
        <v>78</v>
      </c>
      <c r="D13" s="86">
        <v>10</v>
      </c>
      <c r="E13" s="86">
        <f t="shared" si="0"/>
        <v>15</v>
      </c>
      <c r="F13" s="122">
        <f>WORKDAY(F12,E13,Holiday!A9:A38)</f>
        <v>46241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2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4" ht="15" x14ac:dyDescent="0.2">
      <c r="B14" t="s">
        <v>193</v>
      </c>
      <c r="C14" s="112" t="s">
        <v>78</v>
      </c>
      <c r="D14" s="86">
        <v>10</v>
      </c>
      <c r="E14" s="86">
        <f t="shared" si="0"/>
        <v>15</v>
      </c>
      <c r="F14" s="122">
        <f>WORKDAY(F13,E14,Holiday!A10:A39)</f>
        <v>46262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2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4" ht="15" x14ac:dyDescent="0.2">
      <c r="B15" t="s">
        <v>197</v>
      </c>
      <c r="C15" s="112" t="s">
        <v>78</v>
      </c>
      <c r="D15" s="86">
        <v>10</v>
      </c>
      <c r="E15" s="86">
        <f t="shared" si="0"/>
        <v>15</v>
      </c>
      <c r="F15" s="122">
        <f>WORKDAY(F14,E15,Holiday!A11:A40)</f>
        <v>46283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2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4" ht="15" x14ac:dyDescent="0.2">
      <c r="B16" t="s">
        <v>118</v>
      </c>
      <c r="C16" s="112" t="s">
        <v>78</v>
      </c>
      <c r="D16" s="86">
        <v>10</v>
      </c>
      <c r="E16" s="86">
        <f t="shared" si="0"/>
        <v>15</v>
      </c>
      <c r="F16" s="122">
        <f>WORKDAY(F15,E16,Holiday!A12:A41)</f>
        <v>46304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1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2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t="s">
        <v>194</v>
      </c>
      <c r="C17" s="112" t="s">
        <v>78</v>
      </c>
      <c r="D17" s="86">
        <v>10</v>
      </c>
      <c r="E17" s="86">
        <f t="shared" si="0"/>
        <v>15</v>
      </c>
      <c r="F17" s="122">
        <f>WORKDAY(F16,E17,Holiday!A13:A42)</f>
        <v>46325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1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2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t="s">
        <v>187</v>
      </c>
      <c r="C18" s="112" t="s">
        <v>78</v>
      </c>
      <c r="D18" s="86">
        <v>10</v>
      </c>
      <c r="E18" s="86">
        <f t="shared" si="0"/>
        <v>15</v>
      </c>
      <c r="F18" s="122">
        <f>WORKDAY(F17,E18,Holiday!A14:A43)</f>
        <v>46346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1</v>
      </c>
      <c r="Q18" s="113">
        <f>IF(OR(AND($F17&lt;=Q$3, $F18 &gt;= Q$3), AND($F18&lt;Q$3, WORKDAY($F18, 22,Holiday!$A$1:$A$30)&gt;Q$3)), 1, 0)+IF(AND((Q$3-$B$2)&gt;=0,(Q$3-$B$2)&lt;30), 2,0)</f>
        <v>1</v>
      </c>
      <c r="R18" s="113">
        <f>IF(OR(AND($F17&lt;=R$3, $F18 &gt;= R$3), AND($F18&lt;R$3, WORKDAY($F18, 22,Holiday!$A$1:$A$30)&gt;R$3)), 1, 0)+IF(AND((R$3-$B$2)&gt;=0,(R$3-$B$2)&lt;30), 2,0)</f>
        <v>2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t="s">
        <v>122</v>
      </c>
      <c r="C19" s="112" t="s">
        <v>78</v>
      </c>
      <c r="D19" s="111">
        <v>5</v>
      </c>
      <c r="E19" s="86">
        <f t="shared" si="0"/>
        <v>8</v>
      </c>
      <c r="F19" s="122">
        <f>WORKDAY(F18,E19,Holiday!A15:A44)</f>
        <v>46358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1</v>
      </c>
      <c r="R19" s="113">
        <f>IF(OR(AND($F18&lt;=R$3, $F19 &gt;= R$3), AND($F19&lt;R$3, WORKDAY($F19, 22,Holiday!$A$1:$A$30)&gt;R$3)), 1, 0)+IF(AND((R$3-$B$2)&gt;=0,(R$3-$B$2)&lt;30), 2,0)</f>
        <v>2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t="s">
        <v>138</v>
      </c>
      <c r="C20" s="112" t="s">
        <v>78</v>
      </c>
      <c r="D20" s="111">
        <v>5</v>
      </c>
      <c r="E20" s="86">
        <f t="shared" si="0"/>
        <v>8</v>
      </c>
      <c r="F20" s="122">
        <f>WORKDAY(F19,E20,Holiday!A16:A45)</f>
        <v>46370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1</v>
      </c>
      <c r="R20" s="113">
        <f>IF(OR(AND($F19&lt;=R$3, $F20 &gt;= R$3), AND($F20&lt;R$3, WORKDAY($F20, 22,Holiday!$A$1:$A$30)&gt;R$3)), 1, 0)+IF(AND((R$3-$B$2)&gt;=0,(R$3-$B$2)&lt;30), 2,0)</f>
        <v>3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t="s">
        <v>121</v>
      </c>
      <c r="C21" s="112" t="s">
        <v>78</v>
      </c>
      <c r="D21" s="111">
        <v>5</v>
      </c>
      <c r="E21" s="86">
        <f t="shared" si="0"/>
        <v>8</v>
      </c>
      <c r="F21" s="122">
        <f>WORKDAY(F20,E21,Holiday!A17:A46)</f>
        <v>46380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3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t="s">
        <v>137</v>
      </c>
      <c r="C22" s="112" t="s">
        <v>78</v>
      </c>
      <c r="D22" s="111">
        <v>5</v>
      </c>
      <c r="E22" s="86">
        <f t="shared" si="0"/>
        <v>8</v>
      </c>
      <c r="F22" s="122">
        <f>WORKDAY(F21,E22,Holiday!A18:A47)</f>
        <v>46392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3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t="s">
        <v>129</v>
      </c>
      <c r="C23" s="112" t="s">
        <v>112</v>
      </c>
      <c r="D23" s="111">
        <v>5</v>
      </c>
      <c r="E23" s="86">
        <f t="shared" si="0"/>
        <v>8</v>
      </c>
      <c r="F23" s="122">
        <f>WORKDAY(F4,E23,Holiday!A19:A48)</f>
        <v>46063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1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2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t="s">
        <v>139</v>
      </c>
      <c r="C24" s="112" t="s">
        <v>112</v>
      </c>
      <c r="D24" s="111">
        <v>5</v>
      </c>
      <c r="E24" s="86">
        <f t="shared" si="0"/>
        <v>8</v>
      </c>
      <c r="F24" s="122">
        <f>WORKDAY(F23,E24,Holiday!A20:A49)</f>
        <v>46073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1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2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t="s">
        <v>127</v>
      </c>
      <c r="C25" s="112" t="s">
        <v>112</v>
      </c>
      <c r="D25" s="111">
        <v>5</v>
      </c>
      <c r="E25" s="86">
        <f t="shared" si="0"/>
        <v>8</v>
      </c>
      <c r="F25" s="122">
        <f>WORKDAY(F24,E25,Holiday!A21:A50)</f>
        <v>46085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1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2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t="s">
        <v>123</v>
      </c>
      <c r="C26" s="112" t="s">
        <v>112</v>
      </c>
      <c r="D26" s="111">
        <v>5</v>
      </c>
      <c r="E26" s="86">
        <f t="shared" si="0"/>
        <v>8</v>
      </c>
      <c r="F26" s="122">
        <f>WORKDAY(F25,E26,Holiday!A22:A51)</f>
        <v>46097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1</v>
      </c>
      <c r="I26" s="113">
        <f>IF(OR(AND($F25&lt;=I$3, $F26 &gt;= I$3), AND($F26&lt;I$3, WORKDAY($F26, 22,Holiday!$A$1:$A$30)&gt;I$3)), 1, 0)+IF(AND((I$3-$B$2)&gt;=0,(I$3-$B$2)&lt;30), 2,0)</f>
        <v>1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2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t="s">
        <v>134</v>
      </c>
      <c r="C27" s="112" t="s">
        <v>112</v>
      </c>
      <c r="D27" s="111">
        <v>5</v>
      </c>
      <c r="E27" s="86">
        <f t="shared" si="0"/>
        <v>8</v>
      </c>
      <c r="F27" s="122">
        <f>WORKDAY(F26,E27,Holiday!A23:A52)</f>
        <v>46107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1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2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t="s">
        <v>136</v>
      </c>
      <c r="C28" s="112" t="s">
        <v>112</v>
      </c>
      <c r="D28" s="111">
        <v>5</v>
      </c>
      <c r="E28" s="86">
        <f t="shared" si="0"/>
        <v>8</v>
      </c>
      <c r="F28" s="122">
        <f>WORKDAY(F27,E28,Holiday!A24:A53)</f>
        <v>46119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1</v>
      </c>
      <c r="J28" s="113">
        <f>IF(OR(AND($F27&lt;=J$3, $F28 &gt;= J$3), AND($F28&lt;J$3, WORKDAY($F28, 22,Holiday!$A$1:$A$30)&gt;J$3)), 1, 0)+IF(AND((J$3-$B$2)&gt;=0,(J$3-$B$2)&lt;30), 2,0)</f>
        <v>1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2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t="s">
        <v>140</v>
      </c>
      <c r="C29" s="112" t="s">
        <v>112</v>
      </c>
      <c r="D29" s="111">
        <v>5</v>
      </c>
      <c r="E29" s="86">
        <f t="shared" si="0"/>
        <v>8</v>
      </c>
      <c r="F29" s="122">
        <f>WORKDAY(F28,E29,Holiday!A25:A54)</f>
        <v>46129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1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2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t="s">
        <v>133</v>
      </c>
      <c r="C30" s="112" t="s">
        <v>112</v>
      </c>
      <c r="D30" s="111">
        <v>5</v>
      </c>
      <c r="E30" s="86">
        <f t="shared" si="0"/>
        <v>8</v>
      </c>
      <c r="F30" s="122">
        <f>WORKDAY(F29,E30,Holiday!A26:A55)</f>
        <v>46141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1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2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t="s">
        <v>132</v>
      </c>
      <c r="C31" s="112" t="s">
        <v>112</v>
      </c>
      <c r="D31" s="111">
        <v>5</v>
      </c>
      <c r="E31" s="86">
        <f t="shared" si="0"/>
        <v>8</v>
      </c>
      <c r="F31" s="122">
        <f>WORKDAY(F30,E31,Holiday!A27:A56)</f>
        <v>46153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1</v>
      </c>
      <c r="K31" s="113">
        <f>IF(OR(AND($F30&lt;=K$3, $F31 &gt;= K$3), AND($F31&lt;K$3, WORKDAY($F31, 22,Holiday!$A$1:$A$30)&gt;K$3)), 1, 0)+IF(AND((K$3-$B$2)&gt;=0,(K$3-$B$2)&lt;30), 2,0)</f>
        <v>1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2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t="s">
        <v>130</v>
      </c>
      <c r="C32" s="112" t="s">
        <v>112</v>
      </c>
      <c r="D32" s="111">
        <v>5</v>
      </c>
      <c r="E32" s="86">
        <f t="shared" si="0"/>
        <v>8</v>
      </c>
      <c r="F32" s="122">
        <f>WORKDAY(F31,E32,Holiday!A28:A57)</f>
        <v>46163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1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2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t="s">
        <v>189</v>
      </c>
      <c r="C33" s="112" t="s">
        <v>112</v>
      </c>
      <c r="D33" s="111">
        <v>5</v>
      </c>
      <c r="E33" s="86">
        <f t="shared" si="0"/>
        <v>8</v>
      </c>
      <c r="F33" s="122">
        <f>WORKDAY(F32,E33,Holiday!A29:A58)</f>
        <v>46175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1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2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" x14ac:dyDescent="0.2">
      <c r="B34" t="s">
        <v>124</v>
      </c>
      <c r="C34" s="112" t="s">
        <v>112</v>
      </c>
      <c r="D34" s="111">
        <v>5</v>
      </c>
      <c r="E34" s="86">
        <f t="shared" si="0"/>
        <v>8</v>
      </c>
      <c r="F34" s="122">
        <f>WORKDAY(F33,E34,Holiday!A30:A59)</f>
        <v>46185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1</v>
      </c>
      <c r="L34" s="113">
        <f>IF(OR(AND($F33&lt;=L$3, $F34 &gt;= L$3), AND($F34&lt;L$3, WORKDAY($F34, 22,Holiday!$A$1:$A$30)&gt;L$3)), 1, 0)+IF(AND((L$3-$B$2)&gt;=0,(L$3-$B$2)&lt;30), 2,0)</f>
        <v>1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2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" x14ac:dyDescent="0.2">
      <c r="B35" t="s">
        <v>135</v>
      </c>
      <c r="C35" s="112" t="s">
        <v>112</v>
      </c>
      <c r="D35" s="111">
        <v>5</v>
      </c>
      <c r="E35" s="86">
        <f t="shared" si="0"/>
        <v>8</v>
      </c>
      <c r="F35" s="122">
        <f>WORKDAY(F34,E35,Holiday!A31:A60)</f>
        <v>46197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1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2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" x14ac:dyDescent="0.2">
      <c r="B36" t="s">
        <v>126</v>
      </c>
      <c r="C36" s="112" t="s">
        <v>112</v>
      </c>
      <c r="D36" s="111">
        <v>5</v>
      </c>
      <c r="E36" s="86">
        <f t="shared" si="0"/>
        <v>8</v>
      </c>
      <c r="F36" s="122">
        <f>WORKDAY(F35,E36,Holiday!A32:A61)</f>
        <v>46209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1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2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" x14ac:dyDescent="0.2">
      <c r="B37" t="s">
        <v>131</v>
      </c>
      <c r="C37" s="112" t="s">
        <v>112</v>
      </c>
      <c r="D37" s="111">
        <v>5</v>
      </c>
      <c r="E37" s="86">
        <f t="shared" si="0"/>
        <v>8</v>
      </c>
      <c r="F37" s="122">
        <f>WORKDAY(F36,E37,Holiday!A33:A62)</f>
        <v>46219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1</v>
      </c>
      <c r="M37" s="113">
        <f>IF(OR(AND($F36&lt;=M$3, $F37 &gt;= M$3), AND($F37&lt;M$3, WORKDAY($F37, 22,Holiday!$A$1:$A$30)&gt;M$3)), 1, 0)+IF(AND((M$3-$B$2)&gt;=0,(M$3-$B$2)&lt;30), 2,0)</f>
        <v>1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2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" x14ac:dyDescent="0.2">
      <c r="B38" t="s">
        <v>128</v>
      </c>
      <c r="C38" s="112" t="s">
        <v>112</v>
      </c>
      <c r="D38" s="111">
        <v>5</v>
      </c>
      <c r="E38" s="86">
        <f t="shared" si="0"/>
        <v>8</v>
      </c>
      <c r="F38" s="122">
        <f>WORKDAY(F37,E38,Holiday!A34:A63)</f>
        <v>46231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1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2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" x14ac:dyDescent="0.2">
      <c r="B39" t="s">
        <v>142</v>
      </c>
      <c r="C39" s="112" t="s">
        <v>112</v>
      </c>
      <c r="D39" s="111">
        <v>5</v>
      </c>
      <c r="E39" s="86">
        <f t="shared" si="0"/>
        <v>8</v>
      </c>
      <c r="F39" s="122">
        <f>WORKDAY(F38,E39,Holiday!A35:A64)</f>
        <v>46241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1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2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" x14ac:dyDescent="0.2">
      <c r="B40" t="s">
        <v>125</v>
      </c>
      <c r="C40" s="112" t="s">
        <v>112</v>
      </c>
      <c r="D40" s="111">
        <v>5</v>
      </c>
      <c r="E40" s="86">
        <f t="shared" si="0"/>
        <v>8</v>
      </c>
      <c r="F40" s="122">
        <f>WORKDAY(F39,E40,Holiday!A36:A65)</f>
        <v>46253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1</v>
      </c>
      <c r="N40" s="113">
        <f>IF(OR(AND($F39&lt;=N$3, $F40 &gt;= N$3), AND($F40&lt;N$3, WORKDAY($F40, 22,Holiday!$A$1:$A$30)&gt;N$3)), 1, 0)+IF(AND((N$3-$B$2)&gt;=0,(N$3-$B$2)&lt;30), 2,0)</f>
        <v>1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2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" x14ac:dyDescent="0.2">
      <c r="B41" t="s">
        <v>141</v>
      </c>
      <c r="C41" s="112" t="s">
        <v>112</v>
      </c>
      <c r="D41" s="111">
        <v>5</v>
      </c>
      <c r="E41" s="86">
        <f t="shared" si="0"/>
        <v>8</v>
      </c>
      <c r="F41" s="122">
        <f>WORKDAY(F40,E41,Holiday!A37:A66)</f>
        <v>46265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1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2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" x14ac:dyDescent="0.2">
      <c r="B42" t="s">
        <v>199</v>
      </c>
      <c r="C42" s="112" t="s">
        <v>112</v>
      </c>
      <c r="D42" s="111">
        <v>6</v>
      </c>
      <c r="E42" s="86">
        <f t="shared" si="0"/>
        <v>9</v>
      </c>
      <c r="F42" s="122">
        <f>WORKDAY(F41,E42,Holiday!A38:A67)</f>
        <v>46276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1</v>
      </c>
      <c r="O42" s="113">
        <f>IF(OR(AND($F41&lt;=O$3, $F42 &gt;= O$3), AND($F42&lt;O$3, WORKDAY($F42, 22,Holiday!$A$1:$A$30)&gt;O$3)), 1, 0)+IF(AND((O$3-$B$2)&gt;=0,(O$3-$B$2)&lt;30), 2,0)</f>
        <v>1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2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" x14ac:dyDescent="0.2">
      <c r="B43" t="s">
        <v>201</v>
      </c>
      <c r="C43" s="112" t="s">
        <v>112</v>
      </c>
      <c r="D43" s="111">
        <v>6</v>
      </c>
      <c r="E43" s="86">
        <f t="shared" si="0"/>
        <v>9</v>
      </c>
      <c r="F43" s="122">
        <f>WORKDAY(F42,E43,Holiday!A39:A68)</f>
        <v>46289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1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2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" x14ac:dyDescent="0.2">
      <c r="B44" t="s">
        <v>204</v>
      </c>
      <c r="C44" s="112" t="s">
        <v>112</v>
      </c>
      <c r="D44" s="111">
        <v>6</v>
      </c>
      <c r="E44" s="86">
        <f t="shared" si="0"/>
        <v>9</v>
      </c>
      <c r="F44" s="122">
        <f>WORKDAY(F43,E44,Holiday!A40:A69)</f>
        <v>46302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1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2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" x14ac:dyDescent="0.2">
      <c r="B45" t="s">
        <v>208</v>
      </c>
      <c r="C45" s="112" t="s">
        <v>112</v>
      </c>
      <c r="D45" s="111">
        <v>6</v>
      </c>
      <c r="E45" s="86">
        <f t="shared" si="0"/>
        <v>9</v>
      </c>
      <c r="F45" s="122">
        <f>WORKDAY(F44,E45,Holiday!A41:A70)</f>
        <v>46315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1</v>
      </c>
      <c r="P45" s="113">
        <f>IF(OR(AND($F44&lt;=P$3, $F45 &gt;= P$3), AND($F45&lt;P$3, WORKDAY($F45, 22,Holiday!$A$1:$A$30)&gt;P$3)), 1, 0)+IF(AND((P$3-$B$2)&gt;=0,(P$3-$B$2)&lt;30), 2,0)</f>
        <v>1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2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2:41" ht="15" x14ac:dyDescent="0.2">
      <c r="B46" t="s">
        <v>206</v>
      </c>
      <c r="C46" s="112" t="s">
        <v>112</v>
      </c>
      <c r="D46" s="111">
        <v>6</v>
      </c>
      <c r="E46" s="86">
        <f t="shared" si="0"/>
        <v>9</v>
      </c>
      <c r="F46" s="122">
        <f>WORKDAY(F45,E46,Holiday!A42:A71)</f>
        <v>46328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0</v>
      </c>
      <c r="M46" s="113">
        <f>IF(OR(AND($F45&lt;=M$3, $F46 &gt;= M$3), AND($F46&lt;M$3, WORKDAY($F46, 22,Holiday!$A$1:$A$30)&gt;M$3)), 1, 0)+IF(AND((M$3-$B$2)&gt;=0,(M$3-$B$2)&lt;30), 2,0)</f>
        <v>0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1</v>
      </c>
      <c r="Q46" s="113">
        <f>IF(OR(AND($F45&lt;=Q$3, $F46 &gt;= Q$3), AND($F46&lt;Q$3, WORKDAY($F46, 22,Holiday!$A$1:$A$30)&gt;Q$3)), 1, 0)+IF(AND((Q$3-$B$2)&gt;=0,(Q$3-$B$2)&lt;30), 2,0)</f>
        <v>0</v>
      </c>
      <c r="R46" s="113">
        <f>IF(OR(AND($F45&lt;=R$3, $F46 &gt;= R$3), AND($F46&lt;R$3, WORKDAY($F46, 22,Holiday!$A$1:$A$30)&gt;R$3)), 1, 0)+IF(AND((R$3-$B$2)&gt;=0,(R$3-$B$2)&lt;30), 2,0)</f>
        <v>2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2:41" ht="15" x14ac:dyDescent="0.2">
      <c r="B47" t="s">
        <v>198</v>
      </c>
      <c r="C47" s="112" t="s">
        <v>112</v>
      </c>
      <c r="D47" s="111">
        <v>6</v>
      </c>
      <c r="E47" s="86">
        <f t="shared" si="0"/>
        <v>9</v>
      </c>
      <c r="F47" s="122">
        <f>WORKDAY(F46,E47,Holiday!A43:A72)</f>
        <v>46339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0</v>
      </c>
      <c r="M47" s="113">
        <f>IF(OR(AND($F46&lt;=M$3, $F47 &gt;= M$3), AND($F47&lt;M$3, WORKDAY($F47, 22,Holiday!$A$1:$A$30)&gt;M$3)), 1, 0)+IF(AND((M$3-$B$2)&gt;=0,(M$3-$B$2)&lt;30), 2,0)</f>
        <v>0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1</v>
      </c>
      <c r="Q47" s="113">
        <f>IF(OR(AND($F46&lt;=Q$3, $F47 &gt;= Q$3), AND($F47&lt;Q$3, WORKDAY($F47, 22,Holiday!$A$1:$A$30)&gt;Q$3)), 1, 0)+IF(AND((Q$3-$B$2)&gt;=0,(Q$3-$B$2)&lt;30), 2,0)</f>
        <v>1</v>
      </c>
      <c r="R47" s="113">
        <f>IF(OR(AND($F46&lt;=R$3, $F47 &gt;= R$3), AND($F47&lt;R$3, WORKDAY($F47, 22,Holiday!$A$1:$A$30)&gt;R$3)), 1, 0)+IF(AND((R$3-$B$2)&gt;=0,(R$3-$B$2)&lt;30), 2,0)</f>
        <v>2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2:41" ht="15" x14ac:dyDescent="0.2">
      <c r="B48" t="s">
        <v>200</v>
      </c>
      <c r="C48" s="112" t="s">
        <v>112</v>
      </c>
      <c r="D48" s="111">
        <v>6</v>
      </c>
      <c r="E48" s="86">
        <f t="shared" si="0"/>
        <v>9</v>
      </c>
      <c r="F48" s="122">
        <f>WORKDAY(F47,E48,Holiday!A44:A73)</f>
        <v>46352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0</v>
      </c>
      <c r="N48" s="113">
        <f>IF(OR(AND($F47&lt;=N$3, $F48 &gt;= N$3), AND($F48&lt;N$3, WORKDAY($F48, 22,Holiday!$A$1:$A$30)&gt;N$3)), 1, 0)+IF(AND((N$3-$B$2)&gt;=0,(N$3-$B$2)&lt;30), 2,0)</f>
        <v>0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1</v>
      </c>
      <c r="R48" s="113">
        <f>IF(OR(AND($F47&lt;=R$3, $F48 &gt;= R$3), AND($F48&lt;R$3, WORKDAY($F48, 22,Holiday!$A$1:$A$30)&gt;R$3)), 1, 0)+IF(AND((R$3-$B$2)&gt;=0,(R$3-$B$2)&lt;30), 2,0)</f>
        <v>2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2:41" ht="15" x14ac:dyDescent="0.2">
      <c r="B49" t="s">
        <v>173</v>
      </c>
      <c r="C49" s="112" t="s">
        <v>112</v>
      </c>
      <c r="D49" s="111">
        <v>6</v>
      </c>
      <c r="E49" s="86">
        <f t="shared" si="0"/>
        <v>9</v>
      </c>
      <c r="F49" s="122">
        <f>WORKDAY(F48,E49,Holiday!A45:A74)</f>
        <v>46365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0</v>
      </c>
      <c r="O49" s="113">
        <f>IF(OR(AND($F48&lt;=O$3, $F49 &gt;= O$3), AND($F49&lt;O$3, WORKDAY($F49, 22,Holiday!$A$1:$A$30)&gt;O$3)), 1, 0)+IF(AND((O$3-$B$2)&gt;=0,(O$3-$B$2)&lt;30), 2,0)</f>
        <v>0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1</v>
      </c>
      <c r="R49" s="113">
        <f>IF(OR(AND($F48&lt;=R$3, $F49 &gt;= R$3), AND($F49&lt;R$3, WORKDAY($F49, 22,Holiday!$A$1:$A$30)&gt;R$3)), 1, 0)+IF(AND((R$3-$B$2)&gt;=0,(R$3-$B$2)&lt;30), 2,0)</f>
        <v>2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2:41" ht="15" x14ac:dyDescent="0.2">
      <c r="B50" t="s">
        <v>165</v>
      </c>
      <c r="C50" s="112" t="s">
        <v>112</v>
      </c>
      <c r="D50" s="111">
        <v>6</v>
      </c>
      <c r="E50" s="86">
        <f t="shared" si="0"/>
        <v>9</v>
      </c>
      <c r="F50" s="122">
        <f>WORKDAY(F49,E50,Holiday!A46:A75)</f>
        <v>46378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0</v>
      </c>
      <c r="O50" s="113">
        <f>IF(OR(AND($F49&lt;=O$3, $F50 &gt;= O$3), AND($F50&lt;O$3, WORKDAY($F50, 22,Holiday!$A$1:$A$30)&gt;O$3)), 1, 0)+IF(AND((O$3-$B$2)&gt;=0,(O$3-$B$2)&lt;30), 2,0)</f>
        <v>0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1</v>
      </c>
      <c r="R50" s="113">
        <f>IF(OR(AND($F49&lt;=R$3, $F50 &gt;= R$3), AND($F50&lt;R$3, WORKDAY($F50, 22,Holiday!$A$1:$A$30)&gt;R$3)), 1, 0)+IF(AND((R$3-$B$2)&gt;=0,(R$3-$B$2)&lt;30), 2,0)</f>
        <v>3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2:41" ht="15" x14ac:dyDescent="0.2">
      <c r="B51" t="s">
        <v>174</v>
      </c>
      <c r="C51" s="112" t="s">
        <v>112</v>
      </c>
      <c r="D51" s="111">
        <v>6</v>
      </c>
      <c r="E51" s="86">
        <f t="shared" si="0"/>
        <v>9</v>
      </c>
      <c r="F51" s="122">
        <f>WORKDAY(F50,E51,Holiday!A47:A76)</f>
        <v>46391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0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0</v>
      </c>
      <c r="R51" s="113">
        <f>IF(OR(AND($F50&lt;=R$3, $F51 &gt;= R$3), AND($F51&lt;R$3, WORKDAY($F51, 22,Holiday!$A$1:$A$30)&gt;R$3)), 1, 0)+IF(AND((R$3-$B$2)&gt;=0,(R$3-$B$2)&lt;30), 2,0)</f>
        <v>3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2:41" ht="15" x14ac:dyDescent="0.2">
      <c r="B52" t="s">
        <v>182</v>
      </c>
      <c r="C52" s="112" t="s">
        <v>113</v>
      </c>
      <c r="D52" s="111">
        <v>6</v>
      </c>
      <c r="E52" s="86">
        <f t="shared" si="0"/>
        <v>9</v>
      </c>
      <c r="F52" s="122">
        <f>WORKDAY(F4,E52,Holiday!A48:A77)</f>
        <v>46064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1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0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0</v>
      </c>
      <c r="R52" s="113">
        <f>IF(OR(AND($F51&lt;=R$3, $F52 &gt;= R$3), AND($F52&lt;R$3, WORKDAY($F52, 22,Holiday!$A$1:$A$30)&gt;R$3)), 1, 0)+IF(AND((R$3-$B$2)&gt;=0,(R$3-$B$2)&lt;30), 2,0)</f>
        <v>2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0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2:41" ht="15" x14ac:dyDescent="0.2">
      <c r="B53" t="s">
        <v>207</v>
      </c>
      <c r="C53" s="112" t="s">
        <v>113</v>
      </c>
      <c r="D53" s="111">
        <v>6</v>
      </c>
      <c r="E53" s="86">
        <f t="shared" si="0"/>
        <v>9</v>
      </c>
      <c r="F53" s="122">
        <f>WORKDAY(F52,E53,Holiday!A49:A78)</f>
        <v>46077</v>
      </c>
      <c r="G53" s="113">
        <f>IF(OR(AND($F52&lt;=G$3, $F53 &gt;= G$3), AND($F53&lt;G$3, WORKDAY($F53, 22,Holiday!$A$1:$A$30)&gt;G$3)), 1, 0)+IF(AND((G$3-$B$2)&gt;=0,(G$3-$B$2)&lt;30), 2,0)</f>
        <v>0</v>
      </c>
      <c r="H53" s="113">
        <f>IF(OR(AND($F52&lt;=H$3, $F53 &gt;= H$3), AND($F53&lt;H$3, WORKDAY($F53, 22,Holiday!$A$1:$A$30)&gt;H$3)), 1, 0)+IF(AND((H$3-$B$2)&gt;=0,(H$3-$B$2)&lt;30), 2,0)</f>
        <v>1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0</v>
      </c>
      <c r="L53" s="113">
        <f>IF(OR(AND($F52&lt;=L$3, $F53 &gt;= L$3), AND($F53&lt;L$3, WORKDAY($F53, 22,Holiday!$A$1:$A$30)&gt;L$3)), 1, 0)+IF(AND((L$3-$B$2)&gt;=0,(L$3-$B$2)&lt;30), 2,0)</f>
        <v>0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0</v>
      </c>
      <c r="P53" s="113">
        <f>IF(OR(AND($F52&lt;=P$3, $F53 &gt;= P$3), AND($F53&lt;P$3, WORKDAY($F53, 22,Holiday!$A$1:$A$30)&gt;P$3)), 1, 0)+IF(AND((P$3-$B$2)&gt;=0,(P$3-$B$2)&lt;30), 2,0)</f>
        <v>0</v>
      </c>
      <c r="Q53" s="113">
        <f>IF(OR(AND($F52&lt;=Q$3, $F53 &gt;= Q$3), AND($F53&lt;Q$3, WORKDAY($F53, 22,Holiday!$A$1:$A$30)&gt;Q$3)), 1, 0)+IF(AND((Q$3-$B$2)&gt;=0,(Q$3-$B$2)&lt;30), 2,0)</f>
        <v>0</v>
      </c>
      <c r="R53" s="113">
        <f>IF(OR(AND($F52&lt;=R$3, $F53 &gt;= R$3), AND($F53&lt;R$3, WORKDAY($F53, 22,Holiday!$A$1:$A$30)&gt;R$3)), 1, 0)+IF(AND((R$3-$B$2)&gt;=0,(R$3-$B$2)&lt;30), 2,0)</f>
        <v>2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0</v>
      </c>
      <c r="V53" s="113">
        <f>IF(OR(AND($F52&lt;=V$3, $F53 &gt;= V$3), AND($F53&lt;V$3, WORKDAY($F53, 22,Holiday!$A$1:$A$30)&gt;V$3)), 1, 0)+IF(AND((V$3-$B$2)&gt;=0,(V$3-$B$2)&lt;30), 2,0)</f>
        <v>0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0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</row>
    <row r="54" spans="2:41" ht="15" x14ac:dyDescent="0.2">
      <c r="B54" t="s">
        <v>205</v>
      </c>
      <c r="C54" s="112" t="s">
        <v>113</v>
      </c>
      <c r="D54" s="111">
        <v>6</v>
      </c>
      <c r="E54" s="86">
        <f t="shared" si="0"/>
        <v>9</v>
      </c>
      <c r="F54" s="122">
        <f>WORKDAY(F53,E54,Holiday!A50:A79)</f>
        <v>46090</v>
      </c>
      <c r="G54" s="113">
        <f>IF(OR(AND($F53&lt;=G$3, $F54 &gt;= G$3), AND($F54&lt;G$3, WORKDAY($F54, 22,Holiday!$A$1:$A$30)&gt;G$3)), 1, 0)+IF(AND((G$3-$B$2)&gt;=0,(G$3-$B$2)&lt;30), 2,0)</f>
        <v>0</v>
      </c>
      <c r="H54" s="113">
        <f>IF(OR(AND($F53&lt;=H$3, $F54 &gt;= H$3), AND($F54&lt;H$3, WORKDAY($F54, 22,Holiday!$A$1:$A$30)&gt;H$3)), 1, 0)+IF(AND((H$3-$B$2)&gt;=0,(H$3-$B$2)&lt;30), 2,0)</f>
        <v>1</v>
      </c>
      <c r="I54" s="113">
        <f>IF(OR(AND($F53&lt;=I$3, $F54 &gt;= I$3), AND($F54&lt;I$3, WORKDAY($F54, 22,Holiday!$A$1:$A$30)&gt;I$3)), 1, 0)+IF(AND((I$3-$B$2)&gt;=0,(I$3-$B$2)&lt;30), 2,0)</f>
        <v>1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0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0</v>
      </c>
      <c r="P54" s="113">
        <f>IF(OR(AND($F53&lt;=P$3, $F54 &gt;= P$3), AND($F54&lt;P$3, WORKDAY($F54, 22,Holiday!$A$1:$A$30)&gt;P$3)), 1, 0)+IF(AND((P$3-$B$2)&gt;=0,(P$3-$B$2)&lt;30), 2,0)</f>
        <v>0</v>
      </c>
      <c r="Q54" s="113">
        <f>IF(OR(AND($F53&lt;=Q$3, $F54 &gt;= Q$3), AND($F54&lt;Q$3, WORKDAY($F54, 22,Holiday!$A$1:$A$30)&gt;Q$3)), 1, 0)+IF(AND((Q$3-$B$2)&gt;=0,(Q$3-$B$2)&lt;30), 2,0)</f>
        <v>0</v>
      </c>
      <c r="R54" s="113">
        <f>IF(OR(AND($F53&lt;=R$3, $F54 &gt;= R$3), AND($F54&lt;R$3, WORKDAY($F54, 22,Holiday!$A$1:$A$30)&gt;R$3)), 1, 0)+IF(AND((R$3-$B$2)&gt;=0,(R$3-$B$2)&lt;30), 2,0)</f>
        <v>2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0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0</v>
      </c>
      <c r="AE54" s="113">
        <f>IF(OR(AND($F53&lt;=AE$3, $F54 &gt;= AE$3), AND($F54&lt;AE$3, WORKDAY($F54, 22,Holiday!$A$1:$A$30)&gt;AE$3)), 1, 0)+IF(AND((AE$3-$B$2)&gt;=0,(AE$3-$B$2)&lt;30), 2,0)</f>
        <v>0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</row>
    <row r="55" spans="2:41" ht="15" x14ac:dyDescent="0.2">
      <c r="B55" t="s">
        <v>186</v>
      </c>
      <c r="C55" s="112" t="s">
        <v>113</v>
      </c>
      <c r="D55" s="111">
        <v>6</v>
      </c>
      <c r="E55" s="86">
        <f t="shared" si="0"/>
        <v>9</v>
      </c>
      <c r="F55" s="122">
        <f>WORKDAY(F54,E55,Holiday!A51:A80)</f>
        <v>46101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0</v>
      </c>
      <c r="I55" s="113">
        <f>IF(OR(AND($F54&lt;=I$3, $F55 &gt;= I$3), AND($F55&lt;I$3, WORKDAY($F55, 22,Holiday!$A$1:$A$30)&gt;I$3)), 1, 0)+IF(AND((I$3-$B$2)&gt;=0,(I$3-$B$2)&lt;30), 2,0)</f>
        <v>1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0</v>
      </c>
      <c r="R55" s="113">
        <f>IF(OR(AND($F54&lt;=R$3, $F55 &gt;= R$3), AND($F55&lt;R$3, WORKDAY($F55, 22,Holiday!$A$1:$A$30)&gt;R$3)), 1, 0)+IF(AND((R$3-$B$2)&gt;=0,(R$3-$B$2)&lt;30), 2,0)</f>
        <v>2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0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</row>
    <row r="56" spans="2:41" ht="15" x14ac:dyDescent="0.2">
      <c r="B56" t="s">
        <v>171</v>
      </c>
      <c r="C56" s="112" t="s">
        <v>113</v>
      </c>
      <c r="D56" s="111">
        <v>6</v>
      </c>
      <c r="E56" s="86">
        <f t="shared" si="0"/>
        <v>9</v>
      </c>
      <c r="F56" s="122">
        <f>WORKDAY(F55,E56,Holiday!A52:A81)</f>
        <v>46114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1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0</v>
      </c>
      <c r="R56" s="113">
        <f>IF(OR(AND($F55&lt;=R$3, $F56 &gt;= R$3), AND($F56&lt;R$3, WORKDAY($F56, 22,Holiday!$A$1:$A$30)&gt;R$3)), 1, 0)+IF(AND((R$3-$B$2)&gt;=0,(R$3-$B$2)&lt;30), 2,0)</f>
        <v>2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2:41" ht="15" x14ac:dyDescent="0.2">
      <c r="B57" t="s">
        <v>184</v>
      </c>
      <c r="C57" s="112" t="s">
        <v>113</v>
      </c>
      <c r="D57" s="111">
        <v>6</v>
      </c>
      <c r="E57" s="86">
        <f t="shared" si="0"/>
        <v>9</v>
      </c>
      <c r="F57" s="122">
        <f>WORKDAY(F56,E57,Holiday!A53:A82)</f>
        <v>46127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1</v>
      </c>
      <c r="J57" s="113">
        <f>IF(OR(AND($F56&lt;=J$3, $F57 &gt;= J$3), AND($F57&lt;J$3, WORKDAY($F57, 22,Holiday!$A$1:$A$30)&gt;J$3)), 1, 0)+IF(AND((J$3-$B$2)&gt;=0,(J$3-$B$2)&lt;30), 2,0)</f>
        <v>1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0</v>
      </c>
      <c r="R57" s="113">
        <f>IF(OR(AND($F56&lt;=R$3, $F57 &gt;= R$3), AND($F57&lt;R$3, WORKDAY($F57, 22,Holiday!$A$1:$A$30)&gt;R$3)), 1, 0)+IF(AND((R$3-$B$2)&gt;=0,(R$3-$B$2)&lt;30), 2,0)</f>
        <v>2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2:41" ht="15" x14ac:dyDescent="0.2">
      <c r="B58" t="s">
        <v>146</v>
      </c>
      <c r="C58" s="112" t="s">
        <v>113</v>
      </c>
      <c r="D58" s="111">
        <v>6</v>
      </c>
      <c r="E58" s="86">
        <f t="shared" si="0"/>
        <v>9</v>
      </c>
      <c r="F58" s="122">
        <f>WORKDAY(F57,E58,Holiday!A54:A83)</f>
        <v>46140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0</v>
      </c>
      <c r="J58" s="113">
        <f>IF(OR(AND($F57&lt;=J$3, $F58 &gt;= J$3), AND($F58&lt;J$3, WORKDAY($F58, 22,Holiday!$A$1:$A$30)&gt;J$3)), 1, 0)+IF(AND((J$3-$B$2)&gt;=0,(J$3-$B$2)&lt;30), 2,0)</f>
        <v>1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0</v>
      </c>
      <c r="R58" s="113">
        <f>IF(OR(AND($F57&lt;=R$3, $F58 &gt;= R$3), AND($F58&lt;R$3, WORKDAY($F58, 22,Holiday!$A$1:$A$30)&gt;R$3)), 1, 0)+IF(AND((R$3-$B$2)&gt;=0,(R$3-$B$2)&lt;30), 2,0)</f>
        <v>2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2:41" ht="15" x14ac:dyDescent="0.2">
      <c r="B59" t="s">
        <v>170</v>
      </c>
      <c r="C59" s="112" t="s">
        <v>113</v>
      </c>
      <c r="D59" s="111">
        <v>6</v>
      </c>
      <c r="E59" s="86">
        <f t="shared" si="0"/>
        <v>9</v>
      </c>
      <c r="F59" s="122">
        <f>WORKDAY(F58,E59,Holiday!A55:A84)</f>
        <v>46153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1</v>
      </c>
      <c r="K59" s="113">
        <f>IF(OR(AND($F58&lt;=K$3, $F59 &gt;= K$3), AND($F59&lt;K$3, WORKDAY($F59, 22,Holiday!$A$1:$A$30)&gt;K$3)), 1, 0)+IF(AND((K$3-$B$2)&gt;=0,(K$3-$B$2)&lt;30), 2,0)</f>
        <v>1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0</v>
      </c>
      <c r="R59" s="113">
        <f>IF(OR(AND($F58&lt;=R$3, $F59 &gt;= R$3), AND($F59&lt;R$3, WORKDAY($F59, 22,Holiday!$A$1:$A$30)&gt;R$3)), 1, 0)+IF(AND((R$3-$B$2)&gt;=0,(R$3-$B$2)&lt;30), 2,0)</f>
        <v>2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2:41" ht="15" x14ac:dyDescent="0.2">
      <c r="B60" t="s">
        <v>169</v>
      </c>
      <c r="C60" s="112" t="s">
        <v>113</v>
      </c>
      <c r="D60" s="111">
        <v>6</v>
      </c>
      <c r="E60" s="86">
        <f t="shared" si="0"/>
        <v>9</v>
      </c>
      <c r="F60" s="122">
        <f>WORKDAY(F59,E60,Holiday!A56:A85)</f>
        <v>46164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0</v>
      </c>
      <c r="K60" s="113">
        <f>IF(OR(AND($F59&lt;=K$3, $F60 &gt;= K$3), AND($F60&lt;K$3, WORKDAY($F60, 22,Holiday!$A$1:$A$30)&gt;K$3)), 1, 0)+IF(AND((K$3-$B$2)&gt;=0,(K$3-$B$2)&lt;30), 2,0)</f>
        <v>1</v>
      </c>
      <c r="L60" s="113">
        <f>IF(OR(AND($F59&lt;=L$3, $F60 &gt;= L$3), AND($F60&lt;L$3, WORKDAY($F60, 22,Holiday!$A$1:$A$30)&gt;L$3)), 1, 0)+IF(AND((L$3-$B$2)&gt;=0,(L$3-$B$2)&lt;30), 2,0)</f>
        <v>0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0</v>
      </c>
      <c r="R60" s="113">
        <f>IF(OR(AND($F59&lt;=R$3, $F60 &gt;= R$3), AND($F60&lt;R$3, WORKDAY($F60, 22,Holiday!$A$1:$A$30)&gt;R$3)), 1, 0)+IF(AND((R$3-$B$2)&gt;=0,(R$3-$B$2)&lt;30), 2,0)</f>
        <v>2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2:41" ht="15" x14ac:dyDescent="0.2">
      <c r="B61" t="s">
        <v>178</v>
      </c>
      <c r="C61" s="112" t="s">
        <v>113</v>
      </c>
      <c r="D61" s="111">
        <v>6</v>
      </c>
      <c r="E61" s="86">
        <f t="shared" si="0"/>
        <v>9</v>
      </c>
      <c r="F61" s="122">
        <f>WORKDAY(F60,E61,Holiday!A57:A86)</f>
        <v>46177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1</v>
      </c>
      <c r="L61" s="113">
        <f>IF(OR(AND($F60&lt;=L$3, $F61 &gt;= L$3), AND($F61&lt;L$3, WORKDAY($F61, 22,Holiday!$A$1:$A$30)&gt;L$3)), 1, 0)+IF(AND((L$3-$B$2)&gt;=0,(L$3-$B$2)&lt;30), 2,0)</f>
        <v>0</v>
      </c>
      <c r="M61" s="113">
        <f>IF(OR(AND($F60&lt;=M$3, $F61 &gt;= M$3), AND($F61&lt;M$3, WORKDAY($F61, 22,Holiday!$A$1:$A$30)&gt;M$3)), 1, 0)+IF(AND((M$3-$B$2)&gt;=0,(M$3-$B$2)&lt;30), 2,0)</f>
        <v>0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0</v>
      </c>
      <c r="R61" s="113">
        <f>IF(OR(AND($F60&lt;=R$3, $F61 &gt;= R$3), AND($F61&lt;R$3, WORKDAY($F61, 22,Holiday!$A$1:$A$30)&gt;R$3)), 1, 0)+IF(AND((R$3-$B$2)&gt;=0,(R$3-$B$2)&lt;30), 2,0)</f>
        <v>2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2:41" ht="15" x14ac:dyDescent="0.2">
      <c r="B62" t="s">
        <v>145</v>
      </c>
      <c r="C62" s="112" t="s">
        <v>113</v>
      </c>
      <c r="D62" s="111">
        <v>6</v>
      </c>
      <c r="E62" s="86">
        <f t="shared" si="0"/>
        <v>9</v>
      </c>
      <c r="F62" s="122">
        <f>WORKDAY(F61,E62,Holiday!A58:A87)</f>
        <v>46190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1</v>
      </c>
      <c r="L62" s="113">
        <f>IF(OR(AND($F61&lt;=L$3, $F62 &gt;= L$3), AND($F62&lt;L$3, WORKDAY($F62, 22,Holiday!$A$1:$A$30)&gt;L$3)), 1, 0)+IF(AND((L$3-$B$2)&gt;=0,(L$3-$B$2)&lt;30), 2,0)</f>
        <v>1</v>
      </c>
      <c r="M62" s="113">
        <f>IF(OR(AND($F61&lt;=M$3, $F62 &gt;= M$3), AND($F62&lt;M$3, WORKDAY($F62, 22,Holiday!$A$1:$A$30)&gt;M$3)), 1, 0)+IF(AND((M$3-$B$2)&gt;=0,(M$3-$B$2)&lt;30), 2,0)</f>
        <v>0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0</v>
      </c>
      <c r="R62" s="113">
        <f>IF(OR(AND($F61&lt;=R$3, $F62 &gt;= R$3), AND($F62&lt;R$3, WORKDAY($F62, 22,Holiday!$A$1:$A$30)&gt;R$3)), 1, 0)+IF(AND((R$3-$B$2)&gt;=0,(R$3-$B$2)&lt;30), 2,0)</f>
        <v>2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2:41" ht="15" x14ac:dyDescent="0.2">
      <c r="B63" t="s">
        <v>143</v>
      </c>
      <c r="C63" s="112" t="s">
        <v>113</v>
      </c>
      <c r="D63" s="111">
        <v>6</v>
      </c>
      <c r="E63" s="86">
        <f t="shared" si="0"/>
        <v>9</v>
      </c>
      <c r="F63" s="122">
        <f>WORKDAY(F62,E63,Holiday!A59:A88)</f>
        <v>46203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0</v>
      </c>
      <c r="L63" s="113">
        <f>IF(OR(AND($F62&lt;=L$3, $F63 &gt;= L$3), AND($F63&lt;L$3, WORKDAY($F63, 22,Holiday!$A$1:$A$30)&gt;L$3)), 1, 0)+IF(AND((L$3-$B$2)&gt;=0,(L$3-$B$2)&lt;30), 2,0)</f>
        <v>1</v>
      </c>
      <c r="M63" s="113">
        <f>IF(OR(AND($F62&lt;=M$3, $F63 &gt;= M$3), AND($F63&lt;M$3, WORKDAY($F63, 22,Holiday!$A$1:$A$30)&gt;M$3)), 1, 0)+IF(AND((M$3-$B$2)&gt;=0,(M$3-$B$2)&lt;30), 2,0)</f>
        <v>0</v>
      </c>
      <c r="N63" s="113">
        <f>IF(OR(AND($F62&lt;=N$3, $F63 &gt;= N$3), AND($F63&lt;N$3, WORKDAY($F63, 22,Holiday!$A$1:$A$30)&gt;N$3)), 1, 0)+IF(AND((N$3-$B$2)&gt;=0,(N$3-$B$2)&lt;30), 2,0)</f>
        <v>0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0</v>
      </c>
      <c r="R63" s="113">
        <f>IF(OR(AND($F62&lt;=R$3, $F63 &gt;= R$3), AND($F63&lt;R$3, WORKDAY($F63, 22,Holiday!$A$1:$A$30)&gt;R$3)), 1, 0)+IF(AND((R$3-$B$2)&gt;=0,(R$3-$B$2)&lt;30), 2,0)</f>
        <v>2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2:41" ht="15" x14ac:dyDescent="0.2">
      <c r="B64" t="s">
        <v>144</v>
      </c>
      <c r="C64" s="112" t="s">
        <v>113</v>
      </c>
      <c r="D64" s="111">
        <v>6</v>
      </c>
      <c r="E64" s="86">
        <f t="shared" si="0"/>
        <v>9</v>
      </c>
      <c r="F64" s="122">
        <f>WORKDAY(F63,E64,Holiday!A60:A89)</f>
        <v>46216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1</v>
      </c>
      <c r="M64" s="113">
        <f>IF(OR(AND($F63&lt;=M$3, $F64 &gt;= M$3), AND($F64&lt;M$3, WORKDAY($F64, 22,Holiday!$A$1:$A$30)&gt;M$3)), 1, 0)+IF(AND((M$3-$B$2)&gt;=0,(M$3-$B$2)&lt;30), 2,0)</f>
        <v>1</v>
      </c>
      <c r="N64" s="113">
        <f>IF(OR(AND($F63&lt;=N$3, $F64 &gt;= N$3), AND($F64&lt;N$3, WORKDAY($F64, 22,Holiday!$A$1:$A$30)&gt;N$3)), 1, 0)+IF(AND((N$3-$B$2)&gt;=0,(N$3-$B$2)&lt;30), 2,0)</f>
        <v>0</v>
      </c>
      <c r="O64" s="113">
        <f>IF(OR(AND($F63&lt;=O$3, $F64 &gt;= O$3), AND($F64&lt;O$3, WORKDAY($F64, 22,Holiday!$A$1:$A$30)&gt;O$3)), 1, 0)+IF(AND((O$3-$B$2)&gt;=0,(O$3-$B$2)&lt;30), 2,0)</f>
        <v>0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0</v>
      </c>
      <c r="R64" s="113">
        <f>IF(OR(AND($F63&lt;=R$3, $F64 &gt;= R$3), AND($F64&lt;R$3, WORKDAY($F64, 22,Holiday!$A$1:$A$30)&gt;R$3)), 1, 0)+IF(AND((R$3-$B$2)&gt;=0,(R$3-$B$2)&lt;30), 2,0)</f>
        <v>2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2:41" ht="15" x14ac:dyDescent="0.2">
      <c r="B65" t="s">
        <v>159</v>
      </c>
      <c r="C65" s="112" t="s">
        <v>113</v>
      </c>
      <c r="D65" s="111">
        <v>6</v>
      </c>
      <c r="E65" s="86">
        <f t="shared" si="0"/>
        <v>9</v>
      </c>
      <c r="F65" s="122">
        <f>WORKDAY(F64,E65,Holiday!A61:A90)</f>
        <v>46227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0</v>
      </c>
      <c r="M65" s="113">
        <f>IF(OR(AND($F64&lt;=M$3, $F65 &gt;= M$3), AND($F65&lt;M$3, WORKDAY($F65, 22,Holiday!$A$1:$A$30)&gt;M$3)), 1, 0)+IF(AND((M$3-$B$2)&gt;=0,(M$3-$B$2)&lt;30), 2,0)</f>
        <v>1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0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0</v>
      </c>
      <c r="R65" s="113">
        <f>IF(OR(AND($F64&lt;=R$3, $F65 &gt;= R$3), AND($F65&lt;R$3, WORKDAY($F65, 22,Holiday!$A$1:$A$30)&gt;R$3)), 1, 0)+IF(AND((R$3-$B$2)&gt;=0,(R$3-$B$2)&lt;30), 2,0)</f>
        <v>2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2:41" ht="15" x14ac:dyDescent="0.2">
      <c r="B66" t="s">
        <v>156</v>
      </c>
      <c r="C66" s="112" t="s">
        <v>113</v>
      </c>
      <c r="D66" s="111">
        <v>6</v>
      </c>
      <c r="E66" s="86">
        <f t="shared" si="0"/>
        <v>9</v>
      </c>
      <c r="F66" s="122">
        <f>WORKDAY(F65,E66,Holiday!A62:A91)</f>
        <v>46240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1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0</v>
      </c>
      <c r="P66" s="113">
        <f>IF(OR(AND($F65&lt;=P$3, $F66 &gt;= P$3), AND($F66&lt;P$3, WORKDAY($F66, 22,Holiday!$A$1:$A$30)&gt;P$3)), 1, 0)+IF(AND((P$3-$B$2)&gt;=0,(P$3-$B$2)&lt;30), 2,0)</f>
        <v>0</v>
      </c>
      <c r="Q66" s="113">
        <f>IF(OR(AND($F65&lt;=Q$3, $F66 &gt;= Q$3), AND($F66&lt;Q$3, WORKDAY($F66, 22,Holiday!$A$1:$A$30)&gt;Q$3)), 1, 0)+IF(AND((Q$3-$B$2)&gt;=0,(Q$3-$B$2)&lt;30), 2,0)</f>
        <v>0</v>
      </c>
      <c r="R66" s="113">
        <f>IF(OR(AND($F65&lt;=R$3, $F66 &gt;= R$3), AND($F66&lt;R$3, WORKDAY($F66, 22,Holiday!$A$1:$A$30)&gt;R$3)), 1, 0)+IF(AND((R$3-$B$2)&gt;=0,(R$3-$B$2)&lt;30), 2,0)</f>
        <v>2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2:41" ht="15" x14ac:dyDescent="0.2">
      <c r="B67" t="s">
        <v>179</v>
      </c>
      <c r="C67" s="112" t="s">
        <v>113</v>
      </c>
      <c r="D67" s="111">
        <v>6</v>
      </c>
      <c r="E67" s="86">
        <f t="shared" si="0"/>
        <v>9</v>
      </c>
      <c r="F67" s="122">
        <f>WORKDAY(F66,E67,Holiday!A63:A92)</f>
        <v>46253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1</v>
      </c>
      <c r="N67" s="113">
        <f>IF(OR(AND($F66&lt;=N$3, $F67 &gt;= N$3), AND($F67&lt;N$3, WORKDAY($F67, 22,Holiday!$A$1:$A$30)&gt;N$3)), 1, 0)+IF(AND((N$3-$B$2)&gt;=0,(N$3-$B$2)&lt;30), 2,0)</f>
        <v>1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0</v>
      </c>
      <c r="Q67" s="113">
        <f>IF(OR(AND($F66&lt;=Q$3, $F67 &gt;= Q$3), AND($F67&lt;Q$3, WORKDAY($F67, 22,Holiday!$A$1:$A$30)&gt;Q$3)), 1, 0)+IF(AND((Q$3-$B$2)&gt;=0,(Q$3-$B$2)&lt;30), 2,0)</f>
        <v>0</v>
      </c>
      <c r="R67" s="113">
        <f>IF(OR(AND($F66&lt;=R$3, $F67 &gt;= R$3), AND($F67&lt;R$3, WORKDAY($F67, 22,Holiday!$A$1:$A$30)&gt;R$3)), 1, 0)+IF(AND((R$3-$B$2)&gt;=0,(R$3-$B$2)&lt;30), 2,0)</f>
        <v>2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2:41" ht="15" x14ac:dyDescent="0.2">
      <c r="B68" t="s">
        <v>202</v>
      </c>
      <c r="C68" s="112" t="s">
        <v>113</v>
      </c>
      <c r="D68" s="111">
        <v>6</v>
      </c>
      <c r="E68" s="86">
        <f t="shared" si="0"/>
        <v>9</v>
      </c>
      <c r="F68" s="122">
        <f>WORKDAY(F67,E68,Holiday!A64:A93)</f>
        <v>46266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1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0</v>
      </c>
      <c r="R68" s="113">
        <f>IF(OR(AND($F67&lt;=R$3, $F68 &gt;= R$3), AND($F68&lt;R$3, WORKDAY($F68, 22,Holiday!$A$1:$A$30)&gt;R$3)), 1, 0)+IF(AND((R$3-$B$2)&gt;=0,(R$3-$B$2)&lt;30), 2,0)</f>
        <v>2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2:41" ht="15" x14ac:dyDescent="0.2">
      <c r="B69" t="s">
        <v>180</v>
      </c>
      <c r="C69" s="112" t="s">
        <v>113</v>
      </c>
      <c r="D69" s="111">
        <v>6</v>
      </c>
      <c r="E69" s="86">
        <f t="shared" si="0"/>
        <v>9</v>
      </c>
      <c r="F69" s="122">
        <f>WORKDAY(F68,E69,Holiday!A65:A94)</f>
        <v>46279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1</v>
      </c>
      <c r="O69" s="113">
        <f>IF(OR(AND($F68&lt;=O$3, $F69 &gt;= O$3), AND($F69&lt;O$3, WORKDAY($F69, 22,Holiday!$A$1:$A$30)&gt;O$3)), 1, 0)+IF(AND((O$3-$B$2)&gt;=0,(O$3-$B$2)&lt;30), 2,0)</f>
        <v>1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0</v>
      </c>
      <c r="R69" s="113">
        <f>IF(OR(AND($F68&lt;=R$3, $F69 &gt;= R$3), AND($F69&lt;R$3, WORKDAY($F69, 22,Holiday!$A$1:$A$30)&gt;R$3)), 1, 0)+IF(AND((R$3-$B$2)&gt;=0,(R$3-$B$2)&lt;30), 2,0)</f>
        <v>2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2:41" ht="15" x14ac:dyDescent="0.2">
      <c r="B70" t="s">
        <v>175</v>
      </c>
      <c r="C70" s="112" t="s">
        <v>113</v>
      </c>
      <c r="D70" s="111">
        <v>6</v>
      </c>
      <c r="E70" s="86">
        <f t="shared" ref="E70:E103" si="1">ROUNDUP(D70*(1+$D$2),0)</f>
        <v>9</v>
      </c>
      <c r="F70" s="122">
        <f>WORKDAY(F69,E70,Holiday!A66:A95)</f>
        <v>46290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0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1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0</v>
      </c>
      <c r="R70" s="113">
        <f>IF(OR(AND($F69&lt;=R$3, $F70 &gt;= R$3), AND($F70&lt;R$3, WORKDAY($F70, 22,Holiday!$A$1:$A$30)&gt;R$3)), 1, 0)+IF(AND((R$3-$B$2)&gt;=0,(R$3-$B$2)&lt;30), 2,0)</f>
        <v>2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2:41" ht="15" x14ac:dyDescent="0.2">
      <c r="B71" t="s">
        <v>161</v>
      </c>
      <c r="C71" s="112" t="s">
        <v>113</v>
      </c>
      <c r="D71" s="111">
        <v>6</v>
      </c>
      <c r="E71" s="86">
        <f t="shared" si="1"/>
        <v>9</v>
      </c>
      <c r="F71" s="122">
        <f>WORKDAY(F70,E71,Holiday!A67:A96)</f>
        <v>46303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1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0</v>
      </c>
      <c r="R71" s="113">
        <f>IF(OR(AND($F70&lt;=R$3, $F71 &gt;= R$3), AND($F71&lt;R$3, WORKDAY($F71, 22,Holiday!$A$1:$A$30)&gt;R$3)), 1, 0)+IF(AND((R$3-$B$2)&gt;=0,(R$3-$B$2)&lt;30), 2,0)</f>
        <v>2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2:41" ht="15" x14ac:dyDescent="0.2">
      <c r="B72" t="s">
        <v>172</v>
      </c>
      <c r="C72" s="112" t="s">
        <v>113</v>
      </c>
      <c r="D72" s="111">
        <v>6</v>
      </c>
      <c r="E72" s="86">
        <f t="shared" si="1"/>
        <v>9</v>
      </c>
      <c r="F72" s="122">
        <f>WORKDAY(F71,E72,Holiday!A68:A97)</f>
        <v>46316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0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1</v>
      </c>
      <c r="P72" s="113">
        <f>IF(OR(AND($F71&lt;=P$3, $F72 &gt;= P$3), AND($F72&lt;P$3, WORKDAY($F72, 22,Holiday!$A$1:$A$30)&gt;P$3)), 1, 0)+IF(AND((P$3-$B$2)&gt;=0,(P$3-$B$2)&lt;30), 2,0)</f>
        <v>1</v>
      </c>
      <c r="Q72" s="113">
        <f>IF(OR(AND($F71&lt;=Q$3, $F72 &gt;= Q$3), AND($F72&lt;Q$3, WORKDAY($F72, 22,Holiday!$A$1:$A$30)&gt;Q$3)), 1, 0)+IF(AND((Q$3-$B$2)&gt;=0,(Q$3-$B$2)&lt;30), 2,0)</f>
        <v>0</v>
      </c>
      <c r="R72" s="113">
        <f>IF(OR(AND($F71&lt;=R$3, $F72 &gt;= R$3), AND($F72&lt;R$3, WORKDAY($F72, 22,Holiday!$A$1:$A$30)&gt;R$3)), 1, 0)+IF(AND((R$3-$B$2)&gt;=0,(R$3-$B$2)&lt;30), 2,0)</f>
        <v>2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2:41" ht="15" x14ac:dyDescent="0.2">
      <c r="B73" t="s">
        <v>209</v>
      </c>
      <c r="C73" s="112" t="s">
        <v>113</v>
      </c>
      <c r="D73" s="111">
        <v>6</v>
      </c>
      <c r="E73" s="86">
        <f t="shared" si="1"/>
        <v>9</v>
      </c>
      <c r="F73" s="122">
        <f>WORKDAY(F72,E73,Holiday!A69:A98)</f>
        <v>46329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0</v>
      </c>
      <c r="I73" s="113">
        <f>IF(OR(AND($F72&lt;=I$3, $F73 &gt;= I$3), AND($F73&lt;I$3, WORKDAY($F73, 22,Holiday!$A$1:$A$30)&gt;I$3)), 1, 0)+IF(AND((I$3-$B$2)&gt;=0,(I$3-$B$2)&lt;30), 2,0)</f>
        <v>0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1</v>
      </c>
      <c r="Q73" s="113">
        <f>IF(OR(AND($F72&lt;=Q$3, $F73 &gt;= Q$3), AND($F73&lt;Q$3, WORKDAY($F73, 22,Holiday!$A$1:$A$30)&gt;Q$3)), 1, 0)+IF(AND((Q$3-$B$2)&gt;=0,(Q$3-$B$2)&lt;30), 2,0)</f>
        <v>0</v>
      </c>
      <c r="R73" s="113">
        <f>IF(OR(AND($F72&lt;=R$3, $F73 &gt;= R$3), AND($F73&lt;R$3, WORKDAY($F73, 22,Holiday!$A$1:$A$30)&gt;R$3)), 1, 0)+IF(AND((R$3-$B$2)&gt;=0,(R$3-$B$2)&lt;30), 2,0)</f>
        <v>2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2:41" ht="15" x14ac:dyDescent="0.2">
      <c r="B74" t="s">
        <v>163</v>
      </c>
      <c r="C74" s="112" t="s">
        <v>113</v>
      </c>
      <c r="D74" s="111">
        <v>6</v>
      </c>
      <c r="E74" s="86">
        <f t="shared" si="1"/>
        <v>9</v>
      </c>
      <c r="F74" s="122">
        <f>WORKDAY(F73,E74,Holiday!A70:A99)</f>
        <v>46342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0</v>
      </c>
      <c r="I74" s="113">
        <f>IF(OR(AND($F73&lt;=I$3, $F74 &gt;= I$3), AND($F74&lt;I$3, WORKDAY($F74, 22,Holiday!$A$1:$A$30)&gt;I$3)), 1, 0)+IF(AND((I$3-$B$2)&gt;=0,(I$3-$B$2)&lt;30), 2,0)</f>
        <v>0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1</v>
      </c>
      <c r="Q74" s="113">
        <f>IF(OR(AND($F73&lt;=Q$3, $F74 &gt;= Q$3), AND($F74&lt;Q$3, WORKDAY($F74, 22,Holiday!$A$1:$A$30)&gt;Q$3)), 1, 0)+IF(AND((Q$3-$B$2)&gt;=0,(Q$3-$B$2)&lt;30), 2,0)</f>
        <v>1</v>
      </c>
      <c r="R74" s="113">
        <f>IF(OR(AND($F73&lt;=R$3, $F74 &gt;= R$3), AND($F74&lt;R$3, WORKDAY($F74, 22,Holiday!$A$1:$A$30)&gt;R$3)), 1, 0)+IF(AND((R$3-$B$2)&gt;=0,(R$3-$B$2)&lt;30), 2,0)</f>
        <v>2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2:41" ht="15" x14ac:dyDescent="0.2">
      <c r="B75" t="s">
        <v>211</v>
      </c>
      <c r="C75" s="112" t="s">
        <v>113</v>
      </c>
      <c r="D75" s="111">
        <v>6</v>
      </c>
      <c r="E75" s="86">
        <f t="shared" si="1"/>
        <v>9</v>
      </c>
      <c r="F75" s="122">
        <f>WORKDAY(F74,E75,Holiday!A71:A100)</f>
        <v>46353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0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0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1</v>
      </c>
      <c r="R75" s="113">
        <f>IF(OR(AND($F74&lt;=R$3, $F75 &gt;= R$3), AND($F75&lt;R$3, WORKDAY($F75, 22,Holiday!$A$1:$A$30)&gt;R$3)), 1, 0)+IF(AND((R$3-$B$2)&gt;=0,(R$3-$B$2)&lt;30), 2,0)</f>
        <v>2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2:41" ht="15" x14ac:dyDescent="0.2">
      <c r="B76" t="s">
        <v>210</v>
      </c>
      <c r="C76" s="112" t="s">
        <v>113</v>
      </c>
      <c r="D76" s="111">
        <v>6</v>
      </c>
      <c r="E76" s="86">
        <f t="shared" si="1"/>
        <v>9</v>
      </c>
      <c r="F76" s="122">
        <f>WORKDAY(F75,E76,Holiday!A72:A101)</f>
        <v>46366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0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1</v>
      </c>
      <c r="R76" s="113">
        <f>IF(OR(AND($F75&lt;=R$3, $F76 &gt;= R$3), AND($F76&lt;R$3, WORKDAY($F76, 22,Holiday!$A$1:$A$30)&gt;R$3)), 1, 0)+IF(AND((R$3-$B$2)&gt;=0,(R$3-$B$2)&lt;30), 2,0)</f>
        <v>2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2:41" ht="15" x14ac:dyDescent="0.2">
      <c r="B77" t="s">
        <v>203</v>
      </c>
      <c r="C77" s="112" t="s">
        <v>113</v>
      </c>
      <c r="D77" s="111">
        <v>6</v>
      </c>
      <c r="E77" s="86">
        <f t="shared" si="1"/>
        <v>9</v>
      </c>
      <c r="F77" s="122">
        <f>WORKDAY(F76,E77,Holiday!A73:A102)</f>
        <v>46379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0</v>
      </c>
      <c r="J77" s="113">
        <f>IF(OR(AND($F76&lt;=J$3, $F77 &gt;= J$3), AND($F77&lt;J$3, WORKDAY($F77, 22,Holiday!$A$1:$A$30)&gt;J$3)), 1, 0)+IF(AND((J$3-$B$2)&gt;=0,(J$3-$B$2)&lt;30), 2,0)</f>
        <v>0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1</v>
      </c>
      <c r="R77" s="113">
        <f>IF(OR(AND($F76&lt;=R$3, $F77 &gt;= R$3), AND($F77&lt;R$3, WORKDAY($F77, 22,Holiday!$A$1:$A$30)&gt;R$3)), 1, 0)+IF(AND((R$3-$B$2)&gt;=0,(R$3-$B$2)&lt;30), 2,0)</f>
        <v>3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2:41" ht="15" x14ac:dyDescent="0.2">
      <c r="B78" t="s">
        <v>160</v>
      </c>
      <c r="C78" s="112" t="s">
        <v>113</v>
      </c>
      <c r="D78" s="111">
        <v>6</v>
      </c>
      <c r="E78" s="86">
        <f t="shared" si="1"/>
        <v>9</v>
      </c>
      <c r="F78" s="122">
        <f>WORKDAY(F77,E78,Holiday!A74:A103)</f>
        <v>46392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0</v>
      </c>
      <c r="K78" s="113">
        <f>IF(OR(AND($F77&lt;=K$3, $F78 &gt;= K$3), AND($F78&lt;K$3, WORKDAY($F78, 22,Holiday!$A$1:$A$30)&gt;K$3)), 1, 0)+IF(AND((K$3-$B$2)&gt;=0,(K$3-$B$2)&lt;30), 2,0)</f>
        <v>0</v>
      </c>
      <c r="L78" s="113">
        <f>IF(OR(AND($F77&lt;=L$3, $F78 &gt;= L$3), AND($F78&lt;L$3, WORKDAY($F78, 22,Holiday!$A$1:$A$30)&gt;L$3)), 1, 0)+IF(AND((L$3-$B$2)&gt;=0,(L$3-$B$2)&lt;30), 2,0)</f>
        <v>0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0</v>
      </c>
      <c r="R78" s="113">
        <f>IF(OR(AND($F77&lt;=R$3, $F78 &gt;= R$3), AND($F78&lt;R$3, WORKDAY($F78, 22,Holiday!$A$1:$A$30)&gt;R$3)), 1, 0)+IF(AND((R$3-$B$2)&gt;=0,(R$3-$B$2)&lt;30), 2,0)</f>
        <v>3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2:41" ht="15" x14ac:dyDescent="0.2">
      <c r="B79" t="s">
        <v>158</v>
      </c>
      <c r="C79" s="112" t="s">
        <v>214</v>
      </c>
      <c r="D79" s="111">
        <v>6</v>
      </c>
      <c r="E79" s="86">
        <f t="shared" si="1"/>
        <v>9</v>
      </c>
      <c r="F79" s="122">
        <f>WORKDAY(F4,E79,Holiday!A75:A104)</f>
        <v>46064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1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0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0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0</v>
      </c>
      <c r="R79" s="113">
        <f>IF(OR(AND($F78&lt;=R$3, $F79 &gt;= R$3), AND($F79&lt;R$3, WORKDAY($F79, 22,Holiday!$A$1:$A$30)&gt;R$3)), 1, 0)+IF(AND((R$3-$B$2)&gt;=0,(R$3-$B$2)&lt;30), 2,0)</f>
        <v>2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2:41" ht="15" x14ac:dyDescent="0.2">
      <c r="B80" t="s">
        <v>157</v>
      </c>
      <c r="C80" s="112" t="s">
        <v>214</v>
      </c>
      <c r="D80" s="111">
        <v>6</v>
      </c>
      <c r="E80" s="86">
        <f t="shared" si="1"/>
        <v>9</v>
      </c>
      <c r="F80" s="122">
        <f>WORKDAY(F79,E80,Holiday!A76:A105)</f>
        <v>46077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1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0</v>
      </c>
      <c r="K80" s="113">
        <f>IF(OR(AND($F79&lt;=K$3, $F80 &gt;= K$3), AND($F80&lt;K$3, WORKDAY($F80, 22,Holiday!$A$1:$A$30)&gt;K$3)), 1, 0)+IF(AND((K$3-$B$2)&gt;=0,(K$3-$B$2)&lt;30), 2,0)</f>
        <v>0</v>
      </c>
      <c r="L80" s="113">
        <f>IF(OR(AND($F79&lt;=L$3, $F80 &gt;= L$3), AND($F80&lt;L$3, WORKDAY($F80, 22,Holiday!$A$1:$A$30)&gt;L$3)), 1, 0)+IF(AND((L$3-$B$2)&gt;=0,(L$3-$B$2)&lt;30), 2,0)</f>
        <v>0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0</v>
      </c>
      <c r="R80" s="113">
        <f>IF(OR(AND($F79&lt;=R$3, $F80 &gt;= R$3), AND($F80&lt;R$3, WORKDAY($F80, 22,Holiday!$A$1:$A$30)&gt;R$3)), 1, 0)+IF(AND((R$3-$B$2)&gt;=0,(R$3-$B$2)&lt;30), 2,0)</f>
        <v>2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2:41" ht="15" x14ac:dyDescent="0.2">
      <c r="B81" t="s">
        <v>164</v>
      </c>
      <c r="C81" s="112" t="s">
        <v>214</v>
      </c>
      <c r="D81" s="111">
        <v>6</v>
      </c>
      <c r="E81" s="86">
        <f t="shared" si="1"/>
        <v>9</v>
      </c>
      <c r="F81" s="122">
        <f>WORKDAY(F80,E81,Holiday!A77:A106)</f>
        <v>46090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1</v>
      </c>
      <c r="I81" s="113">
        <f>IF(OR(AND($F80&lt;=I$3, $F81 &gt;= I$3), AND($F81&lt;I$3, WORKDAY($F81, 22,Holiday!$A$1:$A$30)&gt;I$3)), 1, 0)+IF(AND((I$3-$B$2)&gt;=0,(I$3-$B$2)&lt;30), 2,0)</f>
        <v>1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0</v>
      </c>
      <c r="L81" s="113">
        <f>IF(OR(AND($F80&lt;=L$3, $F81 &gt;= L$3), AND($F81&lt;L$3, WORKDAY($F81, 22,Holiday!$A$1:$A$30)&gt;L$3)), 1, 0)+IF(AND((L$3-$B$2)&gt;=0,(L$3-$B$2)&lt;30), 2,0)</f>
        <v>0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0</v>
      </c>
      <c r="R81" s="113">
        <f>IF(OR(AND($F80&lt;=R$3, $F81 &gt;= R$3), AND($F81&lt;R$3, WORKDAY($F81, 22,Holiday!$A$1:$A$30)&gt;R$3)), 1, 0)+IF(AND((R$3-$B$2)&gt;=0,(R$3-$B$2)&lt;30), 2,0)</f>
        <v>2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2:41" ht="15" x14ac:dyDescent="0.2">
      <c r="B82" t="s">
        <v>168</v>
      </c>
      <c r="C82" s="112" t="s">
        <v>214</v>
      </c>
      <c r="D82" s="111">
        <v>6</v>
      </c>
      <c r="E82" s="86">
        <f t="shared" si="1"/>
        <v>9</v>
      </c>
      <c r="F82" s="122">
        <f>WORKDAY(F81,E82,Holiday!A78:A107)</f>
        <v>46101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1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0</v>
      </c>
      <c r="L82" s="113">
        <f>IF(OR(AND($F81&lt;=L$3, $F82 &gt;= L$3), AND($F82&lt;L$3, WORKDAY($F82, 22,Holiday!$A$1:$A$30)&gt;L$3)), 1, 0)+IF(AND((L$3-$B$2)&gt;=0,(L$3-$B$2)&lt;30), 2,0)</f>
        <v>0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0</v>
      </c>
      <c r="R82" s="113">
        <f>IF(OR(AND($F81&lt;=R$3, $F82 &gt;= R$3), AND($F82&lt;R$3, WORKDAY($F82, 22,Holiday!$A$1:$A$30)&gt;R$3)), 1, 0)+IF(AND((R$3-$B$2)&gt;=0,(R$3-$B$2)&lt;30), 2,0)</f>
        <v>2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2:41" ht="15" x14ac:dyDescent="0.2">
      <c r="B83" t="s">
        <v>166</v>
      </c>
      <c r="C83" s="112" t="s">
        <v>214</v>
      </c>
      <c r="D83" s="111">
        <v>6</v>
      </c>
      <c r="E83" s="86">
        <f t="shared" si="1"/>
        <v>9</v>
      </c>
      <c r="F83" s="122">
        <f>WORKDAY(F82,E83,Holiday!A79:A108)</f>
        <v>46114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1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0</v>
      </c>
      <c r="L83" s="113">
        <f>IF(OR(AND($F82&lt;=L$3, $F83 &gt;= L$3), AND($F83&lt;L$3, WORKDAY($F83, 22,Holiday!$A$1:$A$30)&gt;L$3)), 1, 0)+IF(AND((L$3-$B$2)&gt;=0,(L$3-$B$2)&lt;30), 2,0)</f>
        <v>0</v>
      </c>
      <c r="M83" s="113">
        <f>IF(OR(AND($F82&lt;=M$3, $F83 &gt;= M$3), AND($F83&lt;M$3, WORKDAY($F83, 22,Holiday!$A$1:$A$30)&gt;M$3)), 1, 0)+IF(AND((M$3-$B$2)&gt;=0,(M$3-$B$2)&lt;30), 2,0)</f>
        <v>0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0</v>
      </c>
      <c r="R83" s="113">
        <f>IF(OR(AND($F82&lt;=R$3, $F83 &gt;= R$3), AND($F83&lt;R$3, WORKDAY($F83, 22,Holiday!$A$1:$A$30)&gt;R$3)), 1, 0)+IF(AND((R$3-$B$2)&gt;=0,(R$3-$B$2)&lt;30), 2,0)</f>
        <v>2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2:41" ht="15" x14ac:dyDescent="0.2">
      <c r="B84" t="s">
        <v>155</v>
      </c>
      <c r="C84" s="112" t="s">
        <v>214</v>
      </c>
      <c r="D84" s="111">
        <v>6</v>
      </c>
      <c r="E84" s="86">
        <f t="shared" si="1"/>
        <v>9</v>
      </c>
      <c r="F84" s="122">
        <f>WORKDAY(F83,E84,Holiday!A80:A109)</f>
        <v>46127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1</v>
      </c>
      <c r="J84" s="113">
        <f>IF(OR(AND($F83&lt;=J$3, $F84 &gt;= J$3), AND($F84&lt;J$3, WORKDAY($F84, 22,Holiday!$A$1:$A$30)&gt;J$3)), 1, 0)+IF(AND((J$3-$B$2)&gt;=0,(J$3-$B$2)&lt;30), 2,0)</f>
        <v>1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0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0</v>
      </c>
      <c r="R84" s="113">
        <f>IF(OR(AND($F83&lt;=R$3, $F84 &gt;= R$3), AND($F84&lt;R$3, WORKDAY($F84, 22,Holiday!$A$1:$A$30)&gt;R$3)), 1, 0)+IF(AND((R$3-$B$2)&gt;=0,(R$3-$B$2)&lt;30), 2,0)</f>
        <v>2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2:41" ht="15" x14ac:dyDescent="0.2">
      <c r="B85" t="s">
        <v>181</v>
      </c>
      <c r="C85" s="112" t="s">
        <v>214</v>
      </c>
      <c r="D85" s="111">
        <v>6</v>
      </c>
      <c r="E85" s="86">
        <f t="shared" si="1"/>
        <v>9</v>
      </c>
      <c r="F85" s="122">
        <f>WORKDAY(F84,E85,Holiday!A81:A110)</f>
        <v>46140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1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0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0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0</v>
      </c>
      <c r="R85" s="113">
        <f>IF(OR(AND($F84&lt;=R$3, $F85 &gt;= R$3), AND($F85&lt;R$3, WORKDAY($F85, 22,Holiday!$A$1:$A$30)&gt;R$3)), 1, 0)+IF(AND((R$3-$B$2)&gt;=0,(R$3-$B$2)&lt;30), 2,0)</f>
        <v>2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0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2:41" ht="15" x14ac:dyDescent="0.2">
      <c r="B86" t="s">
        <v>183</v>
      </c>
      <c r="C86" s="112" t="s">
        <v>214</v>
      </c>
      <c r="D86" s="111">
        <v>6</v>
      </c>
      <c r="E86" s="86">
        <f t="shared" si="1"/>
        <v>9</v>
      </c>
      <c r="F86" s="122">
        <f>WORKDAY(F85,E86,Holiday!A82:A111)</f>
        <v>46153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1</v>
      </c>
      <c r="K86" s="113">
        <f>IF(OR(AND($F85&lt;=K$3, $F86 &gt;= K$3), AND($F86&lt;K$3, WORKDAY($F86, 22,Holiday!$A$1:$A$30)&gt;K$3)), 1, 0)+IF(AND((K$3-$B$2)&gt;=0,(K$3-$B$2)&lt;30), 2,0)</f>
        <v>1</v>
      </c>
      <c r="L86" s="113">
        <f>IF(OR(AND($F85&lt;=L$3, $F86 &gt;= L$3), AND($F86&lt;L$3, WORKDAY($F86, 22,Holiday!$A$1:$A$30)&gt;L$3)), 1, 0)+IF(AND((L$3-$B$2)&gt;=0,(L$3-$B$2)&lt;30), 2,0)</f>
        <v>0</v>
      </c>
      <c r="M86" s="113">
        <f>IF(OR(AND($F85&lt;=M$3, $F86 &gt;= M$3), AND($F86&lt;M$3, WORKDAY($F86, 22,Holiday!$A$1:$A$30)&gt;M$3)), 1, 0)+IF(AND((M$3-$B$2)&gt;=0,(M$3-$B$2)&lt;30), 2,0)</f>
        <v>0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0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0</v>
      </c>
      <c r="R86" s="113">
        <f>IF(OR(AND($F85&lt;=R$3, $F86 &gt;= R$3), AND($F86&lt;R$3, WORKDAY($F86, 22,Holiday!$A$1:$A$30)&gt;R$3)), 1, 0)+IF(AND((R$3-$B$2)&gt;=0,(R$3-$B$2)&lt;30), 2,0)</f>
        <v>2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0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2:41" ht="15" x14ac:dyDescent="0.2">
      <c r="B87" t="s">
        <v>177</v>
      </c>
      <c r="C87" s="112" t="s">
        <v>214</v>
      </c>
      <c r="D87" s="111">
        <v>6</v>
      </c>
      <c r="E87" s="86">
        <f t="shared" si="1"/>
        <v>9</v>
      </c>
      <c r="F87" s="122">
        <f>WORKDAY(F86,E87,Holiday!A83:A112)</f>
        <v>46164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1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0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0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0</v>
      </c>
      <c r="R87" s="113">
        <f>IF(OR(AND($F86&lt;=R$3, $F87 &gt;= R$3), AND($F87&lt;R$3, WORKDAY($F87, 22,Holiday!$A$1:$A$30)&gt;R$3)), 1, 0)+IF(AND((R$3-$B$2)&gt;=0,(R$3-$B$2)&lt;30), 2,0)</f>
        <v>2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0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2:41" ht="15" x14ac:dyDescent="0.2">
      <c r="B88" t="s">
        <v>176</v>
      </c>
      <c r="C88" s="112" t="s">
        <v>214</v>
      </c>
      <c r="D88" s="111">
        <v>6</v>
      </c>
      <c r="E88" s="86">
        <f t="shared" si="1"/>
        <v>9</v>
      </c>
      <c r="F88" s="122">
        <f>WORKDAY(F87,E88,Holiday!A84:A113)</f>
        <v>46177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1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0</v>
      </c>
      <c r="N88" s="113">
        <f>IF(OR(AND($F87&lt;=N$3, $F88 &gt;= N$3), AND($F88&lt;N$3, WORKDAY($F88, 22,Holiday!$A$1:$A$30)&gt;N$3)), 1, 0)+IF(AND((N$3-$B$2)&gt;=0,(N$3-$B$2)&lt;30), 2,0)</f>
        <v>0</v>
      </c>
      <c r="O88" s="113">
        <f>IF(OR(AND($F87&lt;=O$3, $F88 &gt;= O$3), AND($F88&lt;O$3, WORKDAY($F88, 22,Holiday!$A$1:$A$30)&gt;O$3)), 1, 0)+IF(AND((O$3-$B$2)&gt;=0,(O$3-$B$2)&lt;30), 2,0)</f>
        <v>0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0</v>
      </c>
      <c r="R88" s="113">
        <f>IF(OR(AND($F87&lt;=R$3, $F88 &gt;= R$3), AND($F88&lt;R$3, WORKDAY($F88, 22,Holiday!$A$1:$A$30)&gt;R$3)), 1, 0)+IF(AND((R$3-$B$2)&gt;=0,(R$3-$B$2)&lt;30), 2,0)</f>
        <v>2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2:41" ht="15" x14ac:dyDescent="0.2">
      <c r="B89" t="s">
        <v>167</v>
      </c>
      <c r="C89" s="112" t="s">
        <v>214</v>
      </c>
      <c r="D89" s="111">
        <v>6</v>
      </c>
      <c r="E89" s="86">
        <f t="shared" si="1"/>
        <v>9</v>
      </c>
      <c r="F89" s="122">
        <f>WORKDAY(F88,E89,Holiday!A85:A114)</f>
        <v>46190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0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1</v>
      </c>
      <c r="L89" s="113">
        <f>IF(OR(AND($F88&lt;=L$3, $F89 &gt;= L$3), AND($F89&lt;L$3, WORKDAY($F89, 22,Holiday!$A$1:$A$30)&gt;L$3)), 1, 0)+IF(AND((L$3-$B$2)&gt;=0,(L$3-$B$2)&lt;30), 2,0)</f>
        <v>1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0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0</v>
      </c>
      <c r="R89" s="113">
        <f>IF(OR(AND($F88&lt;=R$3, $F89 &gt;= R$3), AND($F89&lt;R$3, WORKDAY($F89, 22,Holiday!$A$1:$A$30)&gt;R$3)), 1, 0)+IF(AND((R$3-$B$2)&gt;=0,(R$3-$B$2)&lt;30), 2,0)</f>
        <v>2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2:41" ht="15" x14ac:dyDescent="0.2">
      <c r="B90" t="s">
        <v>185</v>
      </c>
      <c r="C90" s="112" t="s">
        <v>214</v>
      </c>
      <c r="D90" s="111">
        <v>6</v>
      </c>
      <c r="E90" s="86">
        <f t="shared" si="1"/>
        <v>9</v>
      </c>
      <c r="F90" s="122">
        <f>WORKDAY(F89,E90,Holiday!A86:A115)</f>
        <v>46203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1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0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0</v>
      </c>
      <c r="R90" s="113">
        <f>IF(OR(AND($F89&lt;=R$3, $F90 &gt;= R$3), AND($F90&lt;R$3, WORKDAY($F90, 22,Holiday!$A$1:$A$30)&gt;R$3)), 1, 0)+IF(AND((R$3-$B$2)&gt;=0,(R$3-$B$2)&lt;30), 2,0)</f>
        <v>2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2:41" ht="15" x14ac:dyDescent="0.2">
      <c r="B91" t="s">
        <v>148</v>
      </c>
      <c r="C91" s="112" t="s">
        <v>214</v>
      </c>
      <c r="D91" s="111">
        <v>6</v>
      </c>
      <c r="E91" s="86">
        <f t="shared" si="1"/>
        <v>9</v>
      </c>
      <c r="F91" s="122">
        <f>WORKDAY(F90,E91,Holiday!A87:A116)</f>
        <v>46216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0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1</v>
      </c>
      <c r="M91" s="113">
        <f>IF(OR(AND($F90&lt;=M$3, $F91 &gt;= M$3), AND($F91&lt;M$3, WORKDAY($F91, 22,Holiday!$A$1:$A$30)&gt;M$3)), 1, 0)+IF(AND((M$3-$B$2)&gt;=0,(M$3-$B$2)&lt;30), 2,0)</f>
        <v>1</v>
      </c>
      <c r="N91" s="113">
        <f>IF(OR(AND($F90&lt;=N$3, $F91 &gt;= N$3), AND($F91&lt;N$3, WORKDAY($F91, 22,Holiday!$A$1:$A$30)&gt;N$3)), 1, 0)+IF(AND((N$3-$B$2)&gt;=0,(N$3-$B$2)&lt;30), 2,0)</f>
        <v>0</v>
      </c>
      <c r="O91" s="113">
        <f>IF(OR(AND($F90&lt;=O$3, $F91 &gt;= O$3), AND($F91&lt;O$3, WORKDAY($F91, 22,Holiday!$A$1:$A$30)&gt;O$3)), 1, 0)+IF(AND((O$3-$B$2)&gt;=0,(O$3-$B$2)&lt;30), 2,0)</f>
        <v>0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0</v>
      </c>
      <c r="R91" s="113">
        <f>IF(OR(AND($F90&lt;=R$3, $F91 &gt;= R$3), AND($F91&lt;R$3, WORKDAY($F91, 22,Holiday!$A$1:$A$30)&gt;R$3)), 1, 0)+IF(AND((R$3-$B$2)&gt;=0,(R$3-$B$2)&lt;30), 2,0)</f>
        <v>2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2:41" ht="15" x14ac:dyDescent="0.2">
      <c r="B92" t="s">
        <v>147</v>
      </c>
      <c r="C92" s="112" t="s">
        <v>214</v>
      </c>
      <c r="D92" s="111">
        <v>6</v>
      </c>
      <c r="E92" s="86">
        <f t="shared" si="1"/>
        <v>9</v>
      </c>
      <c r="F92" s="122">
        <f>WORKDAY(F91,E92,Holiday!A88:A117)</f>
        <v>46227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0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1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0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0</v>
      </c>
      <c r="R92" s="113">
        <f>IF(OR(AND($F91&lt;=R$3, $F92 &gt;= R$3), AND($F92&lt;R$3, WORKDAY($F92, 22,Holiday!$A$1:$A$30)&gt;R$3)), 1, 0)+IF(AND((R$3-$B$2)&gt;=0,(R$3-$B$2)&lt;30), 2,0)</f>
        <v>2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2:41" ht="15" x14ac:dyDescent="0.2">
      <c r="B93" t="s">
        <v>151</v>
      </c>
      <c r="C93" s="112" t="s">
        <v>214</v>
      </c>
      <c r="D93" s="111">
        <v>6</v>
      </c>
      <c r="E93" s="86">
        <f t="shared" si="1"/>
        <v>9</v>
      </c>
      <c r="F93" s="122">
        <f>WORKDAY(F92,E93,Holiday!A89:A118)</f>
        <v>46240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1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0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0</v>
      </c>
      <c r="R93" s="113">
        <f>IF(OR(AND($F92&lt;=R$3, $F93 &gt;= R$3), AND($F93&lt;R$3, WORKDAY($F93, 22,Holiday!$A$1:$A$30)&gt;R$3)), 1, 0)+IF(AND((R$3-$B$2)&gt;=0,(R$3-$B$2)&lt;30), 2,0)</f>
        <v>2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2:41" ht="15" x14ac:dyDescent="0.2">
      <c r="B94" t="s">
        <v>154</v>
      </c>
      <c r="C94" s="112" t="s">
        <v>214</v>
      </c>
      <c r="D94" s="111">
        <v>6</v>
      </c>
      <c r="E94" s="86">
        <f t="shared" si="1"/>
        <v>9</v>
      </c>
      <c r="F94" s="122">
        <f>WORKDAY(F93,E94,Holiday!A90:A119)</f>
        <v>46253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0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1</v>
      </c>
      <c r="N94" s="113">
        <f>IF(OR(AND($F93&lt;=N$3, $F94 &gt;= N$3), AND($F94&lt;N$3, WORKDAY($F94, 22,Holiday!$A$1:$A$30)&gt;N$3)), 1, 0)+IF(AND((N$3-$B$2)&gt;=0,(N$3-$B$2)&lt;30), 2,0)</f>
        <v>1</v>
      </c>
      <c r="O94" s="113">
        <f>IF(OR(AND($F93&lt;=O$3, $F94 &gt;= O$3), AND($F94&lt;O$3, WORKDAY($F94, 22,Holiday!$A$1:$A$30)&gt;O$3)), 1, 0)+IF(AND((O$3-$B$2)&gt;=0,(O$3-$B$2)&lt;30), 2,0)</f>
        <v>0</v>
      </c>
      <c r="P94" s="113">
        <f>IF(OR(AND($F93&lt;=P$3, $F94 &gt;= P$3), AND($F94&lt;P$3, WORKDAY($F94, 22,Holiday!$A$1:$A$30)&gt;P$3)), 1, 0)+IF(AND((P$3-$B$2)&gt;=0,(P$3-$B$2)&lt;30), 2,0)</f>
        <v>0</v>
      </c>
      <c r="Q94" s="113">
        <f>IF(OR(AND($F93&lt;=Q$3, $F94 &gt;= Q$3), AND($F94&lt;Q$3, WORKDAY($F94, 22,Holiday!$A$1:$A$30)&gt;Q$3)), 1, 0)+IF(AND((Q$3-$B$2)&gt;=0,(Q$3-$B$2)&lt;30), 2,0)</f>
        <v>0</v>
      </c>
      <c r="R94" s="113">
        <f>IF(OR(AND($F93&lt;=R$3, $F94 &gt;= R$3), AND($F94&lt;R$3, WORKDAY($F94, 22,Holiday!$A$1:$A$30)&gt;R$3)), 1, 0)+IF(AND((R$3-$B$2)&gt;=0,(R$3-$B$2)&lt;30), 2,0)</f>
        <v>2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2:41" ht="15" x14ac:dyDescent="0.2">
      <c r="B95" t="s">
        <v>153</v>
      </c>
      <c r="C95" s="112" t="s">
        <v>214</v>
      </c>
      <c r="D95" s="111">
        <v>6</v>
      </c>
      <c r="E95" s="86">
        <f t="shared" si="1"/>
        <v>9</v>
      </c>
      <c r="F95" s="122">
        <f>WORKDAY(F94,E95,Holiday!A91:A120)</f>
        <v>46266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1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0</v>
      </c>
      <c r="Q95" s="113">
        <f>IF(OR(AND($F94&lt;=Q$3, $F95 &gt;= Q$3), AND($F95&lt;Q$3, WORKDAY($F95, 22,Holiday!$A$1:$A$30)&gt;Q$3)), 1, 0)+IF(AND((Q$3-$B$2)&gt;=0,(Q$3-$B$2)&lt;30), 2,0)</f>
        <v>0</v>
      </c>
      <c r="R95" s="113">
        <f>IF(OR(AND($F94&lt;=R$3, $F95 &gt;= R$3), AND($F95&lt;R$3, WORKDAY($F95, 22,Holiday!$A$1:$A$30)&gt;R$3)), 1, 0)+IF(AND((R$3-$B$2)&gt;=0,(R$3-$B$2)&lt;30), 2,0)</f>
        <v>2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2:41" ht="15" x14ac:dyDescent="0.2">
      <c r="B96" t="s">
        <v>149</v>
      </c>
      <c r="C96" s="112" t="s">
        <v>78</v>
      </c>
      <c r="D96" s="111">
        <v>6</v>
      </c>
      <c r="E96" s="86">
        <f t="shared" si="1"/>
        <v>9</v>
      </c>
      <c r="F96" s="122">
        <f>WORKDAY(F95,E96,Holiday!A92:A121)</f>
        <v>46279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0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1</v>
      </c>
      <c r="O96" s="113">
        <f>IF(OR(AND($F95&lt;=O$3, $F96 &gt;= O$3), AND($F96&lt;O$3, WORKDAY($F96, 22,Holiday!$A$1:$A$30)&gt;O$3)), 1, 0)+IF(AND((O$3-$B$2)&gt;=0,(O$3-$B$2)&lt;30), 2,0)</f>
        <v>1</v>
      </c>
      <c r="P96" s="113">
        <f>IF(OR(AND($F95&lt;=P$3, $F96 &gt;= P$3), AND($F96&lt;P$3, WORKDAY($F96, 22,Holiday!$A$1:$A$30)&gt;P$3)), 1, 0)+IF(AND((P$3-$B$2)&gt;=0,(P$3-$B$2)&lt;30), 2,0)</f>
        <v>0</v>
      </c>
      <c r="Q96" s="113">
        <f>IF(OR(AND($F95&lt;=Q$3, $F96 &gt;= Q$3), AND($F96&lt;Q$3, WORKDAY($F96, 22,Holiday!$A$1:$A$30)&gt;Q$3)), 1, 0)+IF(AND((Q$3-$B$2)&gt;=0,(Q$3-$B$2)&lt;30), 2,0)</f>
        <v>0</v>
      </c>
      <c r="R96" s="113">
        <f>IF(OR(AND($F95&lt;=R$3, $F96 &gt;= R$3), AND($F96&lt;R$3, WORKDAY($F96, 22,Holiday!$A$1:$A$30)&gt;R$3)), 1, 0)+IF(AND((R$3-$B$2)&gt;=0,(R$3-$B$2)&lt;30), 2,0)</f>
        <v>2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2:41" ht="15" x14ac:dyDescent="0.2">
      <c r="B97" t="s">
        <v>152</v>
      </c>
      <c r="C97" s="112" t="s">
        <v>214</v>
      </c>
      <c r="D97" s="111">
        <v>6</v>
      </c>
      <c r="E97" s="86">
        <f t="shared" si="1"/>
        <v>9</v>
      </c>
      <c r="F97" s="122">
        <f>WORKDAY(F96,E97,Holiday!A93:A122)</f>
        <v>46290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0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1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0</v>
      </c>
      <c r="R97" s="113">
        <f>IF(OR(AND($F96&lt;=R$3, $F97 &gt;= R$3), AND($F97&lt;R$3, WORKDAY($F97, 22,Holiday!$A$1:$A$30)&gt;R$3)), 1, 0)+IF(AND((R$3-$B$2)&gt;=0,(R$3-$B$2)&lt;30), 2,0)</f>
        <v>2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2:41" ht="15" x14ac:dyDescent="0.2">
      <c r="B98" t="s">
        <v>150</v>
      </c>
      <c r="C98" s="112" t="s">
        <v>214</v>
      </c>
      <c r="D98" s="111">
        <v>6</v>
      </c>
      <c r="E98" s="86">
        <f t="shared" si="1"/>
        <v>9</v>
      </c>
      <c r="F98" s="122">
        <f>WORKDAY(F97,E98,Holiday!A94:A123)</f>
        <v>46303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1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0</v>
      </c>
      <c r="R98" s="113">
        <f>IF(OR(AND($F97&lt;=R$3, $F98 &gt;= R$3), AND($F98&lt;R$3, WORKDAY($F98, 22,Holiday!$A$1:$A$30)&gt;R$3)), 1, 0)+IF(AND((R$3-$B$2)&gt;=0,(R$3-$B$2)&lt;30), 2,0)</f>
        <v>2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2:41" ht="15" x14ac:dyDescent="0.2">
      <c r="B99" t="s">
        <v>162</v>
      </c>
      <c r="C99" s="112" t="s">
        <v>214</v>
      </c>
      <c r="D99" s="111">
        <v>6</v>
      </c>
      <c r="E99" s="86">
        <f t="shared" si="1"/>
        <v>9</v>
      </c>
      <c r="F99" s="122">
        <f>WORKDAY(F98,E99,Holiday!A95:A124)</f>
        <v>46316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0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1</v>
      </c>
      <c r="P99" s="113">
        <f>IF(OR(AND($F98&lt;=P$3, $F99 &gt;= P$3), AND($F99&lt;P$3, WORKDAY($F99, 22,Holiday!$A$1:$A$30)&gt;P$3)), 1, 0)+IF(AND((P$3-$B$2)&gt;=0,(P$3-$B$2)&lt;30), 2,0)</f>
        <v>1</v>
      </c>
      <c r="Q99" s="113">
        <f>IF(OR(AND($F98&lt;=Q$3, $F99 &gt;= Q$3), AND($F99&lt;Q$3, WORKDAY($F99, 22,Holiday!$A$1:$A$30)&gt;Q$3)), 1, 0)+IF(AND((Q$3-$B$2)&gt;=0,(Q$3-$B$2)&lt;30), 2,0)</f>
        <v>0</v>
      </c>
      <c r="R99" s="113">
        <f>IF(OR(AND($F98&lt;=R$3, $F99 &gt;= R$3), AND($F99&lt;R$3, WORKDAY($F99, 22,Holiday!$A$1:$A$30)&gt;R$3)), 1, 0)+IF(AND((R$3-$B$2)&gt;=0,(R$3-$B$2)&lt;30), 2,0)</f>
        <v>2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2:41" ht="15" x14ac:dyDescent="0.2">
      <c r="B100" t="s">
        <v>196</v>
      </c>
      <c r="C100" s="112" t="s">
        <v>214</v>
      </c>
      <c r="D100" s="111">
        <v>10</v>
      </c>
      <c r="E100" s="86">
        <f t="shared" si="1"/>
        <v>15</v>
      </c>
      <c r="F100" s="122">
        <f>WORKDAY(F99,E100,Holiday!A96:A125)</f>
        <v>46337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0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1</v>
      </c>
      <c r="Q100" s="113">
        <f>IF(OR(AND($F99&lt;=Q$3, $F100 &gt;= Q$3), AND($F100&lt;Q$3, WORKDAY($F100, 22,Holiday!$A$1:$A$30)&gt;Q$3)), 1, 0)+IF(AND((Q$3-$B$2)&gt;=0,(Q$3-$B$2)&lt;30), 2,0)</f>
        <v>1</v>
      </c>
      <c r="R100" s="113">
        <f>IF(OR(AND($F99&lt;=R$3, $F100 &gt;= R$3), AND($F100&lt;R$3, WORKDAY($F100, 22,Holiday!$A$1:$A$30)&gt;R$3)), 1, 0)+IF(AND((R$3-$B$2)&gt;=0,(R$3-$B$2)&lt;30), 2,0)</f>
        <v>2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2:41" ht="15" x14ac:dyDescent="0.2">
      <c r="B101" t="s">
        <v>116</v>
      </c>
      <c r="C101" s="112" t="s">
        <v>214</v>
      </c>
      <c r="D101" s="111">
        <v>10</v>
      </c>
      <c r="E101" s="86">
        <f t="shared" si="1"/>
        <v>15</v>
      </c>
      <c r="F101" s="122">
        <f>WORKDAY(F100,E101,Holiday!A97:A126)</f>
        <v>46358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0</v>
      </c>
      <c r="J101" s="113">
        <f>IF(OR(AND($F100&lt;=J$3, $F101 &gt;= J$3), AND($F101&lt;J$3, WORKDAY($F101, 22,Holiday!$A$1:$A$30)&gt;J$3)), 1, 0)+IF(AND((J$3-$B$2)&gt;=0,(J$3-$B$2)&lt;30), 2,0)</f>
        <v>0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0</v>
      </c>
      <c r="M101" s="113">
        <f>IF(OR(AND($F100&lt;=M$3, $F101 &gt;= M$3), AND($F101&lt;M$3, WORKDAY($F101, 22,Holiday!$A$1:$A$30)&gt;M$3)), 1, 0)+IF(AND((M$3-$B$2)&gt;=0,(M$3-$B$2)&lt;30), 2,0)</f>
        <v>0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0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1</v>
      </c>
      <c r="R101" s="113">
        <f>IF(OR(AND($F100&lt;=R$3, $F101 &gt;= R$3), AND($F101&lt;R$3, WORKDAY($F101, 22,Holiday!$A$1:$A$30)&gt;R$3)), 1, 0)+IF(AND((R$3-$B$2)&gt;=0,(R$3-$B$2)&lt;30), 2,0)</f>
        <v>2</v>
      </c>
      <c r="S101" s="113">
        <f>IF(OR(AND($F100&lt;=S$3, $F101 &gt;= S$3), AND($F101&lt;S$3, WORKDAY($F101, 22,Holiday!$A$1:$A$30)&gt;S$3)), 1, 0)+IF(AND((S$3-$B$2)&gt;=0,(S$3-$B$2)&lt;30), 2,0)</f>
        <v>0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0</v>
      </c>
      <c r="V101" s="113">
        <f>IF(OR(AND($F100&lt;=V$3, $F101 &gt;= V$3), AND($F101&lt;V$3, WORKDAY($F101, 22,Holiday!$A$1:$A$30)&gt;V$3)), 1, 0)+IF(AND((V$3-$B$2)&gt;=0,(V$3-$B$2)&lt;30), 2,0)</f>
        <v>0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0</v>
      </c>
      <c r="AC101" s="113">
        <f>IF(OR(AND($F100&lt;=AC$3, $F101 &gt;= AC$3), AND($F101&lt;AC$3, WORKDAY($F101, 22,Holiday!$A$1:$A$30)&gt;AC$3)), 1, 0)+IF(AND((AC$3-$B$2)&gt;=0,(AC$3-$B$2)&lt;30), 2,0)</f>
        <v>0</v>
      </c>
      <c r="AD101" s="113">
        <f>IF(OR(AND($F100&lt;=AD$3, $F101 &gt;= AD$3), AND($F101&lt;AD$3, WORKDAY($F101, 22,Holiday!$A$1:$A$30)&gt;AD$3)), 1, 0)+IF(AND((AD$3-$B$2)&gt;=0,(AD$3-$B$2)&lt;30), 2,0)</f>
        <v>0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</row>
    <row r="102" spans="2:41" ht="15" x14ac:dyDescent="0.2">
      <c r="B102" t="s">
        <v>213</v>
      </c>
      <c r="C102" s="112" t="s">
        <v>214</v>
      </c>
      <c r="D102" s="111">
        <v>10</v>
      </c>
      <c r="E102" s="86">
        <f t="shared" si="1"/>
        <v>15</v>
      </c>
      <c r="F102" s="122">
        <f>WORKDAY(F101,E102,Holiday!A98:A127)</f>
        <v>46379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0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0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0</v>
      </c>
      <c r="M102" s="113">
        <f>IF(OR(AND($F101&lt;=M$3, $F102 &gt;= M$3), AND($F102&lt;M$3, WORKDAY($F102, 22,Holiday!$A$1:$A$30)&gt;M$3)), 1, 0)+IF(AND((M$3-$B$2)&gt;=0,(M$3-$B$2)&lt;30), 2,0)</f>
        <v>0</v>
      </c>
      <c r="N102" s="113">
        <f>IF(OR(AND($F101&lt;=N$3, $F102 &gt;= N$3), AND($F102&lt;N$3, WORKDAY($F102, 22,Holiday!$A$1:$A$30)&gt;N$3)), 1, 0)+IF(AND((N$3-$B$2)&gt;=0,(N$3-$B$2)&lt;30), 2,0)</f>
        <v>0</v>
      </c>
      <c r="O102" s="113">
        <f>IF(OR(AND($F101&lt;=O$3, $F102 &gt;= O$3), AND($F102&lt;O$3, WORKDAY($F102, 22,Holiday!$A$1:$A$30)&gt;O$3)), 1, 0)+IF(AND((O$3-$B$2)&gt;=0,(O$3-$B$2)&lt;30), 2,0)</f>
        <v>0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1</v>
      </c>
      <c r="R102" s="113">
        <f>IF(OR(AND($F101&lt;=R$3, $F102 &gt;= R$3), AND($F102&lt;R$3, WORKDAY($F102, 22,Holiday!$A$1:$A$30)&gt;R$3)), 1, 0)+IF(AND((R$3-$B$2)&gt;=0,(R$3-$B$2)&lt;30), 2,0)</f>
        <v>3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0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0</v>
      </c>
      <c r="AD102" s="113">
        <f>IF(OR(AND($F101&lt;=AD$3, $F102 &gt;= AD$3), AND($F102&lt;AD$3, WORKDAY($F102, 22,Holiday!$A$1:$A$30)&gt;AD$3)), 1, 0)+IF(AND((AD$3-$B$2)&gt;=0,(AD$3-$B$2)&lt;30), 2,0)</f>
        <v>0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</row>
    <row r="103" spans="2:41" ht="15" x14ac:dyDescent="0.2">
      <c r="B103" t="s">
        <v>195</v>
      </c>
      <c r="C103" s="112" t="s">
        <v>214</v>
      </c>
      <c r="D103" s="111">
        <v>10</v>
      </c>
      <c r="E103" s="86">
        <f t="shared" si="1"/>
        <v>15</v>
      </c>
      <c r="F103" s="122">
        <f>WORKDAY(F102,E103,Holiday!A99:A128)</f>
        <v>46400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0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0</v>
      </c>
      <c r="R103" s="113">
        <f>IF(OR(AND($F102&lt;=R$3, $F103 &gt;= R$3), AND($F103&lt;R$3, WORKDAY($F103, 22,Holiday!$A$1:$A$30)&gt;R$3)), 1, 0)+IF(AND((R$3-$B$2)&gt;=0,(R$3-$B$2)&lt;30), 2,0)</f>
        <v>3</v>
      </c>
      <c r="S103" s="113">
        <f>IF(OR(AND($F102&lt;=S$3, $F103 &gt;= S$3), AND($F103&lt;S$3, WORKDAY($F103, 22,Holiday!$A$1:$A$30)&gt;S$3)), 1, 0)+IF(AND((S$3-$B$2)&gt;=0,(S$3-$B$2)&lt;30), 2,0)</f>
        <v>1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2:41" ht="12.75" x14ac:dyDescent="0.2">
      <c r="F104" s="122"/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43" type="noConversion"/>
  <conditionalFormatting sqref="G3:AO3">
    <cfRule type="expression" dxfId="35" priority="1">
      <formula>G$4&gt;1</formula>
    </cfRule>
  </conditionalFormatting>
  <conditionalFormatting sqref="G4:AO103">
    <cfRule type="cellIs" dxfId="34" priority="2" operator="greaterThan">
      <formula>1</formula>
    </cfRule>
    <cfRule type="cellIs" dxfId="33" priority="3" operator="equal">
      <formula>0</formula>
    </cfRule>
    <cfRule type="cellIs" dxfId="32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C2E8-8063-4664-B65E-329244C8CC15}">
  <sheetPr>
    <tabColor rgb="FF3D85C6"/>
    <outlinePr summaryBelow="0" summaryRight="0"/>
  </sheetPr>
  <dimension ref="A1:AO104"/>
  <sheetViews>
    <sheetView showGridLines="0" zoomScale="89" workbookViewId="0">
      <pane xSplit="6" topLeftCell="G1" activePane="topRight" state="frozen"/>
      <selection pane="topRight" activeCell="L1" sqref="L1:L1048576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8" t="s">
        <v>108</v>
      </c>
      <c r="B1" s="131" t="s">
        <v>253</v>
      </c>
      <c r="C1" s="131" t="s">
        <v>254</v>
      </c>
      <c r="D1" s="127" t="s">
        <v>257</v>
      </c>
      <c r="E1" s="198" t="s">
        <v>111</v>
      </c>
      <c r="F1" s="198" t="s">
        <v>114</v>
      </c>
      <c r="G1" s="197" t="s">
        <v>218</v>
      </c>
      <c r="H1" s="197" t="s">
        <v>219</v>
      </c>
      <c r="I1" s="197" t="s">
        <v>220</v>
      </c>
      <c r="J1" s="197" t="s">
        <v>221</v>
      </c>
      <c r="K1" s="197" t="s">
        <v>222</v>
      </c>
      <c r="L1" s="197" t="s">
        <v>223</v>
      </c>
      <c r="M1" s="197" t="s">
        <v>224</v>
      </c>
      <c r="N1" s="197" t="s">
        <v>225</v>
      </c>
      <c r="O1" s="197" t="s">
        <v>226</v>
      </c>
      <c r="P1" s="197" t="s">
        <v>227</v>
      </c>
      <c r="Q1" s="197" t="s">
        <v>228</v>
      </c>
      <c r="R1" s="197" t="s">
        <v>229</v>
      </c>
      <c r="S1" s="197" t="s">
        <v>230</v>
      </c>
      <c r="T1" s="197" t="s">
        <v>231</v>
      </c>
      <c r="U1" s="197" t="s">
        <v>232</v>
      </c>
      <c r="V1" s="197" t="s">
        <v>233</v>
      </c>
      <c r="W1" s="197" t="s">
        <v>234</v>
      </c>
      <c r="X1" s="197" t="s">
        <v>235</v>
      </c>
      <c r="Y1" s="197" t="s">
        <v>236</v>
      </c>
      <c r="Z1" s="197" t="s">
        <v>237</v>
      </c>
      <c r="AA1" s="197" t="s">
        <v>238</v>
      </c>
      <c r="AB1" s="197" t="s">
        <v>239</v>
      </c>
      <c r="AC1" s="197" t="s">
        <v>240</v>
      </c>
      <c r="AD1" s="197" t="s">
        <v>241</v>
      </c>
      <c r="AE1" s="197" t="s">
        <v>242</v>
      </c>
      <c r="AF1" s="197" t="s">
        <v>243</v>
      </c>
      <c r="AG1" s="197" t="s">
        <v>244</v>
      </c>
      <c r="AH1" s="197" t="s">
        <v>245</v>
      </c>
      <c r="AI1" s="197" t="s">
        <v>246</v>
      </c>
      <c r="AJ1" s="197" t="s">
        <v>247</v>
      </c>
      <c r="AK1" s="197" t="s">
        <v>248</v>
      </c>
      <c r="AL1" s="197" t="s">
        <v>249</v>
      </c>
      <c r="AM1" s="197" t="s">
        <v>250</v>
      </c>
      <c r="AN1" s="197" t="s">
        <v>251</v>
      </c>
      <c r="AO1" s="197" t="s">
        <v>252</v>
      </c>
    </row>
    <row r="2" spans="1:41" ht="31.5" customHeight="1" x14ac:dyDescent="0.2">
      <c r="A2" s="198"/>
      <c r="B2" s="128">
        <f>WORKDAY($F$3,ROUNDUP(($E$3-20)/$C$2,0)+20,Holiday!$A$1:$A$30)</f>
        <v>46283</v>
      </c>
      <c r="C2" s="132">
        <v>6</v>
      </c>
      <c r="D2" s="130">
        <f>Setting!$A$2</f>
        <v>0.5</v>
      </c>
      <c r="E2" s="198"/>
      <c r="F2" s="198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</row>
    <row r="3" spans="1:41" ht="60" customHeight="1" x14ac:dyDescent="0.2">
      <c r="A3" s="115"/>
      <c r="B3" s="115" t="s">
        <v>109</v>
      </c>
      <c r="C3" s="115" t="s">
        <v>110</v>
      </c>
      <c r="D3" s="115" t="s">
        <v>256</v>
      </c>
      <c r="E3" s="115">
        <f>SUM(E4:E103)</f>
        <v>996</v>
      </c>
      <c r="F3" s="126">
        <f>Setting!$B$2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19"/>
      <c r="B4" s="116" t="s">
        <v>217</v>
      </c>
      <c r="C4" s="116" t="s">
        <v>255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2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133"/>
      <c r="B5" s="120" t="s">
        <v>115</v>
      </c>
      <c r="C5" s="116" t="s">
        <v>78</v>
      </c>
      <c r="D5" s="134">
        <v>10</v>
      </c>
      <c r="E5" s="134">
        <f>ROUNDUP(D5*(1+$D$2),0)</f>
        <v>15</v>
      </c>
      <c r="F5" s="123">
        <f>WORKDAY(F4,E5,Holiday!A1:A30)</f>
        <v>46072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2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A6" s="120"/>
      <c r="B6" s="120" t="s">
        <v>192</v>
      </c>
      <c r="C6" s="116" t="s">
        <v>78</v>
      </c>
      <c r="D6" s="134">
        <v>10</v>
      </c>
      <c r="E6" s="134">
        <f t="shared" ref="E6:E69" si="0">ROUNDUP(D6*(1+$D$2),0)</f>
        <v>15</v>
      </c>
      <c r="F6" s="123">
        <f>WORKDAY(F5,E6,Holiday!A2:A31)</f>
        <v>46093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2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A7" s="120"/>
      <c r="B7" s="120" t="s">
        <v>188</v>
      </c>
      <c r="C7" s="116" t="s">
        <v>78</v>
      </c>
      <c r="D7" s="134">
        <v>10</v>
      </c>
      <c r="E7" s="134">
        <f t="shared" si="0"/>
        <v>15</v>
      </c>
      <c r="F7" s="123">
        <f>WORKDAY(F6,E7,Holiday!A3:A32)</f>
        <v>46114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2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A8" s="120"/>
      <c r="B8" s="120" t="s">
        <v>120</v>
      </c>
      <c r="C8" s="116" t="s">
        <v>78</v>
      </c>
      <c r="D8" s="134">
        <v>10</v>
      </c>
      <c r="E8" s="134">
        <f t="shared" si="0"/>
        <v>15</v>
      </c>
      <c r="F8" s="123">
        <f>WORKDAY(F7,E8,Holiday!A4:A33)</f>
        <v>46135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2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A9" s="120"/>
      <c r="B9" s="120" t="s">
        <v>119</v>
      </c>
      <c r="C9" s="116" t="s">
        <v>78</v>
      </c>
      <c r="D9" s="134">
        <v>10</v>
      </c>
      <c r="E9" s="134">
        <f t="shared" si="0"/>
        <v>15</v>
      </c>
      <c r="F9" s="123">
        <f>WORKDAY(F8,E9,Holiday!A5:A34)</f>
        <v>46157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1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2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A10" s="120"/>
      <c r="B10" s="120" t="s">
        <v>212</v>
      </c>
      <c r="C10" s="116" t="s">
        <v>78</v>
      </c>
      <c r="D10" s="134">
        <v>10</v>
      </c>
      <c r="E10" s="134">
        <f t="shared" si="0"/>
        <v>15</v>
      </c>
      <c r="F10" s="123">
        <f>WORKDAY(F9,E10,Holiday!A6:A35)</f>
        <v>46178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2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A11" s="120"/>
      <c r="B11" s="120" t="s">
        <v>191</v>
      </c>
      <c r="C11" s="116" t="s">
        <v>78</v>
      </c>
      <c r="D11" s="134">
        <v>10</v>
      </c>
      <c r="E11" s="134">
        <f t="shared" si="0"/>
        <v>15</v>
      </c>
      <c r="F11" s="123">
        <f>WORKDAY(F10,E11,Holiday!A7:A36)</f>
        <v>46199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2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A12" s="120"/>
      <c r="B12" s="120" t="s">
        <v>190</v>
      </c>
      <c r="C12" s="116" t="s">
        <v>78</v>
      </c>
      <c r="D12" s="134">
        <v>10</v>
      </c>
      <c r="E12" s="134">
        <f t="shared" si="0"/>
        <v>15</v>
      </c>
      <c r="F12" s="123">
        <f>WORKDAY(F11,E12,Holiday!A8:A37)</f>
        <v>46220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2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A13" s="120"/>
      <c r="B13" s="120" t="s">
        <v>117</v>
      </c>
      <c r="C13" s="116" t="s">
        <v>78</v>
      </c>
      <c r="D13" s="134">
        <v>10</v>
      </c>
      <c r="E13" s="134">
        <f t="shared" si="0"/>
        <v>15</v>
      </c>
      <c r="F13" s="123">
        <f>WORKDAY(F12,E13,Holiday!A9:A38)</f>
        <v>46241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2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A14" s="120"/>
      <c r="B14" s="120" t="s">
        <v>193</v>
      </c>
      <c r="C14" s="116" t="s">
        <v>78</v>
      </c>
      <c r="D14" s="134">
        <v>10</v>
      </c>
      <c r="E14" s="134">
        <f t="shared" si="0"/>
        <v>15</v>
      </c>
      <c r="F14" s="123">
        <f>WORKDAY(F13,E14,Holiday!A10:A39)</f>
        <v>46262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2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A15" s="120"/>
      <c r="B15" s="120" t="s">
        <v>197</v>
      </c>
      <c r="C15" s="116" t="s">
        <v>78</v>
      </c>
      <c r="D15" s="134">
        <v>10</v>
      </c>
      <c r="E15" s="134">
        <f t="shared" si="0"/>
        <v>15</v>
      </c>
      <c r="F15" s="123">
        <f>WORKDAY(F14,E15,Holiday!A11:A40)</f>
        <v>46283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3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A16" s="120"/>
      <c r="B16" s="120" t="s">
        <v>118</v>
      </c>
      <c r="C16" s="116" t="s">
        <v>112</v>
      </c>
      <c r="D16" s="134">
        <v>10</v>
      </c>
      <c r="E16" s="134">
        <f t="shared" si="0"/>
        <v>15</v>
      </c>
      <c r="F16" s="123">
        <f>WORKDAY(F4,E16,Holiday!A12:A41)</f>
        <v>46072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1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2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1:41" ht="15" x14ac:dyDescent="0.2">
      <c r="A17" s="120"/>
      <c r="B17" s="120" t="s">
        <v>194</v>
      </c>
      <c r="C17" s="116" t="s">
        <v>112</v>
      </c>
      <c r="D17" s="134">
        <v>10</v>
      </c>
      <c r="E17" s="134">
        <f t="shared" si="0"/>
        <v>15</v>
      </c>
      <c r="F17" s="123">
        <f>WORKDAY(F16,E17,Holiday!A13:A42)</f>
        <v>46093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1</v>
      </c>
      <c r="I17" s="113">
        <f>IF(OR(AND($F16&lt;=I$3, $F17 &gt;= I$3), AND($F17&lt;I$3, WORKDAY($F17, 22,Holiday!$A$1:$A$30)&gt;I$3)), 1, 0)+IF(AND((I$3-$B$2)&gt;=0,(I$3-$B$2)&lt;30), 2,0)</f>
        <v>1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2</v>
      </c>
      <c r="P17" s="113">
        <f>IF(OR(AND($F16&lt;=P$3, $F17 &gt;= P$3), AND($F17&lt;P$3, WORKDAY($F17, 22,Holiday!$A$1:$A$30)&gt;P$3)), 1, 0)+IF(AND((P$3-$B$2)&gt;=0,(P$3-$B$2)&lt;30), 2,0)</f>
        <v>0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1:41" ht="15" x14ac:dyDescent="0.2">
      <c r="A18" s="120"/>
      <c r="B18" s="120" t="s">
        <v>187</v>
      </c>
      <c r="C18" s="116" t="s">
        <v>112</v>
      </c>
      <c r="D18" s="134">
        <v>10</v>
      </c>
      <c r="E18" s="134">
        <f t="shared" si="0"/>
        <v>15</v>
      </c>
      <c r="F18" s="123">
        <f>WORKDAY(F17,E18,Holiday!A14:A43)</f>
        <v>46114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1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2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0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1:41" ht="15" x14ac:dyDescent="0.2">
      <c r="A19" s="120"/>
      <c r="B19" s="120" t="s">
        <v>122</v>
      </c>
      <c r="C19" s="116" t="s">
        <v>112</v>
      </c>
      <c r="D19" s="135">
        <v>5</v>
      </c>
      <c r="E19" s="134">
        <f t="shared" si="0"/>
        <v>8</v>
      </c>
      <c r="F19" s="123">
        <f>WORKDAY(F18,E19,Holiday!A15:A44)</f>
        <v>46126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1</v>
      </c>
      <c r="J19" s="113">
        <f>IF(OR(AND($F18&lt;=J$3, $F19 &gt;= J$3), AND($F19&lt;J$3, WORKDAY($F19, 22,Holiday!$A$1:$A$30)&gt;J$3)), 1, 0)+IF(AND((J$3-$B$2)&gt;=0,(J$3-$B$2)&lt;30), 2,0)</f>
        <v>1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2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0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1:41" ht="15" x14ac:dyDescent="0.2">
      <c r="A20" s="120"/>
      <c r="B20" s="120" t="s">
        <v>138</v>
      </c>
      <c r="C20" s="116" t="s">
        <v>112</v>
      </c>
      <c r="D20" s="135">
        <v>5</v>
      </c>
      <c r="E20" s="134">
        <f t="shared" si="0"/>
        <v>8</v>
      </c>
      <c r="F20" s="123">
        <f>WORKDAY(F19,E20,Holiday!A16:A45)</f>
        <v>46136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1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2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1:41" ht="15" x14ac:dyDescent="0.2">
      <c r="A21" s="120"/>
      <c r="B21" s="120" t="s">
        <v>121</v>
      </c>
      <c r="C21" s="116" t="s">
        <v>112</v>
      </c>
      <c r="D21" s="135">
        <v>5</v>
      </c>
      <c r="E21" s="134">
        <f t="shared" si="0"/>
        <v>8</v>
      </c>
      <c r="F21" s="123">
        <f>WORKDAY(F20,E21,Holiday!A17:A46)</f>
        <v>46148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1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2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1:41" ht="15" x14ac:dyDescent="0.2">
      <c r="A22" s="120"/>
      <c r="B22" s="120" t="s">
        <v>137</v>
      </c>
      <c r="C22" s="116" t="s">
        <v>112</v>
      </c>
      <c r="D22" s="135">
        <v>5</v>
      </c>
      <c r="E22" s="134">
        <f t="shared" si="0"/>
        <v>8</v>
      </c>
      <c r="F22" s="123">
        <f>WORKDAY(F21,E22,Holiday!A18:A47)</f>
        <v>46160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1</v>
      </c>
      <c r="K22" s="113">
        <f>IF(OR(AND($F21&lt;=K$3, $F22 &gt;= K$3), AND($F22&lt;K$3, WORKDAY($F22, 22,Holiday!$A$1:$A$30)&gt;K$3)), 1, 0)+IF(AND((K$3-$B$2)&gt;=0,(K$3-$B$2)&lt;30), 2,0)</f>
        <v>1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2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1:41" ht="15" x14ac:dyDescent="0.2">
      <c r="A23" s="120"/>
      <c r="B23" s="120" t="s">
        <v>129</v>
      </c>
      <c r="C23" s="116" t="s">
        <v>112</v>
      </c>
      <c r="D23" s="135">
        <v>5</v>
      </c>
      <c r="E23" s="134">
        <f t="shared" si="0"/>
        <v>8</v>
      </c>
      <c r="F23" s="123">
        <f>WORKDAY(F22,E23,Holiday!A19:A48)</f>
        <v>46170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1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2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1:41" ht="15" x14ac:dyDescent="0.2">
      <c r="A24" s="120"/>
      <c r="B24" s="120" t="s">
        <v>139</v>
      </c>
      <c r="C24" s="116" t="s">
        <v>112</v>
      </c>
      <c r="D24" s="135">
        <v>5</v>
      </c>
      <c r="E24" s="134">
        <f t="shared" si="0"/>
        <v>8</v>
      </c>
      <c r="F24" s="123">
        <f>WORKDAY(F23,E24,Holiday!A20:A49)</f>
        <v>46182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1</v>
      </c>
      <c r="L24" s="113">
        <f>IF(OR(AND($F23&lt;=L$3, $F24 &gt;= L$3), AND($F24&lt;L$3, WORKDAY($F24, 22,Holiday!$A$1:$A$30)&gt;L$3)), 1, 0)+IF(AND((L$3-$B$2)&gt;=0,(L$3-$B$2)&lt;30), 2,0)</f>
        <v>1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2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1:41" ht="15" x14ac:dyDescent="0.2">
      <c r="A25" s="120"/>
      <c r="B25" s="120" t="s">
        <v>127</v>
      </c>
      <c r="C25" s="116" t="s">
        <v>112</v>
      </c>
      <c r="D25" s="135">
        <v>5</v>
      </c>
      <c r="E25" s="134">
        <f t="shared" si="0"/>
        <v>8</v>
      </c>
      <c r="F25" s="123">
        <f>WORKDAY(F24,E25,Holiday!A21:A50)</f>
        <v>46192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1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2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1:41" ht="15" x14ac:dyDescent="0.2">
      <c r="A26" s="120"/>
      <c r="B26" s="120" t="s">
        <v>123</v>
      </c>
      <c r="C26" s="116" t="s">
        <v>112</v>
      </c>
      <c r="D26" s="135">
        <v>5</v>
      </c>
      <c r="E26" s="134">
        <f t="shared" si="0"/>
        <v>8</v>
      </c>
      <c r="F26" s="123">
        <f>WORKDAY(F25,E26,Holiday!A22:A51)</f>
        <v>46204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1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2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1:41" ht="15" x14ac:dyDescent="0.2">
      <c r="A27" s="120"/>
      <c r="B27" s="120" t="s">
        <v>134</v>
      </c>
      <c r="C27" s="116" t="s">
        <v>112</v>
      </c>
      <c r="D27" s="135">
        <v>5</v>
      </c>
      <c r="E27" s="134">
        <f t="shared" si="0"/>
        <v>8</v>
      </c>
      <c r="F27" s="123">
        <f>WORKDAY(F26,E27,Holiday!A23:A52)</f>
        <v>46216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1</v>
      </c>
      <c r="M27" s="113">
        <f>IF(OR(AND($F26&lt;=M$3, $F27 &gt;= M$3), AND($F27&lt;M$3, WORKDAY($F27, 22,Holiday!$A$1:$A$30)&gt;M$3)), 1, 0)+IF(AND((M$3-$B$2)&gt;=0,(M$3-$B$2)&lt;30), 2,0)</f>
        <v>1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2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1:41" ht="15" x14ac:dyDescent="0.2">
      <c r="A28" s="120"/>
      <c r="B28" s="120" t="s">
        <v>136</v>
      </c>
      <c r="C28" s="116" t="s">
        <v>112</v>
      </c>
      <c r="D28" s="135">
        <v>5</v>
      </c>
      <c r="E28" s="134">
        <f t="shared" si="0"/>
        <v>8</v>
      </c>
      <c r="F28" s="123">
        <f>WORKDAY(F27,E28,Holiday!A24:A53)</f>
        <v>46226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1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2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1:41" ht="15" x14ac:dyDescent="0.2">
      <c r="A29" s="120"/>
      <c r="B29" s="120" t="s">
        <v>140</v>
      </c>
      <c r="C29" s="116" t="s">
        <v>112</v>
      </c>
      <c r="D29" s="135">
        <v>5</v>
      </c>
      <c r="E29" s="134">
        <f t="shared" si="0"/>
        <v>8</v>
      </c>
      <c r="F29" s="123">
        <f>WORKDAY(F28,E29,Holiday!A25:A54)</f>
        <v>46238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1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2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1:41" ht="15" x14ac:dyDescent="0.2">
      <c r="A30" s="120"/>
      <c r="B30" s="120" t="s">
        <v>133</v>
      </c>
      <c r="C30" s="116" t="s">
        <v>112</v>
      </c>
      <c r="D30" s="135">
        <v>5</v>
      </c>
      <c r="E30" s="134">
        <f t="shared" si="0"/>
        <v>8</v>
      </c>
      <c r="F30" s="123">
        <f>WORKDAY(F29,E30,Holiday!A26:A55)</f>
        <v>46248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1</v>
      </c>
      <c r="N30" s="113">
        <f>IF(OR(AND($F29&lt;=N$3, $F30 &gt;= N$3), AND($F30&lt;N$3, WORKDAY($F30, 22,Holiday!$A$1:$A$30)&gt;N$3)), 1, 0)+IF(AND((N$3-$B$2)&gt;=0,(N$3-$B$2)&lt;30), 2,0)</f>
        <v>1</v>
      </c>
      <c r="O30" s="113">
        <f>IF(OR(AND($F29&lt;=O$3, $F30 &gt;= O$3), AND($F30&lt;O$3, WORKDAY($F30, 22,Holiday!$A$1:$A$30)&gt;O$3)), 1, 0)+IF(AND((O$3-$B$2)&gt;=0,(O$3-$B$2)&lt;30), 2,0)</f>
        <v>2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1:41" ht="15" x14ac:dyDescent="0.2">
      <c r="A31" s="120"/>
      <c r="B31" s="120" t="s">
        <v>132</v>
      </c>
      <c r="C31" s="116" t="s">
        <v>112</v>
      </c>
      <c r="D31" s="135">
        <v>5</v>
      </c>
      <c r="E31" s="134">
        <f t="shared" si="0"/>
        <v>8</v>
      </c>
      <c r="F31" s="123">
        <f>WORKDAY(F30,E31,Holiday!A27:A56)</f>
        <v>46260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1</v>
      </c>
      <c r="O31" s="113">
        <f>IF(OR(AND($F30&lt;=O$3, $F31 &gt;= O$3), AND($F31&lt;O$3, WORKDAY($F31, 22,Holiday!$A$1:$A$30)&gt;O$3)), 1, 0)+IF(AND((O$3-$B$2)&gt;=0,(O$3-$B$2)&lt;30), 2,0)</f>
        <v>2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1:41" ht="15" x14ac:dyDescent="0.2">
      <c r="A32" s="120"/>
      <c r="B32" s="120" t="s">
        <v>130</v>
      </c>
      <c r="C32" s="116" t="s">
        <v>112</v>
      </c>
      <c r="D32" s="135">
        <v>5</v>
      </c>
      <c r="E32" s="134">
        <f t="shared" si="0"/>
        <v>8</v>
      </c>
      <c r="F32" s="123">
        <f>WORKDAY(F31,E32,Holiday!A28:A57)</f>
        <v>46272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1</v>
      </c>
      <c r="O32" s="113">
        <f>IF(OR(AND($F31&lt;=O$3, $F32 &gt;= O$3), AND($F32&lt;O$3, WORKDAY($F32, 22,Holiday!$A$1:$A$30)&gt;O$3)), 1, 0)+IF(AND((O$3-$B$2)&gt;=0,(O$3-$B$2)&lt;30), 2,0)</f>
        <v>2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1:41" ht="15" x14ac:dyDescent="0.2">
      <c r="A33" s="120"/>
      <c r="B33" s="120" t="s">
        <v>189</v>
      </c>
      <c r="C33" s="116" t="s">
        <v>112</v>
      </c>
      <c r="D33" s="135">
        <v>5</v>
      </c>
      <c r="E33" s="134">
        <f t="shared" si="0"/>
        <v>8</v>
      </c>
      <c r="F33" s="123">
        <f>WORKDAY(F32,E33,Holiday!A29:A58)</f>
        <v>46282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1</v>
      </c>
      <c r="O33" s="113">
        <f>IF(OR(AND($F32&lt;=O$3, $F33 &gt;= O$3), AND($F33&lt;O$3, WORKDAY($F33, 22,Holiday!$A$1:$A$30)&gt;O$3)), 1, 0)+IF(AND((O$3-$B$2)&gt;=0,(O$3-$B$2)&lt;30), 2,0)</f>
        <v>3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1:41" ht="15" x14ac:dyDescent="0.2">
      <c r="A34" s="120"/>
      <c r="B34" s="120" t="s">
        <v>124</v>
      </c>
      <c r="C34" s="116" t="s">
        <v>113</v>
      </c>
      <c r="D34" s="135">
        <v>5</v>
      </c>
      <c r="E34" s="134">
        <f t="shared" si="0"/>
        <v>8</v>
      </c>
      <c r="F34" s="123">
        <f>WORKDAY(F4,E34,Holiday!A30:A59)</f>
        <v>46063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1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2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1:41" ht="15" x14ac:dyDescent="0.2">
      <c r="A35" s="120"/>
      <c r="B35" s="120" t="s">
        <v>135</v>
      </c>
      <c r="C35" s="116" t="s">
        <v>113</v>
      </c>
      <c r="D35" s="135">
        <v>5</v>
      </c>
      <c r="E35" s="134">
        <f t="shared" si="0"/>
        <v>8</v>
      </c>
      <c r="F35" s="123">
        <f>WORKDAY(F34,E35,Holiday!A31:A60)</f>
        <v>46073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1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2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1:41" ht="15" x14ac:dyDescent="0.2">
      <c r="A36" s="120"/>
      <c r="B36" s="120" t="s">
        <v>126</v>
      </c>
      <c r="C36" s="116" t="s">
        <v>113</v>
      </c>
      <c r="D36" s="135">
        <v>5</v>
      </c>
      <c r="E36" s="134">
        <f t="shared" si="0"/>
        <v>8</v>
      </c>
      <c r="F36" s="123">
        <f>WORKDAY(F35,E36,Holiday!A32:A61)</f>
        <v>46085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1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2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1:41" ht="15" x14ac:dyDescent="0.2">
      <c r="A37" s="120"/>
      <c r="B37" s="120" t="s">
        <v>131</v>
      </c>
      <c r="C37" s="116" t="s">
        <v>113</v>
      </c>
      <c r="D37" s="135">
        <v>5</v>
      </c>
      <c r="E37" s="134">
        <f t="shared" si="0"/>
        <v>8</v>
      </c>
      <c r="F37" s="123">
        <f>WORKDAY(F36,E37,Holiday!A33:A62)</f>
        <v>46097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1</v>
      </c>
      <c r="I37" s="113">
        <f>IF(OR(AND($F36&lt;=I$3, $F37 &gt;= I$3), AND($F37&lt;I$3, WORKDAY($F37, 22,Holiday!$A$1:$A$30)&gt;I$3)), 1, 0)+IF(AND((I$3-$B$2)&gt;=0,(I$3-$B$2)&lt;30), 2,0)</f>
        <v>1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2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1:41" ht="15" x14ac:dyDescent="0.2">
      <c r="A38" s="120"/>
      <c r="B38" s="120" t="s">
        <v>128</v>
      </c>
      <c r="C38" s="116" t="s">
        <v>113</v>
      </c>
      <c r="D38" s="135">
        <v>5</v>
      </c>
      <c r="E38" s="134">
        <f t="shared" si="0"/>
        <v>8</v>
      </c>
      <c r="F38" s="123">
        <f>WORKDAY(F37,E38,Holiday!A34:A63)</f>
        <v>46107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1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2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1:41" ht="15" x14ac:dyDescent="0.2">
      <c r="A39" s="120"/>
      <c r="B39" s="120" t="s">
        <v>142</v>
      </c>
      <c r="C39" s="116" t="s">
        <v>113</v>
      </c>
      <c r="D39" s="135">
        <v>5</v>
      </c>
      <c r="E39" s="134">
        <f t="shared" si="0"/>
        <v>8</v>
      </c>
      <c r="F39" s="123">
        <f>WORKDAY(F38,E39,Holiday!A35:A64)</f>
        <v>46119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1</v>
      </c>
      <c r="J39" s="113">
        <f>IF(OR(AND($F38&lt;=J$3, $F39 &gt;= J$3), AND($F39&lt;J$3, WORKDAY($F39, 22,Holiday!$A$1:$A$30)&gt;J$3)), 1, 0)+IF(AND((J$3-$B$2)&gt;=0,(J$3-$B$2)&lt;30), 2,0)</f>
        <v>1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2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1:41" ht="15" x14ac:dyDescent="0.2">
      <c r="A40" s="120"/>
      <c r="B40" s="120" t="s">
        <v>125</v>
      </c>
      <c r="C40" s="116" t="s">
        <v>113</v>
      </c>
      <c r="D40" s="135">
        <v>5</v>
      </c>
      <c r="E40" s="134">
        <f t="shared" si="0"/>
        <v>8</v>
      </c>
      <c r="F40" s="123">
        <f>WORKDAY(F39,E40,Holiday!A36:A65)</f>
        <v>46129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1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2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1:41" ht="15" x14ac:dyDescent="0.2">
      <c r="A41" s="120"/>
      <c r="B41" s="120" t="s">
        <v>141</v>
      </c>
      <c r="C41" s="116" t="s">
        <v>113</v>
      </c>
      <c r="D41" s="135">
        <v>5</v>
      </c>
      <c r="E41" s="134">
        <f t="shared" si="0"/>
        <v>8</v>
      </c>
      <c r="F41" s="123">
        <f>WORKDAY(F40,E41,Holiday!A37:A66)</f>
        <v>46141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1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2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1:41" ht="15" x14ac:dyDescent="0.2">
      <c r="A42" s="120"/>
      <c r="B42" s="120" t="s">
        <v>199</v>
      </c>
      <c r="C42" s="116" t="s">
        <v>113</v>
      </c>
      <c r="D42" s="135">
        <v>6</v>
      </c>
      <c r="E42" s="134">
        <f t="shared" si="0"/>
        <v>9</v>
      </c>
      <c r="F42" s="123">
        <f>WORKDAY(F41,E42,Holiday!A38:A67)</f>
        <v>46154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1</v>
      </c>
      <c r="K42" s="113">
        <f>IF(OR(AND($F41&lt;=K$3, $F42 &gt;= K$3), AND($F42&lt;K$3, WORKDAY($F42, 22,Holiday!$A$1:$A$30)&gt;K$3)), 1, 0)+IF(AND((K$3-$B$2)&gt;=0,(K$3-$B$2)&lt;30), 2,0)</f>
        <v>1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2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1:41" ht="15" x14ac:dyDescent="0.2">
      <c r="A43" s="120"/>
      <c r="B43" s="120" t="s">
        <v>201</v>
      </c>
      <c r="C43" s="116" t="s">
        <v>113</v>
      </c>
      <c r="D43" s="135">
        <v>6</v>
      </c>
      <c r="E43" s="134">
        <f t="shared" si="0"/>
        <v>9</v>
      </c>
      <c r="F43" s="123">
        <f>WORKDAY(F42,E43,Holiday!A39:A68)</f>
        <v>46167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1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2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1:41" ht="15" x14ac:dyDescent="0.2">
      <c r="A44" s="120"/>
      <c r="B44" s="120" t="s">
        <v>204</v>
      </c>
      <c r="C44" s="116" t="s">
        <v>113</v>
      </c>
      <c r="D44" s="135">
        <v>6</v>
      </c>
      <c r="E44" s="134">
        <f t="shared" si="0"/>
        <v>9</v>
      </c>
      <c r="F44" s="123">
        <f>WORKDAY(F43,E44,Holiday!A40:A69)</f>
        <v>46178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1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2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1:41" ht="15" x14ac:dyDescent="0.2">
      <c r="A45" s="120"/>
      <c r="B45" s="120" t="s">
        <v>208</v>
      </c>
      <c r="C45" s="116" t="s">
        <v>113</v>
      </c>
      <c r="D45" s="135">
        <v>6</v>
      </c>
      <c r="E45" s="134">
        <f t="shared" si="0"/>
        <v>9</v>
      </c>
      <c r="F45" s="123">
        <f>WORKDAY(F44,E45,Holiday!A41:A70)</f>
        <v>46191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1</v>
      </c>
      <c r="L45" s="113">
        <f>IF(OR(AND($F44&lt;=L$3, $F45 &gt;= L$3), AND($F45&lt;L$3, WORKDAY($F45, 22,Holiday!$A$1:$A$30)&gt;L$3)), 1, 0)+IF(AND((L$3-$B$2)&gt;=0,(L$3-$B$2)&lt;30), 2,0)</f>
        <v>1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2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1:41" ht="15" x14ac:dyDescent="0.2">
      <c r="A46" s="120"/>
      <c r="B46" s="120" t="s">
        <v>206</v>
      </c>
      <c r="C46" s="116" t="s">
        <v>113</v>
      </c>
      <c r="D46" s="135">
        <v>6</v>
      </c>
      <c r="E46" s="134">
        <f t="shared" si="0"/>
        <v>9</v>
      </c>
      <c r="F46" s="123">
        <f>WORKDAY(F45,E46,Holiday!A42:A71)</f>
        <v>46204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1</v>
      </c>
      <c r="M46" s="113">
        <f>IF(OR(AND($F45&lt;=M$3, $F46 &gt;= M$3), AND($F46&lt;M$3, WORKDAY($F46, 22,Holiday!$A$1:$A$30)&gt;M$3)), 1, 0)+IF(AND((M$3-$B$2)&gt;=0,(M$3-$B$2)&lt;30), 2,0)</f>
        <v>0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2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0</v>
      </c>
      <c r="R46" s="113">
        <f>IF(OR(AND($F45&lt;=R$3, $F46 &gt;= R$3), AND($F46&lt;R$3, WORKDAY($F46, 22,Holiday!$A$1:$A$30)&gt;R$3)), 1, 0)+IF(AND((R$3-$B$2)&gt;=0,(R$3-$B$2)&lt;30), 2,0)</f>
        <v>0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1:41" ht="15" x14ac:dyDescent="0.2">
      <c r="A47" s="120"/>
      <c r="B47" s="120" t="s">
        <v>198</v>
      </c>
      <c r="C47" s="116" t="s">
        <v>113</v>
      </c>
      <c r="D47" s="135">
        <v>6</v>
      </c>
      <c r="E47" s="134">
        <f t="shared" si="0"/>
        <v>9</v>
      </c>
      <c r="F47" s="123">
        <f>WORKDAY(F46,E47,Holiday!A43:A72)</f>
        <v>46217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1</v>
      </c>
      <c r="M47" s="113">
        <f>IF(OR(AND($F46&lt;=M$3, $F47 &gt;= M$3), AND($F47&lt;M$3, WORKDAY($F47, 22,Holiday!$A$1:$A$30)&gt;M$3)), 1, 0)+IF(AND((M$3-$B$2)&gt;=0,(M$3-$B$2)&lt;30), 2,0)</f>
        <v>1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2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0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1:41" ht="15" x14ac:dyDescent="0.2">
      <c r="A48" s="120"/>
      <c r="B48" s="120" t="s">
        <v>200</v>
      </c>
      <c r="C48" s="116" t="s">
        <v>113</v>
      </c>
      <c r="D48" s="135">
        <v>6</v>
      </c>
      <c r="E48" s="134">
        <f t="shared" si="0"/>
        <v>9</v>
      </c>
      <c r="F48" s="123">
        <f>WORKDAY(F47,E48,Holiday!A44:A73)</f>
        <v>46230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1</v>
      </c>
      <c r="N48" s="113">
        <f>IF(OR(AND($F47&lt;=N$3, $F48 &gt;= N$3), AND($F48&lt;N$3, WORKDAY($F48, 22,Holiday!$A$1:$A$30)&gt;N$3)), 1, 0)+IF(AND((N$3-$B$2)&gt;=0,(N$3-$B$2)&lt;30), 2,0)</f>
        <v>0</v>
      </c>
      <c r="O48" s="113">
        <f>IF(OR(AND($F47&lt;=O$3, $F48 &gt;= O$3), AND($F48&lt;O$3, WORKDAY($F48, 22,Holiday!$A$1:$A$30)&gt;O$3)), 1, 0)+IF(AND((O$3-$B$2)&gt;=0,(O$3-$B$2)&lt;30), 2,0)</f>
        <v>2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0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1:41" ht="15" x14ac:dyDescent="0.2">
      <c r="A49" s="120"/>
      <c r="B49" s="120" t="s">
        <v>173</v>
      </c>
      <c r="C49" s="116" t="s">
        <v>113</v>
      </c>
      <c r="D49" s="135">
        <v>6</v>
      </c>
      <c r="E49" s="134">
        <f t="shared" si="0"/>
        <v>9</v>
      </c>
      <c r="F49" s="123">
        <f>WORKDAY(F48,E49,Holiday!A45:A74)</f>
        <v>46241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1</v>
      </c>
      <c r="N49" s="113">
        <f>IF(OR(AND($F48&lt;=N$3, $F49 &gt;= N$3), AND($F49&lt;N$3, WORKDAY($F49, 22,Holiday!$A$1:$A$30)&gt;N$3)), 1, 0)+IF(AND((N$3-$B$2)&gt;=0,(N$3-$B$2)&lt;30), 2,0)</f>
        <v>0</v>
      </c>
      <c r="O49" s="113">
        <f>IF(OR(AND($F48&lt;=O$3, $F49 &gt;= O$3), AND($F49&lt;O$3, WORKDAY($F49, 22,Holiday!$A$1:$A$30)&gt;O$3)), 1, 0)+IF(AND((O$3-$B$2)&gt;=0,(O$3-$B$2)&lt;30), 2,0)</f>
        <v>2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0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1:41" ht="15" x14ac:dyDescent="0.2">
      <c r="A50" s="120"/>
      <c r="B50" s="120" t="s">
        <v>165</v>
      </c>
      <c r="C50" s="116" t="s">
        <v>113</v>
      </c>
      <c r="D50" s="135">
        <v>6</v>
      </c>
      <c r="E50" s="134">
        <f t="shared" si="0"/>
        <v>9</v>
      </c>
      <c r="F50" s="123">
        <f>WORKDAY(F49,E50,Holiday!A46:A75)</f>
        <v>46254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1</v>
      </c>
      <c r="N50" s="113">
        <f>IF(OR(AND($F49&lt;=N$3, $F50 &gt;= N$3), AND($F50&lt;N$3, WORKDAY($F50, 22,Holiday!$A$1:$A$30)&gt;N$3)), 1, 0)+IF(AND((N$3-$B$2)&gt;=0,(N$3-$B$2)&lt;30), 2,0)</f>
        <v>1</v>
      </c>
      <c r="O50" s="113">
        <f>IF(OR(AND($F49&lt;=O$3, $F50 &gt;= O$3), AND($F50&lt;O$3, WORKDAY($F50, 22,Holiday!$A$1:$A$30)&gt;O$3)), 1, 0)+IF(AND((O$3-$B$2)&gt;=0,(O$3-$B$2)&lt;30), 2,0)</f>
        <v>2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0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1:41" ht="15" x14ac:dyDescent="0.2">
      <c r="A51" s="120"/>
      <c r="B51" s="120" t="s">
        <v>174</v>
      </c>
      <c r="C51" s="116" t="s">
        <v>113</v>
      </c>
      <c r="D51" s="135">
        <v>6</v>
      </c>
      <c r="E51" s="134">
        <f t="shared" si="0"/>
        <v>9</v>
      </c>
      <c r="F51" s="123">
        <f>WORKDAY(F50,E51,Holiday!A47:A76)</f>
        <v>46267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1</v>
      </c>
      <c r="O51" s="113">
        <f>IF(OR(AND($F50&lt;=O$3, $F51 &gt;= O$3), AND($F51&lt;O$3, WORKDAY($F51, 22,Holiday!$A$1:$A$30)&gt;O$3)), 1, 0)+IF(AND((O$3-$B$2)&gt;=0,(O$3-$B$2)&lt;30), 2,0)</f>
        <v>2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0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1:41" ht="15" x14ac:dyDescent="0.2">
      <c r="A52" s="120"/>
      <c r="B52" s="120" t="s">
        <v>182</v>
      </c>
      <c r="C52" s="116" t="s">
        <v>113</v>
      </c>
      <c r="D52" s="135">
        <v>6</v>
      </c>
      <c r="E52" s="134">
        <f t="shared" si="0"/>
        <v>9</v>
      </c>
      <c r="F52" s="123">
        <f>WORKDAY(F51,E52,Holiday!A48:A77)</f>
        <v>46280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1</v>
      </c>
      <c r="O52" s="113">
        <f>IF(OR(AND($F51&lt;=O$3, $F52 &gt;= O$3), AND($F52&lt;O$3, WORKDAY($F52, 22,Holiday!$A$1:$A$30)&gt;O$3)), 1, 0)+IF(AND((O$3-$B$2)&gt;=0,(O$3-$B$2)&lt;30), 2,0)</f>
        <v>3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0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0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1:41" ht="15" x14ac:dyDescent="0.2">
      <c r="A53" s="120"/>
      <c r="B53" s="120" t="s">
        <v>207</v>
      </c>
      <c r="C53" s="116" t="s">
        <v>214</v>
      </c>
      <c r="D53" s="135">
        <v>6</v>
      </c>
      <c r="E53" s="134">
        <f t="shared" si="0"/>
        <v>9</v>
      </c>
      <c r="F53" s="123">
        <f>WORKDAY(F4,E53,Holiday!A49:A78)</f>
        <v>46064</v>
      </c>
      <c r="G53" s="113">
        <f>IF(OR(AND($F52&lt;=G$3, $F53 &gt;= G$3), AND($F53&lt;G$3, WORKDAY($F53, 22,Holiday!$A$1:$A$30)&gt;G$3)), 1, 0)+IF(AND((G$3-$B$2)&gt;=0,(G$3-$B$2)&lt;30), 2,0)</f>
        <v>0</v>
      </c>
      <c r="H53" s="113">
        <f>IF(OR(AND($F52&lt;=H$3, $F53 &gt;= H$3), AND($F53&lt;H$3, WORKDAY($F53, 22,Holiday!$A$1:$A$30)&gt;H$3)), 1, 0)+IF(AND((H$3-$B$2)&gt;=0,(H$3-$B$2)&lt;30), 2,0)</f>
        <v>1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0</v>
      </c>
      <c r="L53" s="113">
        <f>IF(OR(AND($F52&lt;=L$3, $F53 &gt;= L$3), AND($F53&lt;L$3, WORKDAY($F53, 22,Holiday!$A$1:$A$30)&gt;L$3)), 1, 0)+IF(AND((L$3-$B$2)&gt;=0,(L$3-$B$2)&lt;30), 2,0)</f>
        <v>0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2</v>
      </c>
      <c r="P53" s="113">
        <f>IF(OR(AND($F52&lt;=P$3, $F53 &gt;= P$3), AND($F53&lt;P$3, WORKDAY($F53, 22,Holiday!$A$1:$A$30)&gt;P$3)), 1, 0)+IF(AND((P$3-$B$2)&gt;=0,(P$3-$B$2)&lt;30), 2,0)</f>
        <v>0</v>
      </c>
      <c r="Q53" s="113">
        <f>IF(OR(AND($F52&lt;=Q$3, $F53 &gt;= Q$3), AND($F53&lt;Q$3, WORKDAY($F53, 22,Holiday!$A$1:$A$30)&gt;Q$3)), 1, 0)+IF(AND((Q$3-$B$2)&gt;=0,(Q$3-$B$2)&lt;30), 2,0)</f>
        <v>0</v>
      </c>
      <c r="R53" s="113">
        <f>IF(OR(AND($F52&lt;=R$3, $F53 &gt;= R$3), AND($F53&lt;R$3, WORKDAY($F53, 22,Holiday!$A$1:$A$30)&gt;R$3)), 1, 0)+IF(AND((R$3-$B$2)&gt;=0,(R$3-$B$2)&lt;30), 2,0)</f>
        <v>0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0</v>
      </c>
      <c r="V53" s="113">
        <f>IF(OR(AND($F52&lt;=V$3, $F53 &gt;= V$3), AND($F53&lt;V$3, WORKDAY($F53, 22,Holiday!$A$1:$A$30)&gt;V$3)), 1, 0)+IF(AND((V$3-$B$2)&gt;=0,(V$3-$B$2)&lt;30), 2,0)</f>
        <v>0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0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</row>
    <row r="54" spans="1:41" ht="15" x14ac:dyDescent="0.2">
      <c r="A54" s="120"/>
      <c r="B54" s="120" t="s">
        <v>205</v>
      </c>
      <c r="C54" s="116" t="s">
        <v>214</v>
      </c>
      <c r="D54" s="135">
        <v>6</v>
      </c>
      <c r="E54" s="134">
        <f t="shared" si="0"/>
        <v>9</v>
      </c>
      <c r="F54" s="123">
        <f>WORKDAY(F53,E54,Holiday!A50:A79)</f>
        <v>46077</v>
      </c>
      <c r="G54" s="113">
        <f>IF(OR(AND($F53&lt;=G$3, $F54 &gt;= G$3), AND($F54&lt;G$3, WORKDAY($F54, 22,Holiday!$A$1:$A$30)&gt;G$3)), 1, 0)+IF(AND((G$3-$B$2)&gt;=0,(G$3-$B$2)&lt;30), 2,0)</f>
        <v>0</v>
      </c>
      <c r="H54" s="113">
        <f>IF(OR(AND($F53&lt;=H$3, $F54 &gt;= H$3), AND($F54&lt;H$3, WORKDAY($F54, 22,Holiday!$A$1:$A$30)&gt;H$3)), 1, 0)+IF(AND((H$3-$B$2)&gt;=0,(H$3-$B$2)&lt;30), 2,0)</f>
        <v>1</v>
      </c>
      <c r="I54" s="113">
        <f>IF(OR(AND($F53&lt;=I$3, $F54 &gt;= I$3), AND($F54&lt;I$3, WORKDAY($F54, 22,Holiday!$A$1:$A$30)&gt;I$3)), 1, 0)+IF(AND((I$3-$B$2)&gt;=0,(I$3-$B$2)&lt;30), 2,0)</f>
        <v>0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0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2</v>
      </c>
      <c r="P54" s="113">
        <f>IF(OR(AND($F53&lt;=P$3, $F54 &gt;= P$3), AND($F54&lt;P$3, WORKDAY($F54, 22,Holiday!$A$1:$A$30)&gt;P$3)), 1, 0)+IF(AND((P$3-$B$2)&gt;=0,(P$3-$B$2)&lt;30), 2,0)</f>
        <v>0</v>
      </c>
      <c r="Q54" s="113">
        <f>IF(OR(AND($F53&lt;=Q$3, $F54 &gt;= Q$3), AND($F54&lt;Q$3, WORKDAY($F54, 22,Holiday!$A$1:$A$30)&gt;Q$3)), 1, 0)+IF(AND((Q$3-$B$2)&gt;=0,(Q$3-$B$2)&lt;30), 2,0)</f>
        <v>0</v>
      </c>
      <c r="R54" s="113">
        <f>IF(OR(AND($F53&lt;=R$3, $F54 &gt;= R$3), AND($F54&lt;R$3, WORKDAY($F54, 22,Holiday!$A$1:$A$30)&gt;R$3)), 1, 0)+IF(AND((R$3-$B$2)&gt;=0,(R$3-$B$2)&lt;30), 2,0)</f>
        <v>0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0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0</v>
      </c>
      <c r="AE54" s="113">
        <f>IF(OR(AND($F53&lt;=AE$3, $F54 &gt;= AE$3), AND($F54&lt;AE$3, WORKDAY($F54, 22,Holiday!$A$1:$A$30)&gt;AE$3)), 1, 0)+IF(AND((AE$3-$B$2)&gt;=0,(AE$3-$B$2)&lt;30), 2,0)</f>
        <v>0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</row>
    <row r="55" spans="1:41" ht="15" x14ac:dyDescent="0.2">
      <c r="A55" s="120"/>
      <c r="B55" s="120" t="s">
        <v>186</v>
      </c>
      <c r="C55" s="116" t="s">
        <v>214</v>
      </c>
      <c r="D55" s="135">
        <v>6</v>
      </c>
      <c r="E55" s="134">
        <f t="shared" si="0"/>
        <v>9</v>
      </c>
      <c r="F55" s="123">
        <f>WORKDAY(F54,E55,Holiday!A51:A80)</f>
        <v>46090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1</v>
      </c>
      <c r="I55" s="113">
        <f>IF(OR(AND($F54&lt;=I$3, $F55 &gt;= I$3), AND($F55&lt;I$3, WORKDAY($F55, 22,Holiday!$A$1:$A$30)&gt;I$3)), 1, 0)+IF(AND((I$3-$B$2)&gt;=0,(I$3-$B$2)&lt;30), 2,0)</f>
        <v>1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2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0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0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</row>
    <row r="56" spans="1:41" ht="15" x14ac:dyDescent="0.2">
      <c r="A56" s="120"/>
      <c r="B56" s="120" t="s">
        <v>171</v>
      </c>
      <c r="C56" s="116" t="s">
        <v>214</v>
      </c>
      <c r="D56" s="135">
        <v>6</v>
      </c>
      <c r="E56" s="134">
        <f t="shared" si="0"/>
        <v>9</v>
      </c>
      <c r="F56" s="123">
        <f>WORKDAY(F55,E56,Holiday!A52:A81)</f>
        <v>46101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1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2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0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1:41" ht="15" x14ac:dyDescent="0.2">
      <c r="A57" s="120"/>
      <c r="B57" s="120" t="s">
        <v>184</v>
      </c>
      <c r="C57" s="116" t="s">
        <v>214</v>
      </c>
      <c r="D57" s="135">
        <v>6</v>
      </c>
      <c r="E57" s="134">
        <f t="shared" si="0"/>
        <v>9</v>
      </c>
      <c r="F57" s="123">
        <f>WORKDAY(F56,E57,Holiday!A53:A82)</f>
        <v>46114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1</v>
      </c>
      <c r="J57" s="113">
        <f>IF(OR(AND($F56&lt;=J$3, $F57 &gt;= J$3), AND($F57&lt;J$3, WORKDAY($F57, 22,Holiday!$A$1:$A$30)&gt;J$3)), 1, 0)+IF(AND((J$3-$B$2)&gt;=0,(J$3-$B$2)&lt;30), 2,0)</f>
        <v>0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2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0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1:41" ht="15" x14ac:dyDescent="0.2">
      <c r="A58" s="120"/>
      <c r="B58" s="120" t="s">
        <v>146</v>
      </c>
      <c r="C58" s="116" t="s">
        <v>214</v>
      </c>
      <c r="D58" s="135">
        <v>6</v>
      </c>
      <c r="E58" s="134">
        <f t="shared" si="0"/>
        <v>9</v>
      </c>
      <c r="F58" s="123">
        <f>WORKDAY(F57,E58,Holiday!A54:A83)</f>
        <v>46127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1</v>
      </c>
      <c r="J58" s="113">
        <f>IF(OR(AND($F57&lt;=J$3, $F58 &gt;= J$3), AND($F58&lt;J$3, WORKDAY($F58, 22,Holiday!$A$1:$A$30)&gt;J$3)), 1, 0)+IF(AND((J$3-$B$2)&gt;=0,(J$3-$B$2)&lt;30), 2,0)</f>
        <v>1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2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0</v>
      </c>
      <c r="R58" s="113">
        <f>IF(OR(AND($F57&lt;=R$3, $F58 &gt;= R$3), AND($F58&lt;R$3, WORKDAY($F58, 22,Holiday!$A$1:$A$30)&gt;R$3)), 1, 0)+IF(AND((R$3-$B$2)&gt;=0,(R$3-$B$2)&lt;30), 2,0)</f>
        <v>0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1:41" ht="15" x14ac:dyDescent="0.2">
      <c r="A59" s="120"/>
      <c r="B59" s="120" t="s">
        <v>170</v>
      </c>
      <c r="C59" s="116" t="s">
        <v>214</v>
      </c>
      <c r="D59" s="135">
        <v>6</v>
      </c>
      <c r="E59" s="134">
        <f t="shared" si="0"/>
        <v>9</v>
      </c>
      <c r="F59" s="123">
        <f>WORKDAY(F58,E59,Holiday!A55:A84)</f>
        <v>46140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1</v>
      </c>
      <c r="K59" s="113">
        <f>IF(OR(AND($F58&lt;=K$3, $F59 &gt;= K$3), AND($F59&lt;K$3, WORKDAY($F59, 22,Holiday!$A$1:$A$30)&gt;K$3)), 1, 0)+IF(AND((K$3-$B$2)&gt;=0,(K$3-$B$2)&lt;30), 2,0)</f>
        <v>0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2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0</v>
      </c>
      <c r="R59" s="113">
        <f>IF(OR(AND($F58&lt;=R$3, $F59 &gt;= R$3), AND($F59&lt;R$3, WORKDAY($F59, 22,Holiday!$A$1:$A$30)&gt;R$3)), 1, 0)+IF(AND((R$3-$B$2)&gt;=0,(R$3-$B$2)&lt;30), 2,0)</f>
        <v>0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1:41" ht="15" x14ac:dyDescent="0.2">
      <c r="A60" s="120"/>
      <c r="B60" s="120" t="s">
        <v>169</v>
      </c>
      <c r="C60" s="116" t="s">
        <v>214</v>
      </c>
      <c r="D60" s="135">
        <v>6</v>
      </c>
      <c r="E60" s="134">
        <f t="shared" si="0"/>
        <v>9</v>
      </c>
      <c r="F60" s="123">
        <f>WORKDAY(F59,E60,Holiday!A56:A85)</f>
        <v>46153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1</v>
      </c>
      <c r="K60" s="113">
        <f>IF(OR(AND($F59&lt;=K$3, $F60 &gt;= K$3), AND($F60&lt;K$3, WORKDAY($F60, 22,Holiday!$A$1:$A$30)&gt;K$3)), 1, 0)+IF(AND((K$3-$B$2)&gt;=0,(K$3-$B$2)&lt;30), 2,0)</f>
        <v>1</v>
      </c>
      <c r="L60" s="113">
        <f>IF(OR(AND($F59&lt;=L$3, $F60 &gt;= L$3), AND($F60&lt;L$3, WORKDAY($F60, 22,Holiday!$A$1:$A$30)&gt;L$3)), 1, 0)+IF(AND((L$3-$B$2)&gt;=0,(L$3-$B$2)&lt;30), 2,0)</f>
        <v>0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2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0</v>
      </c>
      <c r="R60" s="113">
        <f>IF(OR(AND($F59&lt;=R$3, $F60 &gt;= R$3), AND($F60&lt;R$3, WORKDAY($F60, 22,Holiday!$A$1:$A$30)&gt;R$3)), 1, 0)+IF(AND((R$3-$B$2)&gt;=0,(R$3-$B$2)&lt;30), 2,0)</f>
        <v>0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1:41" ht="15" x14ac:dyDescent="0.2">
      <c r="A61" s="120"/>
      <c r="B61" s="120" t="s">
        <v>178</v>
      </c>
      <c r="C61" s="116" t="s">
        <v>214</v>
      </c>
      <c r="D61" s="135">
        <v>6</v>
      </c>
      <c r="E61" s="134">
        <f t="shared" si="0"/>
        <v>9</v>
      </c>
      <c r="F61" s="123">
        <f>WORKDAY(F60,E61,Holiday!A57:A86)</f>
        <v>46164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1</v>
      </c>
      <c r="L61" s="113">
        <f>IF(OR(AND($F60&lt;=L$3, $F61 &gt;= L$3), AND($F61&lt;L$3, WORKDAY($F61, 22,Holiday!$A$1:$A$30)&gt;L$3)), 1, 0)+IF(AND((L$3-$B$2)&gt;=0,(L$3-$B$2)&lt;30), 2,0)</f>
        <v>0</v>
      </c>
      <c r="M61" s="113">
        <f>IF(OR(AND($F60&lt;=M$3, $F61 &gt;= M$3), AND($F61&lt;M$3, WORKDAY($F61, 22,Holiday!$A$1:$A$30)&gt;M$3)), 1, 0)+IF(AND((M$3-$B$2)&gt;=0,(M$3-$B$2)&lt;30), 2,0)</f>
        <v>0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2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0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1:41" ht="15" x14ac:dyDescent="0.2">
      <c r="A62" s="120"/>
      <c r="B62" s="120" t="s">
        <v>145</v>
      </c>
      <c r="C62" s="116" t="s">
        <v>214</v>
      </c>
      <c r="D62" s="135">
        <v>6</v>
      </c>
      <c r="E62" s="134">
        <f t="shared" si="0"/>
        <v>9</v>
      </c>
      <c r="F62" s="123">
        <f>WORKDAY(F61,E62,Holiday!A58:A87)</f>
        <v>46177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1</v>
      </c>
      <c r="L62" s="113">
        <f>IF(OR(AND($F61&lt;=L$3, $F62 &gt;= L$3), AND($F62&lt;L$3, WORKDAY($F62, 22,Holiday!$A$1:$A$30)&gt;L$3)), 1, 0)+IF(AND((L$3-$B$2)&gt;=0,(L$3-$B$2)&lt;30), 2,0)</f>
        <v>0</v>
      </c>
      <c r="M62" s="113">
        <f>IF(OR(AND($F61&lt;=M$3, $F62 &gt;= M$3), AND($F62&lt;M$3, WORKDAY($F62, 22,Holiday!$A$1:$A$30)&gt;M$3)), 1, 0)+IF(AND((M$3-$B$2)&gt;=0,(M$3-$B$2)&lt;30), 2,0)</f>
        <v>0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2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0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1:41" ht="15" x14ac:dyDescent="0.2">
      <c r="A63" s="120"/>
      <c r="B63" s="120" t="s">
        <v>143</v>
      </c>
      <c r="C63" s="116" t="s">
        <v>214</v>
      </c>
      <c r="D63" s="135">
        <v>6</v>
      </c>
      <c r="E63" s="134">
        <f t="shared" si="0"/>
        <v>9</v>
      </c>
      <c r="F63" s="123">
        <f>WORKDAY(F62,E63,Holiday!A59:A88)</f>
        <v>46190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1</v>
      </c>
      <c r="L63" s="113">
        <f>IF(OR(AND($F62&lt;=L$3, $F63 &gt;= L$3), AND($F63&lt;L$3, WORKDAY($F63, 22,Holiday!$A$1:$A$30)&gt;L$3)), 1, 0)+IF(AND((L$3-$B$2)&gt;=0,(L$3-$B$2)&lt;30), 2,0)</f>
        <v>1</v>
      </c>
      <c r="M63" s="113">
        <f>IF(OR(AND($F62&lt;=M$3, $F63 &gt;= M$3), AND($F63&lt;M$3, WORKDAY($F63, 22,Holiday!$A$1:$A$30)&gt;M$3)), 1, 0)+IF(AND((M$3-$B$2)&gt;=0,(M$3-$B$2)&lt;30), 2,0)</f>
        <v>0</v>
      </c>
      <c r="N63" s="113">
        <f>IF(OR(AND($F62&lt;=N$3, $F63 &gt;= N$3), AND($F63&lt;N$3, WORKDAY($F63, 22,Holiday!$A$1:$A$30)&gt;N$3)), 1, 0)+IF(AND((N$3-$B$2)&gt;=0,(N$3-$B$2)&lt;30), 2,0)</f>
        <v>0</v>
      </c>
      <c r="O63" s="113">
        <f>IF(OR(AND($F62&lt;=O$3, $F63 &gt;= O$3), AND($F63&lt;O$3, WORKDAY($F63, 22,Holiday!$A$1:$A$30)&gt;O$3)), 1, 0)+IF(AND((O$3-$B$2)&gt;=0,(O$3-$B$2)&lt;30), 2,0)</f>
        <v>2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0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1:41" ht="15" x14ac:dyDescent="0.2">
      <c r="A64" s="120"/>
      <c r="B64" s="120" t="s">
        <v>144</v>
      </c>
      <c r="C64" s="116" t="s">
        <v>214</v>
      </c>
      <c r="D64" s="135">
        <v>6</v>
      </c>
      <c r="E64" s="134">
        <f t="shared" si="0"/>
        <v>9</v>
      </c>
      <c r="F64" s="123">
        <f>WORKDAY(F63,E64,Holiday!A60:A89)</f>
        <v>46203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1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0</v>
      </c>
      <c r="O64" s="113">
        <f>IF(OR(AND($F63&lt;=O$3, $F64 &gt;= O$3), AND($F64&lt;O$3, WORKDAY($F64, 22,Holiday!$A$1:$A$30)&gt;O$3)), 1, 0)+IF(AND((O$3-$B$2)&gt;=0,(O$3-$B$2)&lt;30), 2,0)</f>
        <v>2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0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1:41" ht="15" x14ac:dyDescent="0.2">
      <c r="A65" s="120"/>
      <c r="B65" s="120" t="s">
        <v>159</v>
      </c>
      <c r="C65" s="116" t="s">
        <v>214</v>
      </c>
      <c r="D65" s="135">
        <v>6</v>
      </c>
      <c r="E65" s="134">
        <f t="shared" si="0"/>
        <v>9</v>
      </c>
      <c r="F65" s="123">
        <f>WORKDAY(F64,E65,Holiday!A61:A90)</f>
        <v>46216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1</v>
      </c>
      <c r="M65" s="113">
        <f>IF(OR(AND($F64&lt;=M$3, $F65 &gt;= M$3), AND($F65&lt;M$3, WORKDAY($F65, 22,Holiday!$A$1:$A$30)&gt;M$3)), 1, 0)+IF(AND((M$3-$B$2)&gt;=0,(M$3-$B$2)&lt;30), 2,0)</f>
        <v>1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2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0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1:41" ht="15" x14ac:dyDescent="0.2">
      <c r="A66" s="120"/>
      <c r="B66" s="120" t="s">
        <v>156</v>
      </c>
      <c r="C66" s="116" t="s">
        <v>214</v>
      </c>
      <c r="D66" s="135">
        <v>6</v>
      </c>
      <c r="E66" s="134">
        <f t="shared" si="0"/>
        <v>9</v>
      </c>
      <c r="F66" s="123">
        <f>WORKDAY(F65,E66,Holiday!A62:A91)</f>
        <v>46227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1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2</v>
      </c>
      <c r="P66" s="113">
        <f>IF(OR(AND($F65&lt;=P$3, $F66 &gt;= P$3), AND($F66&lt;P$3, WORKDAY($F66, 22,Holiday!$A$1:$A$30)&gt;P$3)), 1, 0)+IF(AND((P$3-$B$2)&gt;=0,(P$3-$B$2)&lt;30), 2,0)</f>
        <v>0</v>
      </c>
      <c r="Q66" s="113">
        <f>IF(OR(AND($F65&lt;=Q$3, $F66 &gt;= Q$3), AND($F66&lt;Q$3, WORKDAY($F66, 22,Holiday!$A$1:$A$30)&gt;Q$3)), 1, 0)+IF(AND((Q$3-$B$2)&gt;=0,(Q$3-$B$2)&lt;30), 2,0)</f>
        <v>0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1:41" ht="15" x14ac:dyDescent="0.2">
      <c r="A67" s="120"/>
      <c r="B67" s="120" t="s">
        <v>179</v>
      </c>
      <c r="C67" s="116" t="s">
        <v>214</v>
      </c>
      <c r="D67" s="135">
        <v>6</v>
      </c>
      <c r="E67" s="134">
        <f t="shared" si="0"/>
        <v>9</v>
      </c>
      <c r="F67" s="123">
        <f>WORKDAY(F66,E67,Holiday!A63:A92)</f>
        <v>46240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1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2</v>
      </c>
      <c r="P67" s="113">
        <f>IF(OR(AND($F66&lt;=P$3, $F67 &gt;= P$3), AND($F67&lt;P$3, WORKDAY($F67, 22,Holiday!$A$1:$A$30)&gt;P$3)), 1, 0)+IF(AND((P$3-$B$2)&gt;=0,(P$3-$B$2)&lt;30), 2,0)</f>
        <v>0</v>
      </c>
      <c r="Q67" s="113">
        <f>IF(OR(AND($F66&lt;=Q$3, $F67 &gt;= Q$3), AND($F67&lt;Q$3, WORKDAY($F67, 22,Holiday!$A$1:$A$30)&gt;Q$3)), 1, 0)+IF(AND((Q$3-$B$2)&gt;=0,(Q$3-$B$2)&lt;30), 2,0)</f>
        <v>0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1:41" ht="15" x14ac:dyDescent="0.2">
      <c r="A68" s="120"/>
      <c r="B68" s="120" t="s">
        <v>202</v>
      </c>
      <c r="C68" s="116" t="s">
        <v>214</v>
      </c>
      <c r="D68" s="135">
        <v>6</v>
      </c>
      <c r="E68" s="134">
        <f t="shared" si="0"/>
        <v>9</v>
      </c>
      <c r="F68" s="123">
        <f>WORKDAY(F67,E68,Holiday!A64:A93)</f>
        <v>46253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1</v>
      </c>
      <c r="N68" s="113">
        <f>IF(OR(AND($F67&lt;=N$3, $F68 &gt;= N$3), AND($F68&lt;N$3, WORKDAY($F68, 22,Holiday!$A$1:$A$30)&gt;N$3)), 1, 0)+IF(AND((N$3-$B$2)&gt;=0,(N$3-$B$2)&lt;30), 2,0)</f>
        <v>1</v>
      </c>
      <c r="O68" s="113">
        <f>IF(OR(AND($F67&lt;=O$3, $F68 &gt;= O$3), AND($F68&lt;O$3, WORKDAY($F68, 22,Holiday!$A$1:$A$30)&gt;O$3)), 1, 0)+IF(AND((O$3-$B$2)&gt;=0,(O$3-$B$2)&lt;30), 2,0)</f>
        <v>2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0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1:41" ht="15" x14ac:dyDescent="0.2">
      <c r="A69" s="120"/>
      <c r="B69" s="120" t="s">
        <v>180</v>
      </c>
      <c r="C69" s="116" t="s">
        <v>214</v>
      </c>
      <c r="D69" s="135">
        <v>6</v>
      </c>
      <c r="E69" s="134">
        <f t="shared" si="0"/>
        <v>9</v>
      </c>
      <c r="F69" s="123">
        <f>WORKDAY(F68,E69,Holiday!A65:A94)</f>
        <v>46266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1</v>
      </c>
      <c r="O69" s="113">
        <f>IF(OR(AND($F68&lt;=O$3, $F69 &gt;= O$3), AND($F69&lt;O$3, WORKDAY($F69, 22,Holiday!$A$1:$A$30)&gt;O$3)), 1, 0)+IF(AND((O$3-$B$2)&gt;=0,(O$3-$B$2)&lt;30), 2,0)</f>
        <v>2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0</v>
      </c>
      <c r="R69" s="113">
        <f>IF(OR(AND($F68&lt;=R$3, $F69 &gt;= R$3), AND($F69&lt;R$3, WORKDAY($F69, 22,Holiday!$A$1:$A$30)&gt;R$3)), 1, 0)+IF(AND((R$3-$B$2)&gt;=0,(R$3-$B$2)&lt;30), 2,0)</f>
        <v>0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1:41" ht="15" x14ac:dyDescent="0.2">
      <c r="A70" s="120"/>
      <c r="B70" s="120" t="s">
        <v>175</v>
      </c>
      <c r="C70" s="116" t="s">
        <v>214</v>
      </c>
      <c r="D70" s="135">
        <v>6</v>
      </c>
      <c r="E70" s="134">
        <f t="shared" ref="E70:E103" si="1">ROUNDUP(D70*(1+$D$2),0)</f>
        <v>9</v>
      </c>
      <c r="F70" s="123">
        <f>WORKDAY(F69,E70,Holiday!A66:A95)</f>
        <v>46279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0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1</v>
      </c>
      <c r="O70" s="113">
        <f>IF(OR(AND($F69&lt;=O$3, $F70 &gt;= O$3), AND($F70&lt;O$3, WORKDAY($F70, 22,Holiday!$A$1:$A$30)&gt;O$3)), 1, 0)+IF(AND((O$3-$B$2)&gt;=0,(O$3-$B$2)&lt;30), 2,0)</f>
        <v>3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0</v>
      </c>
      <c r="R70" s="113">
        <f>IF(OR(AND($F69&lt;=R$3, $F70 &gt;= R$3), AND($F70&lt;R$3, WORKDAY($F70, 22,Holiday!$A$1:$A$30)&gt;R$3)), 1, 0)+IF(AND((R$3-$B$2)&gt;=0,(R$3-$B$2)&lt;30), 2,0)</f>
        <v>0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1:41" ht="15" x14ac:dyDescent="0.2">
      <c r="A71" s="120"/>
      <c r="B71" s="120" t="s">
        <v>161</v>
      </c>
      <c r="C71" s="116" t="s">
        <v>215</v>
      </c>
      <c r="D71" s="135">
        <v>6</v>
      </c>
      <c r="E71" s="134">
        <f t="shared" si="1"/>
        <v>9</v>
      </c>
      <c r="F71" s="123">
        <f>WORKDAY(F4,E71,Holiday!A67:A96)</f>
        <v>46064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1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2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0</v>
      </c>
      <c r="R71" s="113">
        <f>IF(OR(AND($F70&lt;=R$3, $F71 &gt;= R$3), AND($F71&lt;R$3, WORKDAY($F71, 22,Holiday!$A$1:$A$30)&gt;R$3)), 1, 0)+IF(AND((R$3-$B$2)&gt;=0,(R$3-$B$2)&lt;30), 2,0)</f>
        <v>0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1:41" ht="15" x14ac:dyDescent="0.2">
      <c r="A72" s="120"/>
      <c r="B72" s="120" t="s">
        <v>172</v>
      </c>
      <c r="C72" s="116" t="s">
        <v>215</v>
      </c>
      <c r="D72" s="135">
        <v>6</v>
      </c>
      <c r="E72" s="134">
        <f t="shared" si="1"/>
        <v>9</v>
      </c>
      <c r="F72" s="123">
        <f>WORKDAY(F71,E72,Holiday!A68:A97)</f>
        <v>46077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1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2</v>
      </c>
      <c r="P72" s="113">
        <f>IF(OR(AND($F71&lt;=P$3, $F72 &gt;= P$3), AND($F72&lt;P$3, WORKDAY($F72, 22,Holiday!$A$1:$A$30)&gt;P$3)), 1, 0)+IF(AND((P$3-$B$2)&gt;=0,(P$3-$B$2)&lt;30), 2,0)</f>
        <v>0</v>
      </c>
      <c r="Q72" s="113">
        <f>IF(OR(AND($F71&lt;=Q$3, $F72 &gt;= Q$3), AND($F72&lt;Q$3, WORKDAY($F72, 22,Holiday!$A$1:$A$30)&gt;Q$3)), 1, 0)+IF(AND((Q$3-$B$2)&gt;=0,(Q$3-$B$2)&lt;30), 2,0)</f>
        <v>0</v>
      </c>
      <c r="R72" s="113">
        <f>IF(OR(AND($F71&lt;=R$3, $F72 &gt;= R$3), AND($F72&lt;R$3, WORKDAY($F72, 22,Holiday!$A$1:$A$30)&gt;R$3)), 1, 0)+IF(AND((R$3-$B$2)&gt;=0,(R$3-$B$2)&lt;30), 2,0)</f>
        <v>0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1:41" ht="15" x14ac:dyDescent="0.2">
      <c r="A73" s="120"/>
      <c r="B73" s="120" t="s">
        <v>209</v>
      </c>
      <c r="C73" s="116" t="s">
        <v>215</v>
      </c>
      <c r="D73" s="135">
        <v>6</v>
      </c>
      <c r="E73" s="134">
        <f t="shared" si="1"/>
        <v>9</v>
      </c>
      <c r="F73" s="123">
        <f>WORKDAY(F72,E73,Holiday!A69:A98)</f>
        <v>46090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1</v>
      </c>
      <c r="I73" s="113">
        <f>IF(OR(AND($F72&lt;=I$3, $F73 &gt;= I$3), AND($F73&lt;I$3, WORKDAY($F73, 22,Holiday!$A$1:$A$30)&gt;I$3)), 1, 0)+IF(AND((I$3-$B$2)&gt;=0,(I$3-$B$2)&lt;30), 2,0)</f>
        <v>1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2</v>
      </c>
      <c r="P73" s="113">
        <f>IF(OR(AND($F72&lt;=P$3, $F73 &gt;= P$3), AND($F73&lt;P$3, WORKDAY($F73, 22,Holiday!$A$1:$A$30)&gt;P$3)), 1, 0)+IF(AND((P$3-$B$2)&gt;=0,(P$3-$B$2)&lt;30), 2,0)</f>
        <v>0</v>
      </c>
      <c r="Q73" s="113">
        <f>IF(OR(AND($F72&lt;=Q$3, $F73 &gt;= Q$3), AND($F73&lt;Q$3, WORKDAY($F73, 22,Holiday!$A$1:$A$30)&gt;Q$3)), 1, 0)+IF(AND((Q$3-$B$2)&gt;=0,(Q$3-$B$2)&lt;30), 2,0)</f>
        <v>0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1:41" ht="15" x14ac:dyDescent="0.2">
      <c r="A74" s="120"/>
      <c r="B74" s="120" t="s">
        <v>163</v>
      </c>
      <c r="C74" s="116" t="s">
        <v>215</v>
      </c>
      <c r="D74" s="135">
        <v>6</v>
      </c>
      <c r="E74" s="134">
        <f t="shared" si="1"/>
        <v>9</v>
      </c>
      <c r="F74" s="123">
        <f>WORKDAY(F73,E74,Holiday!A70:A99)</f>
        <v>46101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0</v>
      </c>
      <c r="I74" s="113">
        <f>IF(OR(AND($F73&lt;=I$3, $F74 &gt;= I$3), AND($F74&lt;I$3, WORKDAY($F74, 22,Holiday!$A$1:$A$30)&gt;I$3)), 1, 0)+IF(AND((I$3-$B$2)&gt;=0,(I$3-$B$2)&lt;30), 2,0)</f>
        <v>1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2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0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1:41" ht="15" x14ac:dyDescent="0.2">
      <c r="A75" s="120"/>
      <c r="B75" s="120" t="s">
        <v>211</v>
      </c>
      <c r="C75" s="116" t="s">
        <v>215</v>
      </c>
      <c r="D75" s="135">
        <v>6</v>
      </c>
      <c r="E75" s="134">
        <f t="shared" si="1"/>
        <v>9</v>
      </c>
      <c r="F75" s="123">
        <f>WORKDAY(F74,E75,Holiday!A71:A100)</f>
        <v>46114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1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0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2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0</v>
      </c>
      <c r="R75" s="113">
        <f>IF(OR(AND($F74&lt;=R$3, $F75 &gt;= R$3), AND($F75&lt;R$3, WORKDAY($F75, 22,Holiday!$A$1:$A$30)&gt;R$3)), 1, 0)+IF(AND((R$3-$B$2)&gt;=0,(R$3-$B$2)&lt;30), 2,0)</f>
        <v>0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1:41" ht="15" x14ac:dyDescent="0.2">
      <c r="A76" s="120"/>
      <c r="B76" s="120" t="s">
        <v>210</v>
      </c>
      <c r="C76" s="116" t="s">
        <v>215</v>
      </c>
      <c r="D76" s="135">
        <v>6</v>
      </c>
      <c r="E76" s="134">
        <f t="shared" si="1"/>
        <v>9</v>
      </c>
      <c r="F76" s="123">
        <f>WORKDAY(F75,E76,Holiday!A72:A101)</f>
        <v>46127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1</v>
      </c>
      <c r="J76" s="113">
        <f>IF(OR(AND($F75&lt;=J$3, $F76 &gt;= J$3), AND($F76&lt;J$3, WORKDAY($F76, 22,Holiday!$A$1:$A$30)&gt;J$3)), 1, 0)+IF(AND((J$3-$B$2)&gt;=0,(J$3-$B$2)&lt;30), 2,0)</f>
        <v>1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2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0</v>
      </c>
      <c r="R76" s="113">
        <f>IF(OR(AND($F75&lt;=R$3, $F76 &gt;= R$3), AND($F76&lt;R$3, WORKDAY($F76, 22,Holiday!$A$1:$A$30)&gt;R$3)), 1, 0)+IF(AND((R$3-$B$2)&gt;=0,(R$3-$B$2)&lt;30), 2,0)</f>
        <v>0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1:41" ht="15" x14ac:dyDescent="0.2">
      <c r="A77" s="120"/>
      <c r="B77" s="120" t="s">
        <v>203</v>
      </c>
      <c r="C77" s="116" t="s">
        <v>215</v>
      </c>
      <c r="D77" s="135">
        <v>6</v>
      </c>
      <c r="E77" s="134">
        <f t="shared" si="1"/>
        <v>9</v>
      </c>
      <c r="F77" s="123">
        <f>WORKDAY(F76,E77,Holiday!A73:A102)</f>
        <v>46140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0</v>
      </c>
      <c r="J77" s="113">
        <f>IF(OR(AND($F76&lt;=J$3, $F77 &gt;= J$3), AND($F77&lt;J$3, WORKDAY($F77, 22,Holiday!$A$1:$A$30)&gt;J$3)), 1, 0)+IF(AND((J$3-$B$2)&gt;=0,(J$3-$B$2)&lt;30), 2,0)</f>
        <v>1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2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0</v>
      </c>
      <c r="R77" s="113">
        <f>IF(OR(AND($F76&lt;=R$3, $F77 &gt;= R$3), AND($F77&lt;R$3, WORKDAY($F77, 22,Holiday!$A$1:$A$30)&gt;R$3)), 1, 0)+IF(AND((R$3-$B$2)&gt;=0,(R$3-$B$2)&lt;30), 2,0)</f>
        <v>0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1:41" ht="15" x14ac:dyDescent="0.2">
      <c r="A78" s="120"/>
      <c r="B78" s="120" t="s">
        <v>160</v>
      </c>
      <c r="C78" s="116" t="s">
        <v>215</v>
      </c>
      <c r="D78" s="135">
        <v>6</v>
      </c>
      <c r="E78" s="134">
        <f t="shared" si="1"/>
        <v>9</v>
      </c>
      <c r="F78" s="123">
        <f>WORKDAY(F77,E78,Holiday!A74:A103)</f>
        <v>46153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1</v>
      </c>
      <c r="K78" s="113">
        <f>IF(OR(AND($F77&lt;=K$3, $F78 &gt;= K$3), AND($F78&lt;K$3, WORKDAY($F78, 22,Holiday!$A$1:$A$30)&gt;K$3)), 1, 0)+IF(AND((K$3-$B$2)&gt;=0,(K$3-$B$2)&lt;30), 2,0)</f>
        <v>1</v>
      </c>
      <c r="L78" s="113">
        <f>IF(OR(AND($F77&lt;=L$3, $F78 &gt;= L$3), AND($F78&lt;L$3, WORKDAY($F78, 22,Holiday!$A$1:$A$30)&gt;L$3)), 1, 0)+IF(AND((L$3-$B$2)&gt;=0,(L$3-$B$2)&lt;30), 2,0)</f>
        <v>0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2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0</v>
      </c>
      <c r="R78" s="113">
        <f>IF(OR(AND($F77&lt;=R$3, $F78 &gt;= R$3), AND($F78&lt;R$3, WORKDAY($F78, 22,Holiday!$A$1:$A$30)&gt;R$3)), 1, 0)+IF(AND((R$3-$B$2)&gt;=0,(R$3-$B$2)&lt;30), 2,0)</f>
        <v>0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1:41" ht="15" x14ac:dyDescent="0.2">
      <c r="A79" s="120"/>
      <c r="B79" s="120" t="s">
        <v>158</v>
      </c>
      <c r="C79" s="116" t="s">
        <v>215</v>
      </c>
      <c r="D79" s="135">
        <v>6</v>
      </c>
      <c r="E79" s="134">
        <f t="shared" si="1"/>
        <v>9</v>
      </c>
      <c r="F79" s="123">
        <f>WORKDAY(F78,E79,Holiday!A75:A104)</f>
        <v>46164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0</v>
      </c>
      <c r="K79" s="113">
        <f>IF(OR(AND($F78&lt;=K$3, $F79 &gt;= K$3), AND($F79&lt;K$3, WORKDAY($F79, 22,Holiday!$A$1:$A$30)&gt;K$3)), 1, 0)+IF(AND((K$3-$B$2)&gt;=0,(K$3-$B$2)&lt;30), 2,0)</f>
        <v>1</v>
      </c>
      <c r="L79" s="113">
        <f>IF(OR(AND($F78&lt;=L$3, $F79 &gt;= L$3), AND($F79&lt;L$3, WORKDAY($F79, 22,Holiday!$A$1:$A$30)&gt;L$3)), 1, 0)+IF(AND((L$3-$B$2)&gt;=0,(L$3-$B$2)&lt;30), 2,0)</f>
        <v>0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2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0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1:41" ht="15" x14ac:dyDescent="0.2">
      <c r="A80" s="120"/>
      <c r="B80" s="120" t="s">
        <v>157</v>
      </c>
      <c r="C80" s="116" t="s">
        <v>215</v>
      </c>
      <c r="D80" s="135">
        <v>6</v>
      </c>
      <c r="E80" s="134">
        <f t="shared" si="1"/>
        <v>9</v>
      </c>
      <c r="F80" s="123">
        <f>WORKDAY(F79,E80,Holiday!A76:A105)</f>
        <v>46177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0</v>
      </c>
      <c r="K80" s="113">
        <f>IF(OR(AND($F79&lt;=K$3, $F80 &gt;= K$3), AND($F80&lt;K$3, WORKDAY($F80, 22,Holiday!$A$1:$A$30)&gt;K$3)), 1, 0)+IF(AND((K$3-$B$2)&gt;=0,(K$3-$B$2)&lt;30), 2,0)</f>
        <v>1</v>
      </c>
      <c r="L80" s="113">
        <f>IF(OR(AND($F79&lt;=L$3, $F80 &gt;= L$3), AND($F80&lt;L$3, WORKDAY($F80, 22,Holiday!$A$1:$A$30)&gt;L$3)), 1, 0)+IF(AND((L$3-$B$2)&gt;=0,(L$3-$B$2)&lt;30), 2,0)</f>
        <v>0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2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0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1:41" ht="15" x14ac:dyDescent="0.2">
      <c r="A81" s="120"/>
      <c r="B81" s="120" t="s">
        <v>164</v>
      </c>
      <c r="C81" s="116" t="s">
        <v>215</v>
      </c>
      <c r="D81" s="135">
        <v>6</v>
      </c>
      <c r="E81" s="134">
        <f t="shared" si="1"/>
        <v>9</v>
      </c>
      <c r="F81" s="123">
        <f>WORKDAY(F80,E81,Holiday!A77:A106)</f>
        <v>46190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0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1</v>
      </c>
      <c r="L81" s="113">
        <f>IF(OR(AND($F80&lt;=L$3, $F81 &gt;= L$3), AND($F81&lt;L$3, WORKDAY($F81, 22,Holiday!$A$1:$A$30)&gt;L$3)), 1, 0)+IF(AND((L$3-$B$2)&gt;=0,(L$3-$B$2)&lt;30), 2,0)</f>
        <v>1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2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0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1:41" ht="15" x14ac:dyDescent="0.2">
      <c r="A82" s="120"/>
      <c r="B82" s="120" t="s">
        <v>168</v>
      </c>
      <c r="C82" s="116" t="s">
        <v>215</v>
      </c>
      <c r="D82" s="135">
        <v>6</v>
      </c>
      <c r="E82" s="134">
        <f t="shared" si="1"/>
        <v>9</v>
      </c>
      <c r="F82" s="123">
        <f>WORKDAY(F81,E82,Holiday!A78:A107)</f>
        <v>46203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0</v>
      </c>
      <c r="L82" s="113">
        <f>IF(OR(AND($F81&lt;=L$3, $F82 &gt;= L$3), AND($F82&lt;L$3, WORKDAY($F82, 22,Holiday!$A$1:$A$30)&gt;L$3)), 1, 0)+IF(AND((L$3-$B$2)&gt;=0,(L$3-$B$2)&lt;30), 2,0)</f>
        <v>1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2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0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1:41" ht="15" x14ac:dyDescent="0.2">
      <c r="A83" s="120"/>
      <c r="B83" s="120" t="s">
        <v>166</v>
      </c>
      <c r="C83" s="116" t="s">
        <v>215</v>
      </c>
      <c r="D83" s="135">
        <v>6</v>
      </c>
      <c r="E83" s="134">
        <f t="shared" si="1"/>
        <v>9</v>
      </c>
      <c r="F83" s="123">
        <f>WORKDAY(F82,E83,Holiday!A79:A108)</f>
        <v>46216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0</v>
      </c>
      <c r="L83" s="113">
        <f>IF(OR(AND($F82&lt;=L$3, $F83 &gt;= L$3), AND($F83&lt;L$3, WORKDAY($F83, 22,Holiday!$A$1:$A$30)&gt;L$3)), 1, 0)+IF(AND((L$3-$B$2)&gt;=0,(L$3-$B$2)&lt;30), 2,0)</f>
        <v>1</v>
      </c>
      <c r="M83" s="113">
        <f>IF(OR(AND($F82&lt;=M$3, $F83 &gt;= M$3), AND($F83&lt;M$3, WORKDAY($F83, 22,Holiday!$A$1:$A$30)&gt;M$3)), 1, 0)+IF(AND((M$3-$B$2)&gt;=0,(M$3-$B$2)&lt;30), 2,0)</f>
        <v>1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2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0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1:41" ht="15" x14ac:dyDescent="0.2">
      <c r="A84" s="120"/>
      <c r="B84" s="120" t="s">
        <v>155</v>
      </c>
      <c r="C84" s="116" t="s">
        <v>215</v>
      </c>
      <c r="D84" s="135">
        <v>6</v>
      </c>
      <c r="E84" s="134">
        <f t="shared" si="1"/>
        <v>9</v>
      </c>
      <c r="F84" s="123">
        <f>WORKDAY(F83,E84,Holiday!A80:A109)</f>
        <v>46227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0</v>
      </c>
      <c r="M84" s="113">
        <f>IF(OR(AND($F83&lt;=M$3, $F84 &gt;= M$3), AND($F84&lt;M$3, WORKDAY($F84, 22,Holiday!$A$1:$A$30)&gt;M$3)), 1, 0)+IF(AND((M$3-$B$2)&gt;=0,(M$3-$B$2)&lt;30), 2,0)</f>
        <v>1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2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0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1:41" ht="15" x14ac:dyDescent="0.2">
      <c r="A85" s="120"/>
      <c r="B85" s="120" t="s">
        <v>181</v>
      </c>
      <c r="C85" s="116" t="s">
        <v>215</v>
      </c>
      <c r="D85" s="135">
        <v>6</v>
      </c>
      <c r="E85" s="134">
        <f t="shared" si="1"/>
        <v>9</v>
      </c>
      <c r="F85" s="123">
        <f>WORKDAY(F84,E85,Holiday!A81:A110)</f>
        <v>46240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0</v>
      </c>
      <c r="M85" s="113">
        <f>IF(OR(AND($F84&lt;=M$3, $F85 &gt;= M$3), AND($F85&lt;M$3, WORKDAY($F85, 22,Holiday!$A$1:$A$30)&gt;M$3)), 1, 0)+IF(AND((M$3-$B$2)&gt;=0,(M$3-$B$2)&lt;30), 2,0)</f>
        <v>1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2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0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0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1:41" ht="15" x14ac:dyDescent="0.2">
      <c r="A86" s="120"/>
      <c r="B86" s="120" t="s">
        <v>183</v>
      </c>
      <c r="C86" s="116" t="s">
        <v>215</v>
      </c>
      <c r="D86" s="135">
        <v>6</v>
      </c>
      <c r="E86" s="134">
        <f t="shared" si="1"/>
        <v>9</v>
      </c>
      <c r="F86" s="123">
        <f>WORKDAY(F85,E86,Holiday!A82:A111)</f>
        <v>46253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0</v>
      </c>
      <c r="L86" s="113">
        <f>IF(OR(AND($F85&lt;=L$3, $F86 &gt;= L$3), AND($F86&lt;L$3, WORKDAY($F86, 22,Holiday!$A$1:$A$30)&gt;L$3)), 1, 0)+IF(AND((L$3-$B$2)&gt;=0,(L$3-$B$2)&lt;30), 2,0)</f>
        <v>0</v>
      </c>
      <c r="M86" s="113">
        <f>IF(OR(AND($F85&lt;=M$3, $F86 &gt;= M$3), AND($F86&lt;M$3, WORKDAY($F86, 22,Holiday!$A$1:$A$30)&gt;M$3)), 1, 0)+IF(AND((M$3-$B$2)&gt;=0,(M$3-$B$2)&lt;30), 2,0)</f>
        <v>1</v>
      </c>
      <c r="N86" s="113">
        <f>IF(OR(AND($F85&lt;=N$3, $F86 &gt;= N$3), AND($F86&lt;N$3, WORKDAY($F86, 22,Holiday!$A$1:$A$30)&gt;N$3)), 1, 0)+IF(AND((N$3-$B$2)&gt;=0,(N$3-$B$2)&lt;30), 2,0)</f>
        <v>1</v>
      </c>
      <c r="O86" s="113">
        <f>IF(OR(AND($F85&lt;=O$3, $F86 &gt;= O$3), AND($F86&lt;O$3, WORKDAY($F86, 22,Holiday!$A$1:$A$30)&gt;O$3)), 1, 0)+IF(AND((O$3-$B$2)&gt;=0,(O$3-$B$2)&lt;30), 2,0)</f>
        <v>2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0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0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1:41" ht="15" x14ac:dyDescent="0.2">
      <c r="A87" s="120"/>
      <c r="B87" s="120" t="s">
        <v>177</v>
      </c>
      <c r="C87" s="116" t="s">
        <v>215</v>
      </c>
      <c r="D87" s="135">
        <v>6</v>
      </c>
      <c r="E87" s="134">
        <f t="shared" si="1"/>
        <v>9</v>
      </c>
      <c r="F87" s="123">
        <f>WORKDAY(F86,E87,Holiday!A83:A112)</f>
        <v>46266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0</v>
      </c>
      <c r="N87" s="113">
        <f>IF(OR(AND($F86&lt;=N$3, $F87 &gt;= N$3), AND($F87&lt;N$3, WORKDAY($F87, 22,Holiday!$A$1:$A$30)&gt;N$3)), 1, 0)+IF(AND((N$3-$B$2)&gt;=0,(N$3-$B$2)&lt;30), 2,0)</f>
        <v>1</v>
      </c>
      <c r="O87" s="113">
        <f>IF(OR(AND($F86&lt;=O$3, $F87 &gt;= O$3), AND($F87&lt;O$3, WORKDAY($F87, 22,Holiday!$A$1:$A$30)&gt;O$3)), 1, 0)+IF(AND((O$3-$B$2)&gt;=0,(O$3-$B$2)&lt;30), 2,0)</f>
        <v>2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0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0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1:41" ht="15" x14ac:dyDescent="0.2">
      <c r="A88" s="120"/>
      <c r="B88" s="120" t="s">
        <v>176</v>
      </c>
      <c r="C88" s="116" t="s">
        <v>215</v>
      </c>
      <c r="D88" s="135">
        <v>6</v>
      </c>
      <c r="E88" s="134">
        <f t="shared" si="1"/>
        <v>9</v>
      </c>
      <c r="F88" s="123">
        <f>WORKDAY(F87,E88,Holiday!A84:A113)</f>
        <v>46279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0</v>
      </c>
      <c r="N88" s="113">
        <f>IF(OR(AND($F87&lt;=N$3, $F88 &gt;= N$3), AND($F88&lt;N$3, WORKDAY($F88, 22,Holiday!$A$1:$A$30)&gt;N$3)), 1, 0)+IF(AND((N$3-$B$2)&gt;=0,(N$3-$B$2)&lt;30), 2,0)</f>
        <v>1</v>
      </c>
      <c r="O88" s="113">
        <f>IF(OR(AND($F87&lt;=O$3, $F88 &gt;= O$3), AND($F88&lt;O$3, WORKDAY($F88, 22,Holiday!$A$1:$A$30)&gt;O$3)), 1, 0)+IF(AND((O$3-$B$2)&gt;=0,(O$3-$B$2)&lt;30), 2,0)</f>
        <v>3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0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1:41" ht="15" x14ac:dyDescent="0.2">
      <c r="A89" s="120"/>
      <c r="B89" s="120" t="s">
        <v>167</v>
      </c>
      <c r="C89" s="116" t="s">
        <v>215</v>
      </c>
      <c r="D89" s="135">
        <v>6</v>
      </c>
      <c r="E89" s="134">
        <f t="shared" si="1"/>
        <v>9</v>
      </c>
      <c r="F89" s="123">
        <f>WORKDAY(F4,E89,Holiday!A85:A114)</f>
        <v>46064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1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0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0</v>
      </c>
      <c r="O89" s="113">
        <f>IF(OR(AND($F88&lt;=O$3, $F89 &gt;= O$3), AND($F89&lt;O$3, WORKDAY($F89, 22,Holiday!$A$1:$A$30)&gt;O$3)), 1, 0)+IF(AND((O$3-$B$2)&gt;=0,(O$3-$B$2)&lt;30), 2,0)</f>
        <v>2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0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1:41" ht="15" x14ac:dyDescent="0.2">
      <c r="A90" s="120"/>
      <c r="B90" s="120" t="s">
        <v>185</v>
      </c>
      <c r="C90" s="116" t="s">
        <v>216</v>
      </c>
      <c r="D90" s="135">
        <v>6</v>
      </c>
      <c r="E90" s="134">
        <f t="shared" si="1"/>
        <v>9</v>
      </c>
      <c r="F90" s="123">
        <f>WORKDAY(F89,E90,Holiday!A86:A115)</f>
        <v>46077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1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0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0</v>
      </c>
      <c r="O90" s="113">
        <f>IF(OR(AND($F89&lt;=O$3, $F90 &gt;= O$3), AND($F90&lt;O$3, WORKDAY($F90, 22,Holiday!$A$1:$A$30)&gt;O$3)), 1, 0)+IF(AND((O$3-$B$2)&gt;=0,(O$3-$B$2)&lt;30), 2,0)</f>
        <v>2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0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1:41" ht="15" x14ac:dyDescent="0.2">
      <c r="A91" s="120"/>
      <c r="B91" s="120" t="s">
        <v>148</v>
      </c>
      <c r="C91" s="116" t="s">
        <v>216</v>
      </c>
      <c r="D91" s="135">
        <v>6</v>
      </c>
      <c r="E91" s="134">
        <f t="shared" si="1"/>
        <v>9</v>
      </c>
      <c r="F91" s="123">
        <f>WORKDAY(F90,E91,Holiday!A87:A116)</f>
        <v>46090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1</v>
      </c>
      <c r="I91" s="113">
        <f>IF(OR(AND($F90&lt;=I$3, $F91 &gt;= I$3), AND($F91&lt;I$3, WORKDAY($F91, 22,Holiday!$A$1:$A$30)&gt;I$3)), 1, 0)+IF(AND((I$3-$B$2)&gt;=0,(I$3-$B$2)&lt;30), 2,0)</f>
        <v>1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0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0</v>
      </c>
      <c r="O91" s="113">
        <f>IF(OR(AND($F90&lt;=O$3, $F91 &gt;= O$3), AND($F91&lt;O$3, WORKDAY($F91, 22,Holiday!$A$1:$A$30)&gt;O$3)), 1, 0)+IF(AND((O$3-$B$2)&gt;=0,(O$3-$B$2)&lt;30), 2,0)</f>
        <v>2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0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1:41" ht="15" x14ac:dyDescent="0.2">
      <c r="A92" s="120"/>
      <c r="B92" s="120" t="s">
        <v>147</v>
      </c>
      <c r="C92" s="116" t="s">
        <v>216</v>
      </c>
      <c r="D92" s="135">
        <v>6</v>
      </c>
      <c r="E92" s="134">
        <f t="shared" si="1"/>
        <v>9</v>
      </c>
      <c r="F92" s="123">
        <f>WORKDAY(F91,E92,Holiday!A88:A117)</f>
        <v>46101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1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2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0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1:41" ht="15" x14ac:dyDescent="0.2">
      <c r="A93" s="120"/>
      <c r="B93" s="120" t="s">
        <v>151</v>
      </c>
      <c r="C93" s="116" t="s">
        <v>216</v>
      </c>
      <c r="D93" s="135">
        <v>6</v>
      </c>
      <c r="E93" s="134">
        <f t="shared" si="1"/>
        <v>9</v>
      </c>
      <c r="F93" s="123">
        <f>WORKDAY(F92,E93,Holiday!A89:A118)</f>
        <v>46114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1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2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0</v>
      </c>
      <c r="R93" s="113">
        <f>IF(OR(AND($F92&lt;=R$3, $F93 &gt;= R$3), AND($F93&lt;R$3, WORKDAY($F93, 22,Holiday!$A$1:$A$30)&gt;R$3)), 1, 0)+IF(AND((R$3-$B$2)&gt;=0,(R$3-$B$2)&lt;30), 2,0)</f>
        <v>0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1:41" ht="15" x14ac:dyDescent="0.2">
      <c r="A94" s="120"/>
      <c r="B94" s="120" t="s">
        <v>154</v>
      </c>
      <c r="C94" s="116" t="s">
        <v>216</v>
      </c>
      <c r="D94" s="135">
        <v>6</v>
      </c>
      <c r="E94" s="134">
        <f t="shared" si="1"/>
        <v>9</v>
      </c>
      <c r="F94" s="123">
        <f>WORKDAY(F93,E94,Holiday!A90:A119)</f>
        <v>46127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1</v>
      </c>
      <c r="J94" s="113">
        <f>IF(OR(AND($F93&lt;=J$3, $F94 &gt;= J$3), AND($F94&lt;J$3, WORKDAY($F94, 22,Holiday!$A$1:$A$30)&gt;J$3)), 1, 0)+IF(AND((J$3-$B$2)&gt;=0,(J$3-$B$2)&lt;30), 2,0)</f>
        <v>1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2</v>
      </c>
      <c r="P94" s="113">
        <f>IF(OR(AND($F93&lt;=P$3, $F94 &gt;= P$3), AND($F94&lt;P$3, WORKDAY($F94, 22,Holiday!$A$1:$A$30)&gt;P$3)), 1, 0)+IF(AND((P$3-$B$2)&gt;=0,(P$3-$B$2)&lt;30), 2,0)</f>
        <v>0</v>
      </c>
      <c r="Q94" s="113">
        <f>IF(OR(AND($F93&lt;=Q$3, $F94 &gt;= Q$3), AND($F94&lt;Q$3, WORKDAY($F94, 22,Holiday!$A$1:$A$30)&gt;Q$3)), 1, 0)+IF(AND((Q$3-$B$2)&gt;=0,(Q$3-$B$2)&lt;30), 2,0)</f>
        <v>0</v>
      </c>
      <c r="R94" s="113">
        <f>IF(OR(AND($F93&lt;=R$3, $F94 &gt;= R$3), AND($F94&lt;R$3, WORKDAY($F94, 22,Holiday!$A$1:$A$30)&gt;R$3)), 1, 0)+IF(AND((R$3-$B$2)&gt;=0,(R$3-$B$2)&lt;30), 2,0)</f>
        <v>0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1:41" ht="15" x14ac:dyDescent="0.2">
      <c r="A95" s="120"/>
      <c r="B95" s="120" t="s">
        <v>153</v>
      </c>
      <c r="C95" s="116" t="s">
        <v>216</v>
      </c>
      <c r="D95" s="135">
        <v>6</v>
      </c>
      <c r="E95" s="134">
        <f t="shared" si="1"/>
        <v>9</v>
      </c>
      <c r="F95" s="123">
        <f>WORKDAY(F94,E95,Holiday!A91:A120)</f>
        <v>46140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1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2</v>
      </c>
      <c r="P95" s="113">
        <f>IF(OR(AND($F94&lt;=P$3, $F95 &gt;= P$3), AND($F95&lt;P$3, WORKDAY($F95, 22,Holiday!$A$1:$A$30)&gt;P$3)), 1, 0)+IF(AND((P$3-$B$2)&gt;=0,(P$3-$B$2)&lt;30), 2,0)</f>
        <v>0</v>
      </c>
      <c r="Q95" s="113">
        <f>IF(OR(AND($F94&lt;=Q$3, $F95 &gt;= Q$3), AND($F95&lt;Q$3, WORKDAY($F95, 22,Holiday!$A$1:$A$30)&gt;Q$3)), 1, 0)+IF(AND((Q$3-$B$2)&gt;=0,(Q$3-$B$2)&lt;30), 2,0)</f>
        <v>0</v>
      </c>
      <c r="R95" s="113">
        <f>IF(OR(AND($F94&lt;=R$3, $F95 &gt;= R$3), AND($F95&lt;R$3, WORKDAY($F95, 22,Holiday!$A$1:$A$30)&gt;R$3)), 1, 0)+IF(AND((R$3-$B$2)&gt;=0,(R$3-$B$2)&lt;30), 2,0)</f>
        <v>0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1:41" ht="15" x14ac:dyDescent="0.2">
      <c r="A96" s="120"/>
      <c r="B96" s="120" t="s">
        <v>149</v>
      </c>
      <c r="C96" s="116" t="s">
        <v>216</v>
      </c>
      <c r="D96" s="135">
        <v>6</v>
      </c>
      <c r="E96" s="134">
        <f t="shared" si="1"/>
        <v>9</v>
      </c>
      <c r="F96" s="123">
        <f>WORKDAY(F95,E96,Holiday!A92:A121)</f>
        <v>46153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1</v>
      </c>
      <c r="K96" s="113">
        <f>IF(OR(AND($F95&lt;=K$3, $F96 &gt;= K$3), AND($F96&lt;K$3, WORKDAY($F96, 22,Holiday!$A$1:$A$30)&gt;K$3)), 1, 0)+IF(AND((K$3-$B$2)&gt;=0,(K$3-$B$2)&lt;30), 2,0)</f>
        <v>1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2</v>
      </c>
      <c r="P96" s="113">
        <f>IF(OR(AND($F95&lt;=P$3, $F96 &gt;= P$3), AND($F96&lt;P$3, WORKDAY($F96, 22,Holiday!$A$1:$A$30)&gt;P$3)), 1, 0)+IF(AND((P$3-$B$2)&gt;=0,(P$3-$B$2)&lt;30), 2,0)</f>
        <v>0</v>
      </c>
      <c r="Q96" s="113">
        <f>IF(OR(AND($F95&lt;=Q$3, $F96 &gt;= Q$3), AND($F96&lt;Q$3, WORKDAY($F96, 22,Holiday!$A$1:$A$30)&gt;Q$3)), 1, 0)+IF(AND((Q$3-$B$2)&gt;=0,(Q$3-$B$2)&lt;30), 2,0)</f>
        <v>0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1:41" ht="15" x14ac:dyDescent="0.2">
      <c r="A97" s="120"/>
      <c r="B97" s="120" t="s">
        <v>152</v>
      </c>
      <c r="C97" s="116" t="s">
        <v>216</v>
      </c>
      <c r="D97" s="135">
        <v>6</v>
      </c>
      <c r="E97" s="134">
        <f t="shared" si="1"/>
        <v>9</v>
      </c>
      <c r="F97" s="123">
        <f>WORKDAY(F96,E97,Holiday!A93:A122)</f>
        <v>46164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1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2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0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1:41" ht="15" x14ac:dyDescent="0.2">
      <c r="A98" s="120"/>
      <c r="B98" s="120" t="s">
        <v>150</v>
      </c>
      <c r="C98" s="116" t="s">
        <v>216</v>
      </c>
      <c r="D98" s="135">
        <v>6</v>
      </c>
      <c r="E98" s="134">
        <f t="shared" si="1"/>
        <v>9</v>
      </c>
      <c r="F98" s="123">
        <f>WORKDAY(F97,E98,Holiday!A94:A123)</f>
        <v>46177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1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2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0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1:41" ht="15" x14ac:dyDescent="0.2">
      <c r="A99" s="120"/>
      <c r="B99" s="120" t="s">
        <v>162</v>
      </c>
      <c r="C99" s="116" t="s">
        <v>216</v>
      </c>
      <c r="D99" s="135">
        <v>6</v>
      </c>
      <c r="E99" s="134">
        <f t="shared" si="1"/>
        <v>9</v>
      </c>
      <c r="F99" s="123">
        <f>WORKDAY(F98,E99,Holiday!A95:A124)</f>
        <v>46190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1</v>
      </c>
      <c r="L99" s="113">
        <f>IF(OR(AND($F98&lt;=L$3, $F99 &gt;= L$3), AND($F99&lt;L$3, WORKDAY($F99, 22,Holiday!$A$1:$A$30)&gt;L$3)), 1, 0)+IF(AND((L$3-$B$2)&gt;=0,(L$3-$B$2)&lt;30), 2,0)</f>
        <v>1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2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0</v>
      </c>
      <c r="R99" s="113">
        <f>IF(OR(AND($F98&lt;=R$3, $F99 &gt;= R$3), AND($F99&lt;R$3, WORKDAY($F99, 22,Holiday!$A$1:$A$30)&gt;R$3)), 1, 0)+IF(AND((R$3-$B$2)&gt;=0,(R$3-$B$2)&lt;30), 2,0)</f>
        <v>0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1:41" ht="15" x14ac:dyDescent="0.2">
      <c r="A100" s="120"/>
      <c r="B100" s="120" t="s">
        <v>196</v>
      </c>
      <c r="C100" s="116" t="s">
        <v>216</v>
      </c>
      <c r="D100" s="135">
        <v>10</v>
      </c>
      <c r="E100" s="134">
        <f t="shared" si="1"/>
        <v>15</v>
      </c>
      <c r="F100" s="123">
        <f>WORKDAY(F99,E100,Holiday!A96:A125)</f>
        <v>46211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1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2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0</v>
      </c>
      <c r="R100" s="113">
        <f>IF(OR(AND($F99&lt;=R$3, $F100 &gt;= R$3), AND($F100&lt;R$3, WORKDAY($F100, 22,Holiday!$A$1:$A$30)&gt;R$3)), 1, 0)+IF(AND((R$3-$B$2)&gt;=0,(R$3-$B$2)&lt;30), 2,0)</f>
        <v>0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1:41" ht="15" x14ac:dyDescent="0.2">
      <c r="A101" s="120"/>
      <c r="B101" s="120" t="s">
        <v>116</v>
      </c>
      <c r="C101" s="116" t="s">
        <v>216</v>
      </c>
      <c r="D101" s="135">
        <v>10</v>
      </c>
      <c r="E101" s="134">
        <f t="shared" si="1"/>
        <v>15</v>
      </c>
      <c r="F101" s="123">
        <f>WORKDAY(F100,E101,Holiday!A97:A126)</f>
        <v>46232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0</v>
      </c>
      <c r="J101" s="113">
        <f>IF(OR(AND($F100&lt;=J$3, $F101 &gt;= J$3), AND($F101&lt;J$3, WORKDAY($F101, 22,Holiday!$A$1:$A$30)&gt;J$3)), 1, 0)+IF(AND((J$3-$B$2)&gt;=0,(J$3-$B$2)&lt;30), 2,0)</f>
        <v>0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1</v>
      </c>
      <c r="M101" s="113">
        <f>IF(OR(AND($F100&lt;=M$3, $F101 &gt;= M$3), AND($F101&lt;M$3, WORKDAY($F101, 22,Holiday!$A$1:$A$30)&gt;M$3)), 1, 0)+IF(AND((M$3-$B$2)&gt;=0,(M$3-$B$2)&lt;30), 2,0)</f>
        <v>1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2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0</v>
      </c>
      <c r="R101" s="113">
        <f>IF(OR(AND($F100&lt;=R$3, $F101 &gt;= R$3), AND($F101&lt;R$3, WORKDAY($F101, 22,Holiday!$A$1:$A$30)&gt;R$3)), 1, 0)+IF(AND((R$3-$B$2)&gt;=0,(R$3-$B$2)&lt;30), 2,0)</f>
        <v>0</v>
      </c>
      <c r="S101" s="113">
        <f>IF(OR(AND($F100&lt;=S$3, $F101 &gt;= S$3), AND($F101&lt;S$3, WORKDAY($F101, 22,Holiday!$A$1:$A$30)&gt;S$3)), 1, 0)+IF(AND((S$3-$B$2)&gt;=0,(S$3-$B$2)&lt;30), 2,0)</f>
        <v>0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0</v>
      </c>
      <c r="V101" s="113">
        <f>IF(OR(AND($F100&lt;=V$3, $F101 &gt;= V$3), AND($F101&lt;V$3, WORKDAY($F101, 22,Holiday!$A$1:$A$30)&gt;V$3)), 1, 0)+IF(AND((V$3-$B$2)&gt;=0,(V$3-$B$2)&lt;30), 2,0)</f>
        <v>0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0</v>
      </c>
      <c r="AC101" s="113">
        <f>IF(OR(AND($F100&lt;=AC$3, $F101 &gt;= AC$3), AND($F101&lt;AC$3, WORKDAY($F101, 22,Holiday!$A$1:$A$30)&gt;AC$3)), 1, 0)+IF(AND((AC$3-$B$2)&gt;=0,(AC$3-$B$2)&lt;30), 2,0)</f>
        <v>0</v>
      </c>
      <c r="AD101" s="113">
        <f>IF(OR(AND($F100&lt;=AD$3, $F101 &gt;= AD$3), AND($F101&lt;AD$3, WORKDAY($F101, 22,Holiday!$A$1:$A$30)&gt;AD$3)), 1, 0)+IF(AND((AD$3-$B$2)&gt;=0,(AD$3-$B$2)&lt;30), 2,0)</f>
        <v>0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</row>
    <row r="102" spans="1:41" ht="15" x14ac:dyDescent="0.2">
      <c r="A102" s="120"/>
      <c r="B102" s="120" t="s">
        <v>213</v>
      </c>
      <c r="C102" s="116" t="s">
        <v>216</v>
      </c>
      <c r="D102" s="135">
        <v>10</v>
      </c>
      <c r="E102" s="134">
        <f t="shared" si="1"/>
        <v>15</v>
      </c>
      <c r="F102" s="123">
        <f>WORKDAY(F101,E102,Holiday!A98:A127)</f>
        <v>46253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0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0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0</v>
      </c>
      <c r="M102" s="113">
        <f>IF(OR(AND($F101&lt;=M$3, $F102 &gt;= M$3), AND($F102&lt;M$3, WORKDAY($F102, 22,Holiday!$A$1:$A$30)&gt;M$3)), 1, 0)+IF(AND((M$3-$B$2)&gt;=0,(M$3-$B$2)&lt;30), 2,0)</f>
        <v>1</v>
      </c>
      <c r="N102" s="113">
        <f>IF(OR(AND($F101&lt;=N$3, $F102 &gt;= N$3), AND($F102&lt;N$3, WORKDAY($F102, 22,Holiday!$A$1:$A$30)&gt;N$3)), 1, 0)+IF(AND((N$3-$B$2)&gt;=0,(N$3-$B$2)&lt;30), 2,0)</f>
        <v>1</v>
      </c>
      <c r="O102" s="113">
        <f>IF(OR(AND($F101&lt;=O$3, $F102 &gt;= O$3), AND($F102&lt;O$3, WORKDAY($F102, 22,Holiday!$A$1:$A$30)&gt;O$3)), 1, 0)+IF(AND((O$3-$B$2)&gt;=0,(O$3-$B$2)&lt;30), 2,0)</f>
        <v>2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0</v>
      </c>
      <c r="R102" s="113">
        <f>IF(OR(AND($F101&lt;=R$3, $F102 &gt;= R$3), AND($F102&lt;R$3, WORKDAY($F102, 22,Holiday!$A$1:$A$30)&gt;R$3)), 1, 0)+IF(AND((R$3-$B$2)&gt;=0,(R$3-$B$2)&lt;30), 2,0)</f>
        <v>0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0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0</v>
      </c>
      <c r="AD102" s="113">
        <f>IF(OR(AND($F101&lt;=AD$3, $F102 &gt;= AD$3), AND($F102&lt;AD$3, WORKDAY($F102, 22,Holiday!$A$1:$A$30)&gt;AD$3)), 1, 0)+IF(AND((AD$3-$B$2)&gt;=0,(AD$3-$B$2)&lt;30), 2,0)</f>
        <v>0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</row>
    <row r="103" spans="1:41" ht="15" x14ac:dyDescent="0.2">
      <c r="A103" s="120"/>
      <c r="B103" s="120" t="s">
        <v>195</v>
      </c>
      <c r="C103" s="116" t="s">
        <v>216</v>
      </c>
      <c r="D103" s="135">
        <v>10</v>
      </c>
      <c r="E103" s="134">
        <f t="shared" si="1"/>
        <v>15</v>
      </c>
      <c r="F103" s="123">
        <f>WORKDAY(F102,E103,Holiday!A99:A128)</f>
        <v>46274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0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1</v>
      </c>
      <c r="O103" s="113">
        <f>IF(OR(AND($F102&lt;=O$3, $F103 &gt;= O$3), AND($F103&lt;O$3, WORKDAY($F103, 22,Holiday!$A$1:$A$30)&gt;O$3)), 1, 0)+IF(AND((O$3-$B$2)&gt;=0,(O$3-$B$2)&lt;30), 2,0)</f>
        <v>2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0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1:41" ht="12.75" x14ac:dyDescent="0.2">
      <c r="F104" s="122"/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43" type="noConversion"/>
  <conditionalFormatting sqref="G3:AO3">
    <cfRule type="expression" dxfId="31" priority="1">
      <formula>G$4&gt;1</formula>
    </cfRule>
  </conditionalFormatting>
  <conditionalFormatting sqref="G4:AO103">
    <cfRule type="cellIs" dxfId="30" priority="2" operator="greaterThan">
      <formula>1</formula>
    </cfRule>
    <cfRule type="cellIs" dxfId="29" priority="3" operator="equal">
      <formula>0</formula>
    </cfRule>
    <cfRule type="cellIs" dxfId="28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A8D8-318F-4596-AD46-65BD48A05AE6}">
  <sheetPr>
    <tabColor rgb="FF3D85C6"/>
    <outlinePr summaryBelow="0" summaryRight="0"/>
  </sheetPr>
  <dimension ref="A1:AO104"/>
  <sheetViews>
    <sheetView showGridLines="0" zoomScale="89" workbookViewId="0">
      <pane xSplit="6" topLeftCell="G1" activePane="topRight" state="frozen"/>
      <selection pane="topRight" activeCell="X26" sqref="X26"/>
    </sheetView>
  </sheetViews>
  <sheetFormatPr defaultColWidth="12.85546875" defaultRowHeight="15.75" customHeight="1" x14ac:dyDescent="0.2"/>
  <cols>
    <col min="1" max="1" width="2.140625" style="142" bestFit="1" customWidth="1"/>
    <col min="2" max="2" width="58.7109375" style="142" bestFit="1" customWidth="1"/>
    <col min="3" max="3" width="7.42578125" style="142" customWidth="1"/>
    <col min="4" max="4" width="7.5703125" style="142" bestFit="1" customWidth="1"/>
    <col min="5" max="5" width="7.140625" style="111" bestFit="1" customWidth="1"/>
    <col min="6" max="6" width="10.85546875" style="111" bestFit="1" customWidth="1"/>
    <col min="7" max="24" width="3.28515625" style="142" bestFit="1" customWidth="1"/>
    <col min="25" max="27" width="3.7109375" style="142" bestFit="1" customWidth="1"/>
    <col min="28" max="28" width="3.28515625" style="142" customWidth="1"/>
    <col min="29" max="29" width="3.7109375" style="142" bestFit="1" customWidth="1"/>
    <col min="30" max="35" width="3.28515625" style="142" bestFit="1" customWidth="1"/>
    <col min="36" max="36" width="3.28515625" style="142" customWidth="1"/>
    <col min="37" max="41" width="3.28515625" style="142" bestFit="1" customWidth="1"/>
    <col min="42" max="16384" width="12.85546875" style="142"/>
  </cols>
  <sheetData>
    <row r="1" spans="1:41" ht="25.5" x14ac:dyDescent="0.2">
      <c r="A1" s="198" t="s">
        <v>108</v>
      </c>
      <c r="B1" s="131" t="s">
        <v>253</v>
      </c>
      <c r="C1" s="131" t="s">
        <v>254</v>
      </c>
      <c r="D1" s="127" t="s">
        <v>257</v>
      </c>
      <c r="E1" s="198" t="s">
        <v>111</v>
      </c>
      <c r="F1" s="198" t="s">
        <v>114</v>
      </c>
      <c r="G1" s="197" t="s">
        <v>218</v>
      </c>
      <c r="H1" s="197" t="s">
        <v>219</v>
      </c>
      <c r="I1" s="197" t="s">
        <v>220</v>
      </c>
      <c r="J1" s="197" t="s">
        <v>221</v>
      </c>
      <c r="K1" s="197" t="s">
        <v>222</v>
      </c>
      <c r="L1" s="197" t="s">
        <v>223</v>
      </c>
      <c r="M1" s="197" t="s">
        <v>224</v>
      </c>
      <c r="N1" s="197" t="s">
        <v>225</v>
      </c>
      <c r="O1" s="197" t="s">
        <v>226</v>
      </c>
      <c r="P1" s="197" t="s">
        <v>227</v>
      </c>
      <c r="Q1" s="197" t="s">
        <v>228</v>
      </c>
      <c r="R1" s="197" t="s">
        <v>229</v>
      </c>
      <c r="S1" s="197" t="s">
        <v>230</v>
      </c>
      <c r="T1" s="197" t="s">
        <v>231</v>
      </c>
      <c r="U1" s="197" t="s">
        <v>232</v>
      </c>
      <c r="V1" s="197" t="s">
        <v>233</v>
      </c>
      <c r="W1" s="197" t="s">
        <v>234</v>
      </c>
      <c r="X1" s="197" t="s">
        <v>235</v>
      </c>
      <c r="Y1" s="197" t="s">
        <v>236</v>
      </c>
      <c r="Z1" s="197" t="s">
        <v>237</v>
      </c>
      <c r="AA1" s="197" t="s">
        <v>238</v>
      </c>
      <c r="AB1" s="197" t="s">
        <v>239</v>
      </c>
      <c r="AC1" s="197" t="s">
        <v>240</v>
      </c>
      <c r="AD1" s="197" t="s">
        <v>241</v>
      </c>
      <c r="AE1" s="197" t="s">
        <v>242</v>
      </c>
      <c r="AF1" s="197" t="s">
        <v>243</v>
      </c>
      <c r="AG1" s="197" t="s">
        <v>244</v>
      </c>
      <c r="AH1" s="197" t="s">
        <v>245</v>
      </c>
      <c r="AI1" s="197" t="s">
        <v>246</v>
      </c>
      <c r="AJ1" s="197" t="s">
        <v>247</v>
      </c>
      <c r="AK1" s="197" t="s">
        <v>248</v>
      </c>
      <c r="AL1" s="197" t="s">
        <v>249</v>
      </c>
      <c r="AM1" s="197" t="s">
        <v>250</v>
      </c>
      <c r="AN1" s="197" t="s">
        <v>251</v>
      </c>
      <c r="AO1" s="197" t="s">
        <v>252</v>
      </c>
    </row>
    <row r="2" spans="1:41" ht="31.5" customHeight="1" x14ac:dyDescent="0.2">
      <c r="A2" s="198"/>
      <c r="B2" s="128">
        <f>WORKDAY($F$3,ROUNDUP(($E$3-20)/$C$2,0)+20,Holiday!$A$1:$A$30)</f>
        <v>46191</v>
      </c>
      <c r="C2" s="132">
        <v>10</v>
      </c>
      <c r="D2" s="130">
        <f>Setting!$A$2</f>
        <v>0.5</v>
      </c>
      <c r="E2" s="198"/>
      <c r="F2" s="198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</row>
    <row r="3" spans="1:41" ht="60" customHeight="1" x14ac:dyDescent="0.2">
      <c r="A3" s="143"/>
      <c r="B3" s="143" t="s">
        <v>109</v>
      </c>
      <c r="C3" s="143" t="s">
        <v>110</v>
      </c>
      <c r="D3" s="143" t="s">
        <v>256</v>
      </c>
      <c r="E3" s="143">
        <f>SUM(E4:E103)</f>
        <v>996</v>
      </c>
      <c r="F3" s="126">
        <f>Setting!$B$2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19"/>
      <c r="B4" s="116" t="s">
        <v>217</v>
      </c>
      <c r="C4" s="116" t="s">
        <v>255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2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133"/>
      <c r="B5" s="120" t="s">
        <v>115</v>
      </c>
      <c r="C5" s="116" t="s">
        <v>78</v>
      </c>
      <c r="D5" s="134">
        <v>10</v>
      </c>
      <c r="E5" s="134">
        <f>ROUNDUP(D5*(1+$D$2),0)</f>
        <v>15</v>
      </c>
      <c r="F5" s="123">
        <f>WORKDAY(F4,E5,Holiday!A1:A30)</f>
        <v>46072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2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A6" s="120"/>
      <c r="B6" s="120" t="s">
        <v>192</v>
      </c>
      <c r="C6" s="116" t="s">
        <v>78</v>
      </c>
      <c r="D6" s="134">
        <v>10</v>
      </c>
      <c r="E6" s="134">
        <f t="shared" ref="E6:E69" si="0">ROUNDUP(D6*(1+$D$2),0)</f>
        <v>15</v>
      </c>
      <c r="F6" s="123">
        <f>WORKDAY(F5,E6,Holiday!A2:A31)</f>
        <v>46093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2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A7" s="120"/>
      <c r="B7" s="120" t="s">
        <v>188</v>
      </c>
      <c r="C7" s="116" t="s">
        <v>78</v>
      </c>
      <c r="D7" s="134">
        <v>10</v>
      </c>
      <c r="E7" s="134">
        <f t="shared" si="0"/>
        <v>15</v>
      </c>
      <c r="F7" s="123">
        <f>WORKDAY(F6,E7,Holiday!A3:A32)</f>
        <v>46114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2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A8" s="120"/>
      <c r="B8" s="120" t="s">
        <v>120</v>
      </c>
      <c r="C8" s="116" t="s">
        <v>78</v>
      </c>
      <c r="D8" s="134">
        <v>10</v>
      </c>
      <c r="E8" s="134">
        <f t="shared" si="0"/>
        <v>15</v>
      </c>
      <c r="F8" s="123">
        <f>WORKDAY(F7,E8,Holiday!A4:A33)</f>
        <v>46135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2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A9" s="120"/>
      <c r="B9" s="120" t="s">
        <v>119</v>
      </c>
      <c r="C9" s="116" t="s">
        <v>78</v>
      </c>
      <c r="D9" s="134">
        <v>10</v>
      </c>
      <c r="E9" s="134">
        <f t="shared" si="0"/>
        <v>15</v>
      </c>
      <c r="F9" s="123">
        <f>WORKDAY(F8,E9,Holiday!A5:A34)</f>
        <v>46157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1</v>
      </c>
      <c r="L9" s="113">
        <f>IF(OR(AND($F8&lt;=L$3, $F9 &gt;= L$3), AND($F9&lt;L$3, WORKDAY($F9, 22,Holiday!$A$1:$A$30)&gt;L$3)), 1, 0)+IF(AND((L$3-$B$2)&gt;=0,(L$3-$B$2)&lt;30), 2,0)</f>
        <v>2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A10" s="120"/>
      <c r="B10" s="120" t="s">
        <v>212</v>
      </c>
      <c r="C10" s="116" t="s">
        <v>78</v>
      </c>
      <c r="D10" s="134">
        <v>10</v>
      </c>
      <c r="E10" s="134">
        <f t="shared" si="0"/>
        <v>15</v>
      </c>
      <c r="F10" s="123">
        <f>WORKDAY(F9,E10,Holiday!A6:A35)</f>
        <v>46178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2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A11" s="120"/>
      <c r="B11" s="120" t="s">
        <v>191</v>
      </c>
      <c r="C11" s="116" t="s">
        <v>78</v>
      </c>
      <c r="D11" s="134">
        <v>10</v>
      </c>
      <c r="E11" s="134">
        <f t="shared" si="0"/>
        <v>15</v>
      </c>
      <c r="F11" s="123">
        <f>WORKDAY(F10,E11,Holiday!A7:A36)</f>
        <v>46199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3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A12" s="120"/>
      <c r="B12" s="120" t="s">
        <v>190</v>
      </c>
      <c r="C12" s="116" t="s">
        <v>112</v>
      </c>
      <c r="D12" s="134">
        <v>10</v>
      </c>
      <c r="E12" s="134">
        <f t="shared" si="0"/>
        <v>15</v>
      </c>
      <c r="F12" s="123">
        <f>WORKDAY(F4,E12,Holiday!A8:A37)</f>
        <v>46072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1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2</v>
      </c>
      <c r="M12" s="113">
        <f>IF(OR(AND($F11&lt;=M$3, $F12 &gt;= M$3), AND($F12&lt;M$3, WORKDAY($F12, 22,Holiday!$A$1:$A$30)&gt;M$3)), 1, 0)+IF(AND((M$3-$B$2)&gt;=0,(M$3-$B$2)&lt;30), 2,0)</f>
        <v>0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A13" s="120"/>
      <c r="B13" s="120" t="s">
        <v>117</v>
      </c>
      <c r="C13" s="116" t="s">
        <v>112</v>
      </c>
      <c r="D13" s="134">
        <v>10</v>
      </c>
      <c r="E13" s="134">
        <f t="shared" si="0"/>
        <v>15</v>
      </c>
      <c r="F13" s="123">
        <f>WORKDAY(F12,E13,Holiday!A9:A38)</f>
        <v>46093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1</v>
      </c>
      <c r="I13" s="113">
        <f>IF(OR(AND($F12&lt;=I$3, $F13 &gt;= I$3), AND($F13&lt;I$3, WORKDAY($F13, 22,Holiday!$A$1:$A$30)&gt;I$3)), 1, 0)+IF(AND((I$3-$B$2)&gt;=0,(I$3-$B$2)&lt;30), 2,0)</f>
        <v>1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2</v>
      </c>
      <c r="M13" s="113">
        <f>IF(OR(AND($F12&lt;=M$3, $F13 &gt;= M$3), AND($F13&lt;M$3, WORKDAY($F13, 22,Holiday!$A$1:$A$30)&gt;M$3)), 1, 0)+IF(AND((M$3-$B$2)&gt;=0,(M$3-$B$2)&lt;30), 2,0)</f>
        <v>0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A14" s="120"/>
      <c r="B14" s="120" t="s">
        <v>193</v>
      </c>
      <c r="C14" s="116" t="s">
        <v>112</v>
      </c>
      <c r="D14" s="134">
        <v>10</v>
      </c>
      <c r="E14" s="134">
        <f t="shared" si="0"/>
        <v>15</v>
      </c>
      <c r="F14" s="123">
        <f>WORKDAY(F13,E14,Holiday!A10:A39)</f>
        <v>46114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1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2</v>
      </c>
      <c r="M14" s="113">
        <f>IF(OR(AND($F13&lt;=M$3, $F14 &gt;= M$3), AND($F14&lt;M$3, WORKDAY($F14, 22,Holiday!$A$1:$A$30)&gt;M$3)), 1, 0)+IF(AND((M$3-$B$2)&gt;=0,(M$3-$B$2)&lt;30), 2,0)</f>
        <v>0</v>
      </c>
      <c r="N14" s="113">
        <f>IF(OR(AND($F13&lt;=N$3, $F14 &gt;= N$3), AND($F14&lt;N$3, WORKDAY($F14, 22,Holiday!$A$1:$A$30)&gt;N$3)), 1, 0)+IF(AND((N$3-$B$2)&gt;=0,(N$3-$B$2)&lt;30), 2,0)</f>
        <v>0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A15" s="120"/>
      <c r="B15" s="120" t="s">
        <v>197</v>
      </c>
      <c r="C15" s="116" t="s">
        <v>112</v>
      </c>
      <c r="D15" s="134">
        <v>10</v>
      </c>
      <c r="E15" s="134">
        <f t="shared" si="0"/>
        <v>15</v>
      </c>
      <c r="F15" s="123">
        <f>WORKDAY(F14,E15,Holiday!A11:A40)</f>
        <v>46135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1</v>
      </c>
      <c r="J15" s="113">
        <f>IF(OR(AND($F14&lt;=J$3, $F15 &gt;= J$3), AND($F15&lt;J$3, WORKDAY($F15, 22,Holiday!$A$1:$A$30)&gt;J$3)), 1, 0)+IF(AND((J$3-$B$2)&gt;=0,(J$3-$B$2)&lt;30), 2,0)</f>
        <v>1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2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0</v>
      </c>
      <c r="O15" s="113">
        <f>IF(OR(AND($F14&lt;=O$3, $F15 &gt;= O$3), AND($F15&lt;O$3, WORKDAY($F15, 22,Holiday!$A$1:$A$30)&gt;O$3)), 1, 0)+IF(AND((O$3-$B$2)&gt;=0,(O$3-$B$2)&lt;30), 2,0)</f>
        <v>0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A16" s="120"/>
      <c r="B16" s="120" t="s">
        <v>118</v>
      </c>
      <c r="C16" s="116" t="s">
        <v>112</v>
      </c>
      <c r="D16" s="134">
        <v>10</v>
      </c>
      <c r="E16" s="134">
        <f t="shared" si="0"/>
        <v>15</v>
      </c>
      <c r="F16" s="123">
        <f>WORKDAY(F15,E16,Holiday!A12:A41)</f>
        <v>46156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1</v>
      </c>
      <c r="K16" s="113">
        <f>IF(OR(AND($F15&lt;=K$3, $F16 &gt;= K$3), AND($F16&lt;K$3, WORKDAY($F16, 22,Holiday!$A$1:$A$30)&gt;K$3)), 1, 0)+IF(AND((K$3-$B$2)&gt;=0,(K$3-$B$2)&lt;30), 2,0)</f>
        <v>1</v>
      </c>
      <c r="L16" s="113">
        <f>IF(OR(AND($F15&lt;=L$3, $F16 &gt;= L$3), AND($F16&lt;L$3, WORKDAY($F16, 22,Holiday!$A$1:$A$30)&gt;L$3)), 1, 0)+IF(AND((L$3-$B$2)&gt;=0,(L$3-$B$2)&lt;30), 2,0)</f>
        <v>2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1:41" ht="15" x14ac:dyDescent="0.2">
      <c r="A17" s="120"/>
      <c r="B17" s="120" t="s">
        <v>194</v>
      </c>
      <c r="C17" s="116" t="s">
        <v>112</v>
      </c>
      <c r="D17" s="134">
        <v>10</v>
      </c>
      <c r="E17" s="134">
        <f t="shared" si="0"/>
        <v>15</v>
      </c>
      <c r="F17" s="123">
        <f>WORKDAY(F16,E17,Holiday!A13:A42)</f>
        <v>46177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1</v>
      </c>
      <c r="L17" s="113">
        <f>IF(OR(AND($F16&lt;=L$3, $F17 &gt;= L$3), AND($F17&lt;L$3, WORKDAY($F17, 22,Holiday!$A$1:$A$30)&gt;L$3)), 1, 0)+IF(AND((L$3-$B$2)&gt;=0,(L$3-$B$2)&lt;30), 2,0)</f>
        <v>2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0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1:41" ht="15" x14ac:dyDescent="0.2">
      <c r="A18" s="120"/>
      <c r="B18" s="120" t="s">
        <v>187</v>
      </c>
      <c r="C18" s="116" t="s">
        <v>112</v>
      </c>
      <c r="D18" s="134">
        <v>10</v>
      </c>
      <c r="E18" s="134">
        <f t="shared" si="0"/>
        <v>15</v>
      </c>
      <c r="F18" s="123">
        <f>WORKDAY(F17,E18,Holiday!A14:A43)</f>
        <v>46198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1</v>
      </c>
      <c r="L18" s="113">
        <f>IF(OR(AND($F17&lt;=L$3, $F18 &gt;= L$3), AND($F18&lt;L$3, WORKDAY($F18, 22,Holiday!$A$1:$A$30)&gt;L$3)), 1, 0)+IF(AND((L$3-$B$2)&gt;=0,(L$3-$B$2)&lt;30), 2,0)</f>
        <v>3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0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1:41" ht="15" x14ac:dyDescent="0.2">
      <c r="A19" s="120"/>
      <c r="B19" s="120" t="s">
        <v>122</v>
      </c>
      <c r="C19" s="116" t="s">
        <v>113</v>
      </c>
      <c r="D19" s="135">
        <v>5</v>
      </c>
      <c r="E19" s="134">
        <f t="shared" si="0"/>
        <v>8</v>
      </c>
      <c r="F19" s="123">
        <f>WORKDAY(F4,E19,Holiday!A15:A44)</f>
        <v>46063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1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2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0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1:41" ht="15" x14ac:dyDescent="0.2">
      <c r="A20" s="120"/>
      <c r="B20" s="120" t="s">
        <v>138</v>
      </c>
      <c r="C20" s="116" t="s">
        <v>113</v>
      </c>
      <c r="D20" s="135">
        <v>5</v>
      </c>
      <c r="E20" s="134">
        <f t="shared" si="0"/>
        <v>8</v>
      </c>
      <c r="F20" s="123">
        <f>WORKDAY(F19,E20,Holiday!A16:A45)</f>
        <v>46073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1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2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1:41" ht="15" x14ac:dyDescent="0.2">
      <c r="A21" s="120"/>
      <c r="B21" s="120" t="s">
        <v>121</v>
      </c>
      <c r="C21" s="116" t="s">
        <v>113</v>
      </c>
      <c r="D21" s="135">
        <v>5</v>
      </c>
      <c r="E21" s="134">
        <f t="shared" si="0"/>
        <v>8</v>
      </c>
      <c r="F21" s="123">
        <f>WORKDAY(F20,E21,Holiday!A17:A46)</f>
        <v>46085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1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2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1:41" ht="15" x14ac:dyDescent="0.2">
      <c r="A22" s="120"/>
      <c r="B22" s="120" t="s">
        <v>137</v>
      </c>
      <c r="C22" s="116" t="s">
        <v>113</v>
      </c>
      <c r="D22" s="135">
        <v>5</v>
      </c>
      <c r="E22" s="134">
        <f t="shared" si="0"/>
        <v>8</v>
      </c>
      <c r="F22" s="123">
        <f>WORKDAY(F21,E22,Holiday!A18:A47)</f>
        <v>46097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1</v>
      </c>
      <c r="I22" s="113">
        <f>IF(OR(AND($F21&lt;=I$3, $F22 &gt;= I$3), AND($F22&lt;I$3, WORKDAY($F22, 22,Holiday!$A$1:$A$30)&gt;I$3)), 1, 0)+IF(AND((I$3-$B$2)&gt;=0,(I$3-$B$2)&lt;30), 2,0)</f>
        <v>1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2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1:41" ht="15" x14ac:dyDescent="0.2">
      <c r="A23" s="120"/>
      <c r="B23" s="120" t="s">
        <v>129</v>
      </c>
      <c r="C23" s="116" t="s">
        <v>113</v>
      </c>
      <c r="D23" s="135">
        <v>5</v>
      </c>
      <c r="E23" s="134">
        <f t="shared" si="0"/>
        <v>8</v>
      </c>
      <c r="F23" s="123">
        <f>WORKDAY(F22,E23,Holiday!A19:A48)</f>
        <v>46107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1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2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1:41" ht="15" x14ac:dyDescent="0.2">
      <c r="A24" s="120"/>
      <c r="B24" s="120" t="s">
        <v>139</v>
      </c>
      <c r="C24" s="116" t="s">
        <v>113</v>
      </c>
      <c r="D24" s="135">
        <v>5</v>
      </c>
      <c r="E24" s="134">
        <f t="shared" si="0"/>
        <v>8</v>
      </c>
      <c r="F24" s="123">
        <f>WORKDAY(F23,E24,Holiday!A20:A49)</f>
        <v>46119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1</v>
      </c>
      <c r="J24" s="113">
        <f>IF(OR(AND($F23&lt;=J$3, $F24 &gt;= J$3), AND($F24&lt;J$3, WORKDAY($F24, 22,Holiday!$A$1:$A$30)&gt;J$3)), 1, 0)+IF(AND((J$3-$B$2)&gt;=0,(J$3-$B$2)&lt;30), 2,0)</f>
        <v>1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2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1:41" ht="15" x14ac:dyDescent="0.2">
      <c r="A25" s="120"/>
      <c r="B25" s="120" t="s">
        <v>127</v>
      </c>
      <c r="C25" s="116" t="s">
        <v>113</v>
      </c>
      <c r="D25" s="135">
        <v>5</v>
      </c>
      <c r="E25" s="134">
        <f t="shared" si="0"/>
        <v>8</v>
      </c>
      <c r="F25" s="123">
        <f>WORKDAY(F24,E25,Holiday!A21:A50)</f>
        <v>46129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1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2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1:41" ht="15" x14ac:dyDescent="0.2">
      <c r="A26" s="120"/>
      <c r="B26" s="120" t="s">
        <v>123</v>
      </c>
      <c r="C26" s="116" t="s">
        <v>113</v>
      </c>
      <c r="D26" s="135">
        <v>5</v>
      </c>
      <c r="E26" s="134">
        <f t="shared" si="0"/>
        <v>8</v>
      </c>
      <c r="F26" s="123">
        <f>WORKDAY(F25,E26,Holiday!A22:A51)</f>
        <v>46141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1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2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1:41" ht="15" x14ac:dyDescent="0.2">
      <c r="A27" s="120"/>
      <c r="B27" s="120" t="s">
        <v>134</v>
      </c>
      <c r="C27" s="116" t="s">
        <v>113</v>
      </c>
      <c r="D27" s="135">
        <v>5</v>
      </c>
      <c r="E27" s="134">
        <f t="shared" si="0"/>
        <v>8</v>
      </c>
      <c r="F27" s="123">
        <f>WORKDAY(F26,E27,Holiday!A23:A52)</f>
        <v>46153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1</v>
      </c>
      <c r="K27" s="113">
        <f>IF(OR(AND($F26&lt;=K$3, $F27 &gt;= K$3), AND($F27&lt;K$3, WORKDAY($F27, 22,Holiday!$A$1:$A$30)&gt;K$3)), 1, 0)+IF(AND((K$3-$B$2)&gt;=0,(K$3-$B$2)&lt;30), 2,0)</f>
        <v>1</v>
      </c>
      <c r="L27" s="113">
        <f>IF(OR(AND($F26&lt;=L$3, $F27 &gt;= L$3), AND($F27&lt;L$3, WORKDAY($F27, 22,Holiday!$A$1:$A$30)&gt;L$3)), 1, 0)+IF(AND((L$3-$B$2)&gt;=0,(L$3-$B$2)&lt;30), 2,0)</f>
        <v>2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1:41" ht="15" x14ac:dyDescent="0.2">
      <c r="A28" s="120"/>
      <c r="B28" s="120" t="s">
        <v>136</v>
      </c>
      <c r="C28" s="116" t="s">
        <v>113</v>
      </c>
      <c r="D28" s="135">
        <v>5</v>
      </c>
      <c r="E28" s="134">
        <f t="shared" si="0"/>
        <v>8</v>
      </c>
      <c r="F28" s="123">
        <f>WORKDAY(F27,E28,Holiday!A24:A53)</f>
        <v>46163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1</v>
      </c>
      <c r="L28" s="113">
        <f>IF(OR(AND($F27&lt;=L$3, $F28 &gt;= L$3), AND($F28&lt;L$3, WORKDAY($F28, 22,Holiday!$A$1:$A$30)&gt;L$3)), 1, 0)+IF(AND((L$3-$B$2)&gt;=0,(L$3-$B$2)&lt;30), 2,0)</f>
        <v>2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1:41" ht="15" x14ac:dyDescent="0.2">
      <c r="A29" s="120"/>
      <c r="B29" s="120" t="s">
        <v>140</v>
      </c>
      <c r="C29" s="116" t="s">
        <v>113</v>
      </c>
      <c r="D29" s="135">
        <v>5</v>
      </c>
      <c r="E29" s="134">
        <f t="shared" si="0"/>
        <v>8</v>
      </c>
      <c r="F29" s="123">
        <f>WORKDAY(F28,E29,Holiday!A25:A54)</f>
        <v>46175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1</v>
      </c>
      <c r="L29" s="113">
        <f>IF(OR(AND($F28&lt;=L$3, $F29 &gt;= L$3), AND($F29&lt;L$3, WORKDAY($F29, 22,Holiday!$A$1:$A$30)&gt;L$3)), 1, 0)+IF(AND((L$3-$B$2)&gt;=0,(L$3-$B$2)&lt;30), 2,0)</f>
        <v>2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1:41" ht="15" x14ac:dyDescent="0.2">
      <c r="A30" s="120"/>
      <c r="B30" s="120" t="s">
        <v>133</v>
      </c>
      <c r="C30" s="116" t="s">
        <v>113</v>
      </c>
      <c r="D30" s="135">
        <v>5</v>
      </c>
      <c r="E30" s="134">
        <f t="shared" si="0"/>
        <v>8</v>
      </c>
      <c r="F30" s="123">
        <f>WORKDAY(F29,E30,Holiday!A26:A55)</f>
        <v>46185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1</v>
      </c>
      <c r="L30" s="113">
        <f>IF(OR(AND($F29&lt;=L$3, $F30 &gt;= L$3), AND($F30&lt;L$3, WORKDAY($F30, 22,Holiday!$A$1:$A$30)&gt;L$3)), 1, 0)+IF(AND((L$3-$B$2)&gt;=0,(L$3-$B$2)&lt;30), 2,0)</f>
        <v>3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1:41" ht="15" x14ac:dyDescent="0.2">
      <c r="A31" s="120"/>
      <c r="B31" s="120" t="s">
        <v>132</v>
      </c>
      <c r="C31" s="116" t="s">
        <v>214</v>
      </c>
      <c r="D31" s="135">
        <v>5</v>
      </c>
      <c r="E31" s="134">
        <f t="shared" si="0"/>
        <v>8</v>
      </c>
      <c r="F31" s="123">
        <f>WORKDAY(F4,E31,Holiday!A27:A56)</f>
        <v>46063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1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2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1:41" ht="15" x14ac:dyDescent="0.2">
      <c r="A32" s="120"/>
      <c r="B32" s="120" t="s">
        <v>130</v>
      </c>
      <c r="C32" s="116" t="s">
        <v>214</v>
      </c>
      <c r="D32" s="135">
        <v>5</v>
      </c>
      <c r="E32" s="134">
        <f t="shared" si="0"/>
        <v>8</v>
      </c>
      <c r="F32" s="123">
        <f>WORKDAY(F31,E32,Holiday!A28:A57)</f>
        <v>46073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1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2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1:41" ht="15" x14ac:dyDescent="0.2">
      <c r="A33" s="120"/>
      <c r="B33" s="120" t="s">
        <v>189</v>
      </c>
      <c r="C33" s="116" t="s">
        <v>214</v>
      </c>
      <c r="D33" s="135">
        <v>5</v>
      </c>
      <c r="E33" s="134">
        <f t="shared" si="0"/>
        <v>8</v>
      </c>
      <c r="F33" s="123">
        <f>WORKDAY(F32,E33,Holiday!A29:A58)</f>
        <v>46085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1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2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1:41" ht="15" x14ac:dyDescent="0.2">
      <c r="A34" s="120"/>
      <c r="B34" s="120" t="s">
        <v>124</v>
      </c>
      <c r="C34" s="116" t="s">
        <v>214</v>
      </c>
      <c r="D34" s="135">
        <v>5</v>
      </c>
      <c r="E34" s="134">
        <f t="shared" si="0"/>
        <v>8</v>
      </c>
      <c r="F34" s="123">
        <f>WORKDAY(F33,E34,Holiday!A30:A59)</f>
        <v>46097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1</v>
      </c>
      <c r="I34" s="113">
        <f>IF(OR(AND($F33&lt;=I$3, $F34 &gt;= I$3), AND($F34&lt;I$3, WORKDAY($F34, 22,Holiday!$A$1:$A$30)&gt;I$3)), 1, 0)+IF(AND((I$3-$B$2)&gt;=0,(I$3-$B$2)&lt;30), 2,0)</f>
        <v>1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2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1:41" ht="15" x14ac:dyDescent="0.2">
      <c r="A35" s="120"/>
      <c r="B35" s="120" t="s">
        <v>135</v>
      </c>
      <c r="C35" s="116" t="s">
        <v>214</v>
      </c>
      <c r="D35" s="135">
        <v>5</v>
      </c>
      <c r="E35" s="134">
        <f t="shared" si="0"/>
        <v>8</v>
      </c>
      <c r="F35" s="123">
        <f>WORKDAY(F34,E35,Holiday!A31:A60)</f>
        <v>46107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1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2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1:41" ht="15" x14ac:dyDescent="0.2">
      <c r="A36" s="120"/>
      <c r="B36" s="120" t="s">
        <v>126</v>
      </c>
      <c r="C36" s="116" t="s">
        <v>214</v>
      </c>
      <c r="D36" s="135">
        <v>5</v>
      </c>
      <c r="E36" s="134">
        <f t="shared" si="0"/>
        <v>8</v>
      </c>
      <c r="F36" s="123">
        <f>WORKDAY(F35,E36,Holiday!A32:A61)</f>
        <v>46119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1</v>
      </c>
      <c r="J36" s="113">
        <f>IF(OR(AND($F35&lt;=J$3, $F36 &gt;= J$3), AND($F36&lt;J$3, WORKDAY($F36, 22,Holiday!$A$1:$A$30)&gt;J$3)), 1, 0)+IF(AND((J$3-$B$2)&gt;=0,(J$3-$B$2)&lt;30), 2,0)</f>
        <v>1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2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1:41" ht="15" x14ac:dyDescent="0.2">
      <c r="A37" s="120"/>
      <c r="B37" s="120" t="s">
        <v>131</v>
      </c>
      <c r="C37" s="116" t="s">
        <v>214</v>
      </c>
      <c r="D37" s="135">
        <v>5</v>
      </c>
      <c r="E37" s="134">
        <f t="shared" si="0"/>
        <v>8</v>
      </c>
      <c r="F37" s="123">
        <f>WORKDAY(F36,E37,Holiday!A33:A62)</f>
        <v>46129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1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2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1:41" ht="15" x14ac:dyDescent="0.2">
      <c r="A38" s="120"/>
      <c r="B38" s="120" t="s">
        <v>128</v>
      </c>
      <c r="C38" s="116" t="s">
        <v>214</v>
      </c>
      <c r="D38" s="135">
        <v>5</v>
      </c>
      <c r="E38" s="134">
        <f t="shared" si="0"/>
        <v>8</v>
      </c>
      <c r="F38" s="123">
        <f>WORKDAY(F37,E38,Holiday!A34:A63)</f>
        <v>46141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1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2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1:41" ht="15" x14ac:dyDescent="0.2">
      <c r="A39" s="120"/>
      <c r="B39" s="120" t="s">
        <v>142</v>
      </c>
      <c r="C39" s="116" t="s">
        <v>214</v>
      </c>
      <c r="D39" s="135">
        <v>5</v>
      </c>
      <c r="E39" s="134">
        <f t="shared" si="0"/>
        <v>8</v>
      </c>
      <c r="F39" s="123">
        <f>WORKDAY(F38,E39,Holiday!A35:A64)</f>
        <v>46153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1</v>
      </c>
      <c r="K39" s="113">
        <f>IF(OR(AND($F38&lt;=K$3, $F39 &gt;= K$3), AND($F39&lt;K$3, WORKDAY($F39, 22,Holiday!$A$1:$A$30)&gt;K$3)), 1, 0)+IF(AND((K$3-$B$2)&gt;=0,(K$3-$B$2)&lt;30), 2,0)</f>
        <v>1</v>
      </c>
      <c r="L39" s="113">
        <f>IF(OR(AND($F38&lt;=L$3, $F39 &gt;= L$3), AND($F39&lt;L$3, WORKDAY($F39, 22,Holiday!$A$1:$A$30)&gt;L$3)), 1, 0)+IF(AND((L$3-$B$2)&gt;=0,(L$3-$B$2)&lt;30), 2,0)</f>
        <v>2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1:41" ht="15" x14ac:dyDescent="0.2">
      <c r="A40" s="120"/>
      <c r="B40" s="120" t="s">
        <v>125</v>
      </c>
      <c r="C40" s="116" t="s">
        <v>214</v>
      </c>
      <c r="D40" s="135">
        <v>5</v>
      </c>
      <c r="E40" s="134">
        <f t="shared" si="0"/>
        <v>8</v>
      </c>
      <c r="F40" s="123">
        <f>WORKDAY(F39,E40,Holiday!A36:A65)</f>
        <v>46163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1</v>
      </c>
      <c r="L40" s="113">
        <f>IF(OR(AND($F39&lt;=L$3, $F40 &gt;= L$3), AND($F40&lt;L$3, WORKDAY($F40, 22,Holiday!$A$1:$A$30)&gt;L$3)), 1, 0)+IF(AND((L$3-$B$2)&gt;=0,(L$3-$B$2)&lt;30), 2,0)</f>
        <v>2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1:41" ht="15" x14ac:dyDescent="0.2">
      <c r="A41" s="120"/>
      <c r="B41" s="120" t="s">
        <v>141</v>
      </c>
      <c r="C41" s="116" t="s">
        <v>214</v>
      </c>
      <c r="D41" s="135">
        <v>5</v>
      </c>
      <c r="E41" s="134">
        <f t="shared" si="0"/>
        <v>8</v>
      </c>
      <c r="F41" s="123">
        <f>WORKDAY(F40,E41,Holiday!A37:A66)</f>
        <v>46175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1</v>
      </c>
      <c r="L41" s="113">
        <f>IF(OR(AND($F40&lt;=L$3, $F41 &gt;= L$3), AND($F41&lt;L$3, WORKDAY($F41, 22,Holiday!$A$1:$A$30)&gt;L$3)), 1, 0)+IF(AND((L$3-$B$2)&gt;=0,(L$3-$B$2)&lt;30), 2,0)</f>
        <v>2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1:41" ht="15" x14ac:dyDescent="0.2">
      <c r="A42" s="120"/>
      <c r="B42" s="120" t="s">
        <v>199</v>
      </c>
      <c r="C42" s="116" t="s">
        <v>214</v>
      </c>
      <c r="D42" s="135">
        <v>6</v>
      </c>
      <c r="E42" s="134">
        <f t="shared" si="0"/>
        <v>9</v>
      </c>
      <c r="F42" s="123">
        <f>WORKDAY(F41,E42,Holiday!A38:A67)</f>
        <v>46188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1</v>
      </c>
      <c r="L42" s="113">
        <f>IF(OR(AND($F41&lt;=L$3, $F42 &gt;= L$3), AND($F42&lt;L$3, WORKDAY($F42, 22,Holiday!$A$1:$A$30)&gt;L$3)), 1, 0)+IF(AND((L$3-$B$2)&gt;=0,(L$3-$B$2)&lt;30), 2,0)</f>
        <v>3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1:41" ht="15" x14ac:dyDescent="0.2">
      <c r="A43" s="120"/>
      <c r="B43" s="120" t="s">
        <v>201</v>
      </c>
      <c r="C43" s="116" t="s">
        <v>215</v>
      </c>
      <c r="D43" s="135">
        <v>6</v>
      </c>
      <c r="E43" s="134">
        <f t="shared" si="0"/>
        <v>9</v>
      </c>
      <c r="F43" s="123">
        <f>WORKDAY(F4,E43,Holiday!A39:A68)</f>
        <v>46064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1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2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1:41" ht="15" x14ac:dyDescent="0.2">
      <c r="A44" s="120"/>
      <c r="B44" s="120" t="s">
        <v>204</v>
      </c>
      <c r="C44" s="116" t="s">
        <v>215</v>
      </c>
      <c r="D44" s="135">
        <v>6</v>
      </c>
      <c r="E44" s="134">
        <f t="shared" si="0"/>
        <v>9</v>
      </c>
      <c r="F44" s="123">
        <f>WORKDAY(F43,E44,Holiday!A40:A69)</f>
        <v>46077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1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2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1:41" ht="15" x14ac:dyDescent="0.2">
      <c r="A45" s="120"/>
      <c r="B45" s="120" t="s">
        <v>208</v>
      </c>
      <c r="C45" s="116" t="s">
        <v>215</v>
      </c>
      <c r="D45" s="135">
        <v>6</v>
      </c>
      <c r="E45" s="134">
        <f t="shared" si="0"/>
        <v>9</v>
      </c>
      <c r="F45" s="123">
        <f>WORKDAY(F44,E45,Holiday!A41:A70)</f>
        <v>46090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1</v>
      </c>
      <c r="I45" s="113">
        <f>IF(OR(AND($F44&lt;=I$3, $F45 &gt;= I$3), AND($F45&lt;I$3, WORKDAY($F45, 22,Holiday!$A$1:$A$30)&gt;I$3)), 1, 0)+IF(AND((I$3-$B$2)&gt;=0,(I$3-$B$2)&lt;30), 2,0)</f>
        <v>1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2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1:41" ht="15" x14ac:dyDescent="0.2">
      <c r="A46" s="120"/>
      <c r="B46" s="120" t="s">
        <v>206</v>
      </c>
      <c r="C46" s="116" t="s">
        <v>215</v>
      </c>
      <c r="D46" s="135">
        <v>6</v>
      </c>
      <c r="E46" s="134">
        <f t="shared" si="0"/>
        <v>9</v>
      </c>
      <c r="F46" s="123">
        <f>WORKDAY(F45,E46,Holiday!A42:A71)</f>
        <v>46101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1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0</v>
      </c>
      <c r="L46" s="113">
        <f>IF(OR(AND($F45&lt;=L$3, $F46 &gt;= L$3), AND($F46&lt;L$3, WORKDAY($F46, 22,Holiday!$A$1:$A$30)&gt;L$3)), 1, 0)+IF(AND((L$3-$B$2)&gt;=0,(L$3-$B$2)&lt;30), 2,0)</f>
        <v>2</v>
      </c>
      <c r="M46" s="113">
        <f>IF(OR(AND($F45&lt;=M$3, $F46 &gt;= M$3), AND($F46&lt;M$3, WORKDAY($F46, 22,Holiday!$A$1:$A$30)&gt;M$3)), 1, 0)+IF(AND((M$3-$B$2)&gt;=0,(M$3-$B$2)&lt;30), 2,0)</f>
        <v>0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0</v>
      </c>
      <c r="R46" s="113">
        <f>IF(OR(AND($F45&lt;=R$3, $F46 &gt;= R$3), AND($F46&lt;R$3, WORKDAY($F46, 22,Holiday!$A$1:$A$30)&gt;R$3)), 1, 0)+IF(AND((R$3-$B$2)&gt;=0,(R$3-$B$2)&lt;30), 2,0)</f>
        <v>0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1:41" ht="15" x14ac:dyDescent="0.2">
      <c r="A47" s="120"/>
      <c r="B47" s="120" t="s">
        <v>198</v>
      </c>
      <c r="C47" s="116" t="s">
        <v>215</v>
      </c>
      <c r="D47" s="135">
        <v>6</v>
      </c>
      <c r="E47" s="134">
        <f t="shared" si="0"/>
        <v>9</v>
      </c>
      <c r="F47" s="123">
        <f>WORKDAY(F46,E47,Holiday!A43:A72)</f>
        <v>46114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1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2</v>
      </c>
      <c r="M47" s="113">
        <f>IF(OR(AND($F46&lt;=M$3, $F47 &gt;= M$3), AND($F47&lt;M$3, WORKDAY($F47, 22,Holiday!$A$1:$A$30)&gt;M$3)), 1, 0)+IF(AND((M$3-$B$2)&gt;=0,(M$3-$B$2)&lt;30), 2,0)</f>
        <v>0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0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1:41" ht="15" x14ac:dyDescent="0.2">
      <c r="A48" s="120"/>
      <c r="B48" s="120" t="s">
        <v>200</v>
      </c>
      <c r="C48" s="116" t="s">
        <v>215</v>
      </c>
      <c r="D48" s="135">
        <v>6</v>
      </c>
      <c r="E48" s="134">
        <f t="shared" si="0"/>
        <v>9</v>
      </c>
      <c r="F48" s="123">
        <f>WORKDAY(F47,E48,Holiday!A44:A73)</f>
        <v>46127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1</v>
      </c>
      <c r="J48" s="113">
        <f>IF(OR(AND($F47&lt;=J$3, $F48 &gt;= J$3), AND($F48&lt;J$3, WORKDAY($F48, 22,Holiday!$A$1:$A$30)&gt;J$3)), 1, 0)+IF(AND((J$3-$B$2)&gt;=0,(J$3-$B$2)&lt;30), 2,0)</f>
        <v>1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2</v>
      </c>
      <c r="M48" s="113">
        <f>IF(OR(AND($F47&lt;=M$3, $F48 &gt;= M$3), AND($F48&lt;M$3, WORKDAY($F48, 22,Holiday!$A$1:$A$30)&gt;M$3)), 1, 0)+IF(AND((M$3-$B$2)&gt;=0,(M$3-$B$2)&lt;30), 2,0)</f>
        <v>0</v>
      </c>
      <c r="N48" s="113">
        <f>IF(OR(AND($F47&lt;=N$3, $F48 &gt;= N$3), AND($F48&lt;N$3, WORKDAY($F48, 22,Holiday!$A$1:$A$30)&gt;N$3)), 1, 0)+IF(AND((N$3-$B$2)&gt;=0,(N$3-$B$2)&lt;30), 2,0)</f>
        <v>0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0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1:41" ht="15" x14ac:dyDescent="0.2">
      <c r="A49" s="120"/>
      <c r="B49" s="120" t="s">
        <v>173</v>
      </c>
      <c r="C49" s="116" t="s">
        <v>215</v>
      </c>
      <c r="D49" s="135">
        <v>6</v>
      </c>
      <c r="E49" s="134">
        <f t="shared" si="0"/>
        <v>9</v>
      </c>
      <c r="F49" s="123">
        <f>WORKDAY(F48,E49,Holiday!A45:A74)</f>
        <v>46140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1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2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0</v>
      </c>
      <c r="O49" s="113">
        <f>IF(OR(AND($F48&lt;=O$3, $F49 &gt;= O$3), AND($F49&lt;O$3, WORKDAY($F49, 22,Holiday!$A$1:$A$30)&gt;O$3)), 1, 0)+IF(AND((O$3-$B$2)&gt;=0,(O$3-$B$2)&lt;30), 2,0)</f>
        <v>0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0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1:41" ht="15" x14ac:dyDescent="0.2">
      <c r="A50" s="120"/>
      <c r="B50" s="120" t="s">
        <v>165</v>
      </c>
      <c r="C50" s="116" t="s">
        <v>215</v>
      </c>
      <c r="D50" s="135">
        <v>6</v>
      </c>
      <c r="E50" s="134">
        <f t="shared" si="0"/>
        <v>9</v>
      </c>
      <c r="F50" s="123">
        <f>WORKDAY(F49,E50,Holiday!A46:A75)</f>
        <v>46153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1</v>
      </c>
      <c r="K50" s="113">
        <f>IF(OR(AND($F49&lt;=K$3, $F50 &gt;= K$3), AND($F50&lt;K$3, WORKDAY($F50, 22,Holiday!$A$1:$A$30)&gt;K$3)), 1, 0)+IF(AND((K$3-$B$2)&gt;=0,(K$3-$B$2)&lt;30), 2,0)</f>
        <v>1</v>
      </c>
      <c r="L50" s="113">
        <f>IF(OR(AND($F49&lt;=L$3, $F50 &gt;= L$3), AND($F50&lt;L$3, WORKDAY($F50, 22,Holiday!$A$1:$A$30)&gt;L$3)), 1, 0)+IF(AND((L$3-$B$2)&gt;=0,(L$3-$B$2)&lt;30), 2,0)</f>
        <v>2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0</v>
      </c>
      <c r="O50" s="113">
        <f>IF(OR(AND($F49&lt;=O$3, $F50 &gt;= O$3), AND($F50&lt;O$3, WORKDAY($F50, 22,Holiday!$A$1:$A$30)&gt;O$3)), 1, 0)+IF(AND((O$3-$B$2)&gt;=0,(O$3-$B$2)&lt;30), 2,0)</f>
        <v>0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0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1:41" ht="15" x14ac:dyDescent="0.2">
      <c r="A51" s="120"/>
      <c r="B51" s="120" t="s">
        <v>174</v>
      </c>
      <c r="C51" s="116" t="s">
        <v>215</v>
      </c>
      <c r="D51" s="135">
        <v>6</v>
      </c>
      <c r="E51" s="134">
        <f t="shared" si="0"/>
        <v>9</v>
      </c>
      <c r="F51" s="123">
        <f>WORKDAY(F50,E51,Holiday!A47:A76)</f>
        <v>46164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1</v>
      </c>
      <c r="L51" s="113">
        <f>IF(OR(AND($F50&lt;=L$3, $F51 &gt;= L$3), AND($F51&lt;L$3, WORKDAY($F51, 22,Holiday!$A$1:$A$30)&gt;L$3)), 1, 0)+IF(AND((L$3-$B$2)&gt;=0,(L$3-$B$2)&lt;30), 2,0)</f>
        <v>2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0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0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1:41" ht="15" x14ac:dyDescent="0.2">
      <c r="A52" s="120"/>
      <c r="B52" s="120" t="s">
        <v>182</v>
      </c>
      <c r="C52" s="116" t="s">
        <v>215</v>
      </c>
      <c r="D52" s="135">
        <v>6</v>
      </c>
      <c r="E52" s="134">
        <f t="shared" si="0"/>
        <v>9</v>
      </c>
      <c r="F52" s="123">
        <f>WORKDAY(F51,E52,Holiday!A48:A77)</f>
        <v>46177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1</v>
      </c>
      <c r="L52" s="113">
        <f>IF(OR(AND($F51&lt;=L$3, $F52 &gt;= L$3), AND($F52&lt;L$3, WORKDAY($F52, 22,Holiday!$A$1:$A$30)&gt;L$3)), 1, 0)+IF(AND((L$3-$B$2)&gt;=0,(L$3-$B$2)&lt;30), 2,0)</f>
        <v>2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0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0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0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1:41" ht="15" x14ac:dyDescent="0.2">
      <c r="A53" s="120"/>
      <c r="B53" s="120" t="s">
        <v>207</v>
      </c>
      <c r="C53" s="116" t="s">
        <v>215</v>
      </c>
      <c r="D53" s="135">
        <v>6</v>
      </c>
      <c r="E53" s="134">
        <f t="shared" si="0"/>
        <v>9</v>
      </c>
      <c r="F53" s="123">
        <f>WORKDAY(F52,E53,Holiday!A49:A78)</f>
        <v>46190</v>
      </c>
      <c r="G53" s="113">
        <f>IF(OR(AND($F52&lt;=G$3, $F53 &gt;= G$3), AND($F53&lt;G$3, WORKDAY($F53, 22,Holiday!$A$1:$A$30)&gt;G$3)), 1, 0)+IF(AND((G$3-$B$2)&gt;=0,(G$3-$B$2)&lt;30), 2,0)</f>
        <v>0</v>
      </c>
      <c r="H53" s="113">
        <f>IF(OR(AND($F52&lt;=H$3, $F53 &gt;= H$3), AND($F53&lt;H$3, WORKDAY($F53, 22,Holiday!$A$1:$A$30)&gt;H$3)), 1, 0)+IF(AND((H$3-$B$2)&gt;=0,(H$3-$B$2)&lt;30), 2,0)</f>
        <v>0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1</v>
      </c>
      <c r="L53" s="113">
        <f>IF(OR(AND($F52&lt;=L$3, $F53 &gt;= L$3), AND($F53&lt;L$3, WORKDAY($F53, 22,Holiday!$A$1:$A$30)&gt;L$3)), 1, 0)+IF(AND((L$3-$B$2)&gt;=0,(L$3-$B$2)&lt;30), 2,0)</f>
        <v>3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0</v>
      </c>
      <c r="P53" s="113">
        <f>IF(OR(AND($F52&lt;=P$3, $F53 &gt;= P$3), AND($F53&lt;P$3, WORKDAY($F53, 22,Holiday!$A$1:$A$30)&gt;P$3)), 1, 0)+IF(AND((P$3-$B$2)&gt;=0,(P$3-$B$2)&lt;30), 2,0)</f>
        <v>0</v>
      </c>
      <c r="Q53" s="113">
        <f>IF(OR(AND($F52&lt;=Q$3, $F53 &gt;= Q$3), AND($F53&lt;Q$3, WORKDAY($F53, 22,Holiday!$A$1:$A$30)&gt;Q$3)), 1, 0)+IF(AND((Q$3-$B$2)&gt;=0,(Q$3-$B$2)&lt;30), 2,0)</f>
        <v>0</v>
      </c>
      <c r="R53" s="113">
        <f>IF(OR(AND($F52&lt;=R$3, $F53 &gt;= R$3), AND($F53&lt;R$3, WORKDAY($F53, 22,Holiday!$A$1:$A$30)&gt;R$3)), 1, 0)+IF(AND((R$3-$B$2)&gt;=0,(R$3-$B$2)&lt;30), 2,0)</f>
        <v>0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0</v>
      </c>
      <c r="V53" s="113">
        <f>IF(OR(AND($F52&lt;=V$3, $F53 &gt;= V$3), AND($F53&lt;V$3, WORKDAY($F53, 22,Holiday!$A$1:$A$30)&gt;V$3)), 1, 0)+IF(AND((V$3-$B$2)&gt;=0,(V$3-$B$2)&lt;30), 2,0)</f>
        <v>0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0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</row>
    <row r="54" spans="1:41" ht="15" x14ac:dyDescent="0.2">
      <c r="A54" s="120"/>
      <c r="B54" s="120" t="s">
        <v>205</v>
      </c>
      <c r="C54" s="116" t="s">
        <v>216</v>
      </c>
      <c r="D54" s="135">
        <v>6</v>
      </c>
      <c r="E54" s="134">
        <f t="shared" si="0"/>
        <v>9</v>
      </c>
      <c r="F54" s="123">
        <f>WORKDAY(F4,E54,Holiday!A50:A79)</f>
        <v>46064</v>
      </c>
      <c r="G54" s="113">
        <f>IF(OR(AND($F53&lt;=G$3, $F54 &gt;= G$3), AND($F54&lt;G$3, WORKDAY($F54, 22,Holiday!$A$1:$A$30)&gt;G$3)), 1, 0)+IF(AND((G$3-$B$2)&gt;=0,(G$3-$B$2)&lt;30), 2,0)</f>
        <v>0</v>
      </c>
      <c r="H54" s="113">
        <f>IF(OR(AND($F53&lt;=H$3, $F54 &gt;= H$3), AND($F54&lt;H$3, WORKDAY($F54, 22,Holiday!$A$1:$A$30)&gt;H$3)), 1, 0)+IF(AND((H$3-$B$2)&gt;=0,(H$3-$B$2)&lt;30), 2,0)</f>
        <v>1</v>
      </c>
      <c r="I54" s="113">
        <f>IF(OR(AND($F53&lt;=I$3, $F54 &gt;= I$3), AND($F54&lt;I$3, WORKDAY($F54, 22,Holiday!$A$1:$A$30)&gt;I$3)), 1, 0)+IF(AND((I$3-$B$2)&gt;=0,(I$3-$B$2)&lt;30), 2,0)</f>
        <v>0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2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0</v>
      </c>
      <c r="P54" s="113">
        <f>IF(OR(AND($F53&lt;=P$3, $F54 &gt;= P$3), AND($F54&lt;P$3, WORKDAY($F54, 22,Holiday!$A$1:$A$30)&gt;P$3)), 1, 0)+IF(AND((P$3-$B$2)&gt;=0,(P$3-$B$2)&lt;30), 2,0)</f>
        <v>0</v>
      </c>
      <c r="Q54" s="113">
        <f>IF(OR(AND($F53&lt;=Q$3, $F54 &gt;= Q$3), AND($F54&lt;Q$3, WORKDAY($F54, 22,Holiday!$A$1:$A$30)&gt;Q$3)), 1, 0)+IF(AND((Q$3-$B$2)&gt;=0,(Q$3-$B$2)&lt;30), 2,0)</f>
        <v>0</v>
      </c>
      <c r="R54" s="113">
        <f>IF(OR(AND($F53&lt;=R$3, $F54 &gt;= R$3), AND($F54&lt;R$3, WORKDAY($F54, 22,Holiday!$A$1:$A$30)&gt;R$3)), 1, 0)+IF(AND((R$3-$B$2)&gt;=0,(R$3-$B$2)&lt;30), 2,0)</f>
        <v>0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0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0</v>
      </c>
      <c r="AE54" s="113">
        <f>IF(OR(AND($F53&lt;=AE$3, $F54 &gt;= AE$3), AND($F54&lt;AE$3, WORKDAY($F54, 22,Holiday!$A$1:$A$30)&gt;AE$3)), 1, 0)+IF(AND((AE$3-$B$2)&gt;=0,(AE$3-$B$2)&lt;30), 2,0)</f>
        <v>0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</row>
    <row r="55" spans="1:41" ht="15" x14ac:dyDescent="0.2">
      <c r="A55" s="120"/>
      <c r="B55" s="120" t="s">
        <v>186</v>
      </c>
      <c r="C55" s="116" t="s">
        <v>216</v>
      </c>
      <c r="D55" s="135">
        <v>6</v>
      </c>
      <c r="E55" s="134">
        <f t="shared" si="0"/>
        <v>9</v>
      </c>
      <c r="F55" s="123">
        <f>WORKDAY(F54,E55,Holiday!A51:A80)</f>
        <v>46077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1</v>
      </c>
      <c r="I55" s="113">
        <f>IF(OR(AND($F54&lt;=I$3, $F55 &gt;= I$3), AND($F55&lt;I$3, WORKDAY($F55, 22,Holiday!$A$1:$A$30)&gt;I$3)), 1, 0)+IF(AND((I$3-$B$2)&gt;=0,(I$3-$B$2)&lt;30), 2,0)</f>
        <v>0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2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0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0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</row>
    <row r="56" spans="1:41" ht="15" x14ac:dyDescent="0.2">
      <c r="A56" s="120"/>
      <c r="B56" s="120" t="s">
        <v>171</v>
      </c>
      <c r="C56" s="116" t="s">
        <v>216</v>
      </c>
      <c r="D56" s="135">
        <v>6</v>
      </c>
      <c r="E56" s="134">
        <f t="shared" si="0"/>
        <v>9</v>
      </c>
      <c r="F56" s="123">
        <f>WORKDAY(F55,E56,Holiday!A52:A81)</f>
        <v>46090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1</v>
      </c>
      <c r="I56" s="113">
        <f>IF(OR(AND($F55&lt;=I$3, $F56 &gt;= I$3), AND($F56&lt;I$3, WORKDAY($F56, 22,Holiday!$A$1:$A$30)&gt;I$3)), 1, 0)+IF(AND((I$3-$B$2)&gt;=0,(I$3-$B$2)&lt;30), 2,0)</f>
        <v>1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2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0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1:41" ht="15" x14ac:dyDescent="0.2">
      <c r="A57" s="120"/>
      <c r="B57" s="120" t="s">
        <v>184</v>
      </c>
      <c r="C57" s="116" t="s">
        <v>216</v>
      </c>
      <c r="D57" s="135">
        <v>6</v>
      </c>
      <c r="E57" s="134">
        <f t="shared" si="0"/>
        <v>9</v>
      </c>
      <c r="F57" s="123">
        <f>WORKDAY(F56,E57,Holiday!A53:A82)</f>
        <v>46101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1</v>
      </c>
      <c r="J57" s="113">
        <f>IF(OR(AND($F56&lt;=J$3, $F57 &gt;= J$3), AND($F57&lt;J$3, WORKDAY($F57, 22,Holiday!$A$1:$A$30)&gt;J$3)), 1, 0)+IF(AND((J$3-$B$2)&gt;=0,(J$3-$B$2)&lt;30), 2,0)</f>
        <v>0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2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0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1:41" ht="15" x14ac:dyDescent="0.2">
      <c r="A58" s="120"/>
      <c r="B58" s="120" t="s">
        <v>146</v>
      </c>
      <c r="C58" s="116" t="s">
        <v>216</v>
      </c>
      <c r="D58" s="135">
        <v>6</v>
      </c>
      <c r="E58" s="134">
        <f t="shared" si="0"/>
        <v>9</v>
      </c>
      <c r="F58" s="123">
        <f>WORKDAY(F57,E58,Holiday!A54:A83)</f>
        <v>46114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1</v>
      </c>
      <c r="J58" s="113">
        <f>IF(OR(AND($F57&lt;=J$3, $F58 &gt;= J$3), AND($F58&lt;J$3, WORKDAY($F58, 22,Holiday!$A$1:$A$30)&gt;J$3)), 1, 0)+IF(AND((J$3-$B$2)&gt;=0,(J$3-$B$2)&lt;30), 2,0)</f>
        <v>0</v>
      </c>
      <c r="K58" s="113">
        <f>IF(OR(AND($F57&lt;=K$3, $F58 &gt;= K$3), AND($F58&lt;K$3, WORKDAY($F58, 22,Holiday!$A$1:$A$30)&gt;K$3)), 1, 0)+IF(AND((K$3-$B$2)&gt;=0,(K$3-$B$2)&lt;30), 2,0)</f>
        <v>0</v>
      </c>
      <c r="L58" s="113">
        <f>IF(OR(AND($F57&lt;=L$3, $F58 &gt;= L$3), AND($F58&lt;L$3, WORKDAY($F58, 22,Holiday!$A$1:$A$30)&gt;L$3)), 1, 0)+IF(AND((L$3-$B$2)&gt;=0,(L$3-$B$2)&lt;30), 2,0)</f>
        <v>2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0</v>
      </c>
      <c r="R58" s="113">
        <f>IF(OR(AND($F57&lt;=R$3, $F58 &gt;= R$3), AND($F58&lt;R$3, WORKDAY($F58, 22,Holiday!$A$1:$A$30)&gt;R$3)), 1, 0)+IF(AND((R$3-$B$2)&gt;=0,(R$3-$B$2)&lt;30), 2,0)</f>
        <v>0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1:41" ht="15" x14ac:dyDescent="0.2">
      <c r="A59" s="120"/>
      <c r="B59" s="120" t="s">
        <v>170</v>
      </c>
      <c r="C59" s="116" t="s">
        <v>216</v>
      </c>
      <c r="D59" s="135">
        <v>6</v>
      </c>
      <c r="E59" s="134">
        <f t="shared" si="0"/>
        <v>9</v>
      </c>
      <c r="F59" s="123">
        <f>WORKDAY(F58,E59,Holiday!A55:A84)</f>
        <v>46127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1</v>
      </c>
      <c r="J59" s="113">
        <f>IF(OR(AND($F58&lt;=J$3, $F59 &gt;= J$3), AND($F59&lt;J$3, WORKDAY($F59, 22,Holiday!$A$1:$A$30)&gt;J$3)), 1, 0)+IF(AND((J$3-$B$2)&gt;=0,(J$3-$B$2)&lt;30), 2,0)</f>
        <v>1</v>
      </c>
      <c r="K59" s="113">
        <f>IF(OR(AND($F58&lt;=K$3, $F59 &gt;= K$3), AND($F59&lt;K$3, WORKDAY($F59, 22,Holiday!$A$1:$A$30)&gt;K$3)), 1, 0)+IF(AND((K$3-$B$2)&gt;=0,(K$3-$B$2)&lt;30), 2,0)</f>
        <v>0</v>
      </c>
      <c r="L59" s="113">
        <f>IF(OR(AND($F58&lt;=L$3, $F59 &gt;= L$3), AND($F59&lt;L$3, WORKDAY($F59, 22,Holiday!$A$1:$A$30)&gt;L$3)), 1, 0)+IF(AND((L$3-$B$2)&gt;=0,(L$3-$B$2)&lt;30), 2,0)</f>
        <v>2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0</v>
      </c>
      <c r="R59" s="113">
        <f>IF(OR(AND($F58&lt;=R$3, $F59 &gt;= R$3), AND($F59&lt;R$3, WORKDAY($F59, 22,Holiday!$A$1:$A$30)&gt;R$3)), 1, 0)+IF(AND((R$3-$B$2)&gt;=0,(R$3-$B$2)&lt;30), 2,0)</f>
        <v>0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1:41" ht="15" x14ac:dyDescent="0.2">
      <c r="A60" s="120"/>
      <c r="B60" s="120" t="s">
        <v>169</v>
      </c>
      <c r="C60" s="116" t="s">
        <v>216</v>
      </c>
      <c r="D60" s="135">
        <v>6</v>
      </c>
      <c r="E60" s="134">
        <f t="shared" si="0"/>
        <v>9</v>
      </c>
      <c r="F60" s="123">
        <f>WORKDAY(F59,E60,Holiday!A56:A85)</f>
        <v>46140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1</v>
      </c>
      <c r="K60" s="113">
        <f>IF(OR(AND($F59&lt;=K$3, $F60 &gt;= K$3), AND($F60&lt;K$3, WORKDAY($F60, 22,Holiday!$A$1:$A$30)&gt;K$3)), 1, 0)+IF(AND((K$3-$B$2)&gt;=0,(K$3-$B$2)&lt;30), 2,0)</f>
        <v>0</v>
      </c>
      <c r="L60" s="113">
        <f>IF(OR(AND($F59&lt;=L$3, $F60 &gt;= L$3), AND($F60&lt;L$3, WORKDAY($F60, 22,Holiday!$A$1:$A$30)&gt;L$3)), 1, 0)+IF(AND((L$3-$B$2)&gt;=0,(L$3-$B$2)&lt;30), 2,0)</f>
        <v>2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0</v>
      </c>
      <c r="R60" s="113">
        <f>IF(OR(AND($F59&lt;=R$3, $F60 &gt;= R$3), AND($F60&lt;R$3, WORKDAY($F60, 22,Holiday!$A$1:$A$30)&gt;R$3)), 1, 0)+IF(AND((R$3-$B$2)&gt;=0,(R$3-$B$2)&lt;30), 2,0)</f>
        <v>0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1:41" ht="15" x14ac:dyDescent="0.2">
      <c r="A61" s="120"/>
      <c r="B61" s="120" t="s">
        <v>178</v>
      </c>
      <c r="C61" s="116" t="s">
        <v>216</v>
      </c>
      <c r="D61" s="135">
        <v>6</v>
      </c>
      <c r="E61" s="134">
        <f t="shared" si="0"/>
        <v>9</v>
      </c>
      <c r="F61" s="123">
        <f>WORKDAY(F60,E61,Holiday!A57:A86)</f>
        <v>46153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1</v>
      </c>
      <c r="K61" s="113">
        <f>IF(OR(AND($F60&lt;=K$3, $F61 &gt;= K$3), AND($F61&lt;K$3, WORKDAY($F61, 22,Holiday!$A$1:$A$30)&gt;K$3)), 1, 0)+IF(AND((K$3-$B$2)&gt;=0,(K$3-$B$2)&lt;30), 2,0)</f>
        <v>1</v>
      </c>
      <c r="L61" s="113">
        <f>IF(OR(AND($F60&lt;=L$3, $F61 &gt;= L$3), AND($F61&lt;L$3, WORKDAY($F61, 22,Holiday!$A$1:$A$30)&gt;L$3)), 1, 0)+IF(AND((L$3-$B$2)&gt;=0,(L$3-$B$2)&lt;30), 2,0)</f>
        <v>2</v>
      </c>
      <c r="M61" s="113">
        <f>IF(OR(AND($F60&lt;=M$3, $F61 &gt;= M$3), AND($F61&lt;M$3, WORKDAY($F61, 22,Holiday!$A$1:$A$30)&gt;M$3)), 1, 0)+IF(AND((M$3-$B$2)&gt;=0,(M$3-$B$2)&lt;30), 2,0)</f>
        <v>0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0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1:41" ht="15" x14ac:dyDescent="0.2">
      <c r="A62" s="120"/>
      <c r="B62" s="120" t="s">
        <v>145</v>
      </c>
      <c r="C62" s="116" t="s">
        <v>216</v>
      </c>
      <c r="D62" s="135">
        <v>6</v>
      </c>
      <c r="E62" s="134">
        <f t="shared" si="0"/>
        <v>9</v>
      </c>
      <c r="F62" s="123">
        <f>WORKDAY(F61,E62,Holiday!A58:A87)</f>
        <v>46164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1</v>
      </c>
      <c r="L62" s="113">
        <f>IF(OR(AND($F61&lt;=L$3, $F62 &gt;= L$3), AND($F62&lt;L$3, WORKDAY($F62, 22,Holiday!$A$1:$A$30)&gt;L$3)), 1, 0)+IF(AND((L$3-$B$2)&gt;=0,(L$3-$B$2)&lt;30), 2,0)</f>
        <v>2</v>
      </c>
      <c r="M62" s="113">
        <f>IF(OR(AND($F61&lt;=M$3, $F62 &gt;= M$3), AND($F62&lt;M$3, WORKDAY($F62, 22,Holiday!$A$1:$A$30)&gt;M$3)), 1, 0)+IF(AND((M$3-$B$2)&gt;=0,(M$3-$B$2)&lt;30), 2,0)</f>
        <v>0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0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1:41" ht="15" x14ac:dyDescent="0.2">
      <c r="A63" s="120"/>
      <c r="B63" s="120" t="s">
        <v>143</v>
      </c>
      <c r="C63" s="116" t="s">
        <v>216</v>
      </c>
      <c r="D63" s="135">
        <v>6</v>
      </c>
      <c r="E63" s="134">
        <f t="shared" si="0"/>
        <v>9</v>
      </c>
      <c r="F63" s="123">
        <f>WORKDAY(F62,E63,Holiday!A59:A88)</f>
        <v>46177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1</v>
      </c>
      <c r="L63" s="113">
        <f>IF(OR(AND($F62&lt;=L$3, $F63 &gt;= L$3), AND($F63&lt;L$3, WORKDAY($F63, 22,Holiday!$A$1:$A$30)&gt;L$3)), 1, 0)+IF(AND((L$3-$B$2)&gt;=0,(L$3-$B$2)&lt;30), 2,0)</f>
        <v>2</v>
      </c>
      <c r="M63" s="113">
        <f>IF(OR(AND($F62&lt;=M$3, $F63 &gt;= M$3), AND($F63&lt;M$3, WORKDAY($F63, 22,Holiday!$A$1:$A$30)&gt;M$3)), 1, 0)+IF(AND((M$3-$B$2)&gt;=0,(M$3-$B$2)&lt;30), 2,0)</f>
        <v>0</v>
      </c>
      <c r="N63" s="113">
        <f>IF(OR(AND($F62&lt;=N$3, $F63 &gt;= N$3), AND($F63&lt;N$3, WORKDAY($F63, 22,Holiday!$A$1:$A$30)&gt;N$3)), 1, 0)+IF(AND((N$3-$B$2)&gt;=0,(N$3-$B$2)&lt;30), 2,0)</f>
        <v>0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0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1:41" ht="15" x14ac:dyDescent="0.2">
      <c r="A64" s="120"/>
      <c r="B64" s="120" t="s">
        <v>144</v>
      </c>
      <c r="C64" s="116" t="s">
        <v>216</v>
      </c>
      <c r="D64" s="135">
        <v>6</v>
      </c>
      <c r="E64" s="134">
        <f t="shared" si="0"/>
        <v>9</v>
      </c>
      <c r="F64" s="123">
        <f>WORKDAY(F63,E64,Holiday!A60:A89)</f>
        <v>46190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1</v>
      </c>
      <c r="L64" s="113">
        <f>IF(OR(AND($F63&lt;=L$3, $F64 &gt;= L$3), AND($F64&lt;L$3, WORKDAY($F64, 22,Holiday!$A$1:$A$30)&gt;L$3)), 1, 0)+IF(AND((L$3-$B$2)&gt;=0,(L$3-$B$2)&lt;30), 2,0)</f>
        <v>3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0</v>
      </c>
      <c r="O64" s="113">
        <f>IF(OR(AND($F63&lt;=O$3, $F64 &gt;= O$3), AND($F64&lt;O$3, WORKDAY($F64, 22,Holiday!$A$1:$A$30)&gt;O$3)), 1, 0)+IF(AND((O$3-$B$2)&gt;=0,(O$3-$B$2)&lt;30), 2,0)</f>
        <v>0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0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1:41" ht="15" x14ac:dyDescent="0.2">
      <c r="A65" s="120"/>
      <c r="B65" s="120" t="s">
        <v>159</v>
      </c>
      <c r="C65" s="116" t="s">
        <v>273</v>
      </c>
      <c r="D65" s="135">
        <v>6</v>
      </c>
      <c r="E65" s="134">
        <f t="shared" si="0"/>
        <v>9</v>
      </c>
      <c r="F65" s="123">
        <f>WORKDAY(F4,E65,Holiday!A61:A90)</f>
        <v>46064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1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2</v>
      </c>
      <c r="M65" s="113">
        <f>IF(OR(AND($F64&lt;=M$3, $F65 &gt;= M$3), AND($F65&lt;M$3, WORKDAY($F65, 22,Holiday!$A$1:$A$30)&gt;M$3)), 1, 0)+IF(AND((M$3-$B$2)&gt;=0,(M$3-$B$2)&lt;30), 2,0)</f>
        <v>0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0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0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1:41" ht="15" x14ac:dyDescent="0.2">
      <c r="A66" s="120"/>
      <c r="B66" s="120" t="s">
        <v>156</v>
      </c>
      <c r="C66" s="116" t="s">
        <v>273</v>
      </c>
      <c r="D66" s="135">
        <v>6</v>
      </c>
      <c r="E66" s="134">
        <f t="shared" si="0"/>
        <v>9</v>
      </c>
      <c r="F66" s="123">
        <f>WORKDAY(F65,E66,Holiday!A62:A91)</f>
        <v>46077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1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2</v>
      </c>
      <c r="M66" s="113">
        <f>IF(OR(AND($F65&lt;=M$3, $F66 &gt;= M$3), AND($F66&lt;M$3, WORKDAY($F66, 22,Holiday!$A$1:$A$30)&gt;M$3)), 1, 0)+IF(AND((M$3-$B$2)&gt;=0,(M$3-$B$2)&lt;30), 2,0)</f>
        <v>0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0</v>
      </c>
      <c r="P66" s="113">
        <f>IF(OR(AND($F65&lt;=P$3, $F66 &gt;= P$3), AND($F66&lt;P$3, WORKDAY($F66, 22,Holiday!$A$1:$A$30)&gt;P$3)), 1, 0)+IF(AND((P$3-$B$2)&gt;=0,(P$3-$B$2)&lt;30), 2,0)</f>
        <v>0</v>
      </c>
      <c r="Q66" s="113">
        <f>IF(OR(AND($F65&lt;=Q$3, $F66 &gt;= Q$3), AND($F66&lt;Q$3, WORKDAY($F66, 22,Holiday!$A$1:$A$30)&gt;Q$3)), 1, 0)+IF(AND((Q$3-$B$2)&gt;=0,(Q$3-$B$2)&lt;30), 2,0)</f>
        <v>0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1:41" ht="15" x14ac:dyDescent="0.2">
      <c r="A67" s="120"/>
      <c r="B67" s="120" t="s">
        <v>179</v>
      </c>
      <c r="C67" s="116" t="s">
        <v>273</v>
      </c>
      <c r="D67" s="135">
        <v>6</v>
      </c>
      <c r="E67" s="134">
        <f t="shared" si="0"/>
        <v>9</v>
      </c>
      <c r="F67" s="123">
        <f>WORKDAY(F66,E67,Holiday!A63:A92)</f>
        <v>46090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1</v>
      </c>
      <c r="I67" s="113">
        <f>IF(OR(AND($F66&lt;=I$3, $F67 &gt;= I$3), AND($F67&lt;I$3, WORKDAY($F67, 22,Holiday!$A$1:$A$30)&gt;I$3)), 1, 0)+IF(AND((I$3-$B$2)&gt;=0,(I$3-$B$2)&lt;30), 2,0)</f>
        <v>1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2</v>
      </c>
      <c r="M67" s="113">
        <f>IF(OR(AND($F66&lt;=M$3, $F67 &gt;= M$3), AND($F67&lt;M$3, WORKDAY($F67, 22,Holiday!$A$1:$A$30)&gt;M$3)), 1, 0)+IF(AND((M$3-$B$2)&gt;=0,(M$3-$B$2)&lt;30), 2,0)</f>
        <v>0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0</v>
      </c>
      <c r="Q67" s="113">
        <f>IF(OR(AND($F66&lt;=Q$3, $F67 &gt;= Q$3), AND($F67&lt;Q$3, WORKDAY($F67, 22,Holiday!$A$1:$A$30)&gt;Q$3)), 1, 0)+IF(AND((Q$3-$B$2)&gt;=0,(Q$3-$B$2)&lt;30), 2,0)</f>
        <v>0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1:41" ht="15" x14ac:dyDescent="0.2">
      <c r="A68" s="120"/>
      <c r="B68" s="120" t="s">
        <v>202</v>
      </c>
      <c r="C68" s="116" t="s">
        <v>273</v>
      </c>
      <c r="D68" s="135">
        <v>6</v>
      </c>
      <c r="E68" s="134">
        <f t="shared" si="0"/>
        <v>9</v>
      </c>
      <c r="F68" s="123">
        <f>WORKDAY(F67,E68,Holiday!A64:A93)</f>
        <v>46101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1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2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0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0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1:41" ht="15" x14ac:dyDescent="0.2">
      <c r="A69" s="120"/>
      <c r="B69" s="120" t="s">
        <v>180</v>
      </c>
      <c r="C69" s="116" t="s">
        <v>273</v>
      </c>
      <c r="D69" s="135">
        <v>6</v>
      </c>
      <c r="E69" s="134">
        <f t="shared" si="0"/>
        <v>9</v>
      </c>
      <c r="F69" s="123">
        <f>WORKDAY(F68,E69,Holiday!A65:A94)</f>
        <v>46114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1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2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0</v>
      </c>
      <c r="O69" s="113">
        <f>IF(OR(AND($F68&lt;=O$3, $F69 &gt;= O$3), AND($F69&lt;O$3, WORKDAY($F69, 22,Holiday!$A$1:$A$30)&gt;O$3)), 1, 0)+IF(AND((O$3-$B$2)&gt;=0,(O$3-$B$2)&lt;30), 2,0)</f>
        <v>0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0</v>
      </c>
      <c r="R69" s="113">
        <f>IF(OR(AND($F68&lt;=R$3, $F69 &gt;= R$3), AND($F69&lt;R$3, WORKDAY($F69, 22,Holiday!$A$1:$A$30)&gt;R$3)), 1, 0)+IF(AND((R$3-$B$2)&gt;=0,(R$3-$B$2)&lt;30), 2,0)</f>
        <v>0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1:41" ht="15" x14ac:dyDescent="0.2">
      <c r="A70" s="120"/>
      <c r="B70" s="120" t="s">
        <v>175</v>
      </c>
      <c r="C70" s="116" t="s">
        <v>273</v>
      </c>
      <c r="D70" s="135">
        <v>6</v>
      </c>
      <c r="E70" s="134">
        <f t="shared" ref="E70:E103" si="1">ROUNDUP(D70*(1+$D$2),0)</f>
        <v>9</v>
      </c>
      <c r="F70" s="123">
        <f>WORKDAY(F69,E70,Holiday!A66:A95)</f>
        <v>46127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1</v>
      </c>
      <c r="J70" s="113">
        <f>IF(OR(AND($F69&lt;=J$3, $F70 &gt;= J$3), AND($F70&lt;J$3, WORKDAY($F70, 22,Holiday!$A$1:$A$30)&gt;J$3)), 1, 0)+IF(AND((J$3-$B$2)&gt;=0,(J$3-$B$2)&lt;30), 2,0)</f>
        <v>1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2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0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0</v>
      </c>
      <c r="R70" s="113">
        <f>IF(OR(AND($F69&lt;=R$3, $F70 &gt;= R$3), AND($F70&lt;R$3, WORKDAY($F70, 22,Holiday!$A$1:$A$30)&gt;R$3)), 1, 0)+IF(AND((R$3-$B$2)&gt;=0,(R$3-$B$2)&lt;30), 2,0)</f>
        <v>0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1:41" ht="15" x14ac:dyDescent="0.2">
      <c r="A71" s="120"/>
      <c r="B71" s="120" t="s">
        <v>161</v>
      </c>
      <c r="C71" s="116" t="s">
        <v>273</v>
      </c>
      <c r="D71" s="135">
        <v>6</v>
      </c>
      <c r="E71" s="134">
        <f t="shared" si="1"/>
        <v>9</v>
      </c>
      <c r="F71" s="123">
        <f>WORKDAY(F70,E71,Holiday!A67:A96)</f>
        <v>46140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1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2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0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0</v>
      </c>
      <c r="R71" s="113">
        <f>IF(OR(AND($F70&lt;=R$3, $F71 &gt;= R$3), AND($F71&lt;R$3, WORKDAY($F71, 22,Holiday!$A$1:$A$30)&gt;R$3)), 1, 0)+IF(AND((R$3-$B$2)&gt;=0,(R$3-$B$2)&lt;30), 2,0)</f>
        <v>0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1:41" ht="15" x14ac:dyDescent="0.2">
      <c r="A72" s="120"/>
      <c r="B72" s="120" t="s">
        <v>172</v>
      </c>
      <c r="C72" s="116" t="s">
        <v>273</v>
      </c>
      <c r="D72" s="135">
        <v>6</v>
      </c>
      <c r="E72" s="134">
        <f t="shared" si="1"/>
        <v>9</v>
      </c>
      <c r="F72" s="123">
        <f>WORKDAY(F71,E72,Holiday!A68:A97)</f>
        <v>46153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0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1</v>
      </c>
      <c r="K72" s="113">
        <f>IF(OR(AND($F71&lt;=K$3, $F72 &gt;= K$3), AND($F72&lt;K$3, WORKDAY($F72, 22,Holiday!$A$1:$A$30)&gt;K$3)), 1, 0)+IF(AND((K$3-$B$2)&gt;=0,(K$3-$B$2)&lt;30), 2,0)</f>
        <v>1</v>
      </c>
      <c r="L72" s="113">
        <f>IF(OR(AND($F71&lt;=L$3, $F72 &gt;= L$3), AND($F72&lt;L$3, WORKDAY($F72, 22,Holiday!$A$1:$A$30)&gt;L$3)), 1, 0)+IF(AND((L$3-$B$2)&gt;=0,(L$3-$B$2)&lt;30), 2,0)</f>
        <v>2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0</v>
      </c>
      <c r="P72" s="113">
        <f>IF(OR(AND($F71&lt;=P$3, $F72 &gt;= P$3), AND($F72&lt;P$3, WORKDAY($F72, 22,Holiday!$A$1:$A$30)&gt;P$3)), 1, 0)+IF(AND((P$3-$B$2)&gt;=0,(P$3-$B$2)&lt;30), 2,0)</f>
        <v>0</v>
      </c>
      <c r="Q72" s="113">
        <f>IF(OR(AND($F71&lt;=Q$3, $F72 &gt;= Q$3), AND($F72&lt;Q$3, WORKDAY($F72, 22,Holiday!$A$1:$A$30)&gt;Q$3)), 1, 0)+IF(AND((Q$3-$B$2)&gt;=0,(Q$3-$B$2)&lt;30), 2,0)</f>
        <v>0</v>
      </c>
      <c r="R72" s="113">
        <f>IF(OR(AND($F71&lt;=R$3, $F72 &gt;= R$3), AND($F72&lt;R$3, WORKDAY($F72, 22,Holiday!$A$1:$A$30)&gt;R$3)), 1, 0)+IF(AND((R$3-$B$2)&gt;=0,(R$3-$B$2)&lt;30), 2,0)</f>
        <v>0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1:41" ht="15" x14ac:dyDescent="0.2">
      <c r="A73" s="120"/>
      <c r="B73" s="120" t="s">
        <v>209</v>
      </c>
      <c r="C73" s="116" t="s">
        <v>273</v>
      </c>
      <c r="D73" s="135">
        <v>6</v>
      </c>
      <c r="E73" s="134">
        <f t="shared" si="1"/>
        <v>9</v>
      </c>
      <c r="F73" s="123">
        <f>WORKDAY(F72,E73,Holiday!A69:A98)</f>
        <v>46164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0</v>
      </c>
      <c r="I73" s="113">
        <f>IF(OR(AND($F72&lt;=I$3, $F73 &gt;= I$3), AND($F73&lt;I$3, WORKDAY($F73, 22,Holiday!$A$1:$A$30)&gt;I$3)), 1, 0)+IF(AND((I$3-$B$2)&gt;=0,(I$3-$B$2)&lt;30), 2,0)</f>
        <v>0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1</v>
      </c>
      <c r="L73" s="113">
        <f>IF(OR(AND($F72&lt;=L$3, $F73 &gt;= L$3), AND($F73&lt;L$3, WORKDAY($F73, 22,Holiday!$A$1:$A$30)&gt;L$3)), 1, 0)+IF(AND((L$3-$B$2)&gt;=0,(L$3-$B$2)&lt;30), 2,0)</f>
        <v>2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0</v>
      </c>
      <c r="Q73" s="113">
        <f>IF(OR(AND($F72&lt;=Q$3, $F73 &gt;= Q$3), AND($F73&lt;Q$3, WORKDAY($F73, 22,Holiday!$A$1:$A$30)&gt;Q$3)), 1, 0)+IF(AND((Q$3-$B$2)&gt;=0,(Q$3-$B$2)&lt;30), 2,0)</f>
        <v>0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1:41" ht="15" x14ac:dyDescent="0.2">
      <c r="A74" s="120"/>
      <c r="B74" s="120" t="s">
        <v>163</v>
      </c>
      <c r="C74" s="116" t="s">
        <v>273</v>
      </c>
      <c r="D74" s="135">
        <v>6</v>
      </c>
      <c r="E74" s="134">
        <f t="shared" si="1"/>
        <v>9</v>
      </c>
      <c r="F74" s="123">
        <f>WORKDAY(F73,E74,Holiday!A70:A99)</f>
        <v>46177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0</v>
      </c>
      <c r="I74" s="113">
        <f>IF(OR(AND($F73&lt;=I$3, $F74 &gt;= I$3), AND($F74&lt;I$3, WORKDAY($F74, 22,Holiday!$A$1:$A$30)&gt;I$3)), 1, 0)+IF(AND((I$3-$B$2)&gt;=0,(I$3-$B$2)&lt;30), 2,0)</f>
        <v>0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1</v>
      </c>
      <c r="L74" s="113">
        <f>IF(OR(AND($F73&lt;=L$3, $F74 &gt;= L$3), AND($F74&lt;L$3, WORKDAY($F74, 22,Holiday!$A$1:$A$30)&gt;L$3)), 1, 0)+IF(AND((L$3-$B$2)&gt;=0,(L$3-$B$2)&lt;30), 2,0)</f>
        <v>2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0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1:41" ht="15" x14ac:dyDescent="0.2">
      <c r="A75" s="120"/>
      <c r="B75" s="120" t="s">
        <v>211</v>
      </c>
      <c r="C75" s="116" t="s">
        <v>273</v>
      </c>
      <c r="D75" s="135">
        <v>6</v>
      </c>
      <c r="E75" s="134">
        <f t="shared" si="1"/>
        <v>9</v>
      </c>
      <c r="F75" s="123">
        <f>WORKDAY(F74,E75,Holiday!A71:A100)</f>
        <v>46190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0</v>
      </c>
      <c r="I75" s="113">
        <f>IF(OR(AND($F74&lt;=I$3, $F75 &gt;= I$3), AND($F75&lt;I$3, WORKDAY($F75, 22,Holiday!$A$1:$A$30)&gt;I$3)), 1, 0)+IF(AND((I$3-$B$2)&gt;=0,(I$3-$B$2)&lt;30), 2,0)</f>
        <v>0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1</v>
      </c>
      <c r="L75" s="113">
        <f>IF(OR(AND($F74&lt;=L$3, $F75 &gt;= L$3), AND($F75&lt;L$3, WORKDAY($F75, 22,Holiday!$A$1:$A$30)&gt;L$3)), 1, 0)+IF(AND((L$3-$B$2)&gt;=0,(L$3-$B$2)&lt;30), 2,0)</f>
        <v>3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0</v>
      </c>
      <c r="R75" s="113">
        <f>IF(OR(AND($F74&lt;=R$3, $F75 &gt;= R$3), AND($F75&lt;R$3, WORKDAY($F75, 22,Holiday!$A$1:$A$30)&gt;R$3)), 1, 0)+IF(AND((R$3-$B$2)&gt;=0,(R$3-$B$2)&lt;30), 2,0)</f>
        <v>0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1:41" ht="15" x14ac:dyDescent="0.2">
      <c r="A76" s="120"/>
      <c r="B76" s="120" t="s">
        <v>210</v>
      </c>
      <c r="C76" s="116" t="s">
        <v>274</v>
      </c>
      <c r="D76" s="135">
        <v>6</v>
      </c>
      <c r="E76" s="134">
        <f t="shared" si="1"/>
        <v>9</v>
      </c>
      <c r="F76" s="123">
        <f>WORKDAY(F4,E76,Holiday!A72:A101)</f>
        <v>46064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1</v>
      </c>
      <c r="I76" s="113">
        <f>IF(OR(AND($F75&lt;=I$3, $F76 &gt;= I$3), AND($F76&lt;I$3, WORKDAY($F76, 22,Holiday!$A$1:$A$30)&gt;I$3)), 1, 0)+IF(AND((I$3-$B$2)&gt;=0,(I$3-$B$2)&lt;30), 2,0)</f>
        <v>0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2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0</v>
      </c>
      <c r="R76" s="113">
        <f>IF(OR(AND($F75&lt;=R$3, $F76 &gt;= R$3), AND($F76&lt;R$3, WORKDAY($F76, 22,Holiday!$A$1:$A$30)&gt;R$3)), 1, 0)+IF(AND((R$3-$B$2)&gt;=0,(R$3-$B$2)&lt;30), 2,0)</f>
        <v>0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1:41" ht="15" x14ac:dyDescent="0.2">
      <c r="A77" s="120"/>
      <c r="B77" s="120" t="s">
        <v>203</v>
      </c>
      <c r="C77" s="116" t="s">
        <v>274</v>
      </c>
      <c r="D77" s="135">
        <v>6</v>
      </c>
      <c r="E77" s="134">
        <f t="shared" si="1"/>
        <v>9</v>
      </c>
      <c r="F77" s="123">
        <f>WORKDAY(F76,E77,Holiday!A73:A102)</f>
        <v>46077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1</v>
      </c>
      <c r="I77" s="113">
        <f>IF(OR(AND($F76&lt;=I$3, $F77 &gt;= I$3), AND($F77&lt;I$3, WORKDAY($F77, 22,Holiday!$A$1:$A$30)&gt;I$3)), 1, 0)+IF(AND((I$3-$B$2)&gt;=0,(I$3-$B$2)&lt;30), 2,0)</f>
        <v>0</v>
      </c>
      <c r="J77" s="113">
        <f>IF(OR(AND($F76&lt;=J$3, $F77 &gt;= J$3), AND($F77&lt;J$3, WORKDAY($F77, 22,Holiday!$A$1:$A$30)&gt;J$3)), 1, 0)+IF(AND((J$3-$B$2)&gt;=0,(J$3-$B$2)&lt;30), 2,0)</f>
        <v>0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2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0</v>
      </c>
      <c r="R77" s="113">
        <f>IF(OR(AND($F76&lt;=R$3, $F77 &gt;= R$3), AND($F77&lt;R$3, WORKDAY($F77, 22,Holiday!$A$1:$A$30)&gt;R$3)), 1, 0)+IF(AND((R$3-$B$2)&gt;=0,(R$3-$B$2)&lt;30), 2,0)</f>
        <v>0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1:41" ht="15" x14ac:dyDescent="0.2">
      <c r="A78" s="120"/>
      <c r="B78" s="120" t="s">
        <v>160</v>
      </c>
      <c r="C78" s="116" t="s">
        <v>274</v>
      </c>
      <c r="D78" s="135">
        <v>6</v>
      </c>
      <c r="E78" s="134">
        <f t="shared" si="1"/>
        <v>9</v>
      </c>
      <c r="F78" s="123">
        <f>WORKDAY(F77,E78,Holiday!A74:A103)</f>
        <v>46090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1</v>
      </c>
      <c r="I78" s="113">
        <f>IF(OR(AND($F77&lt;=I$3, $F78 &gt;= I$3), AND($F78&lt;I$3, WORKDAY($F78, 22,Holiday!$A$1:$A$30)&gt;I$3)), 1, 0)+IF(AND((I$3-$B$2)&gt;=0,(I$3-$B$2)&lt;30), 2,0)</f>
        <v>1</v>
      </c>
      <c r="J78" s="113">
        <f>IF(OR(AND($F77&lt;=J$3, $F78 &gt;= J$3), AND($F78&lt;J$3, WORKDAY($F78, 22,Holiday!$A$1:$A$30)&gt;J$3)), 1, 0)+IF(AND((J$3-$B$2)&gt;=0,(J$3-$B$2)&lt;30), 2,0)</f>
        <v>0</v>
      </c>
      <c r="K78" s="113">
        <f>IF(OR(AND($F77&lt;=K$3, $F78 &gt;= K$3), AND($F78&lt;K$3, WORKDAY($F78, 22,Holiday!$A$1:$A$30)&gt;K$3)), 1, 0)+IF(AND((K$3-$B$2)&gt;=0,(K$3-$B$2)&lt;30), 2,0)</f>
        <v>0</v>
      </c>
      <c r="L78" s="113">
        <f>IF(OR(AND($F77&lt;=L$3, $F78 &gt;= L$3), AND($F78&lt;L$3, WORKDAY($F78, 22,Holiday!$A$1:$A$30)&gt;L$3)), 1, 0)+IF(AND((L$3-$B$2)&gt;=0,(L$3-$B$2)&lt;30), 2,0)</f>
        <v>2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0</v>
      </c>
      <c r="R78" s="113">
        <f>IF(OR(AND($F77&lt;=R$3, $F78 &gt;= R$3), AND($F78&lt;R$3, WORKDAY($F78, 22,Holiday!$A$1:$A$30)&gt;R$3)), 1, 0)+IF(AND((R$3-$B$2)&gt;=0,(R$3-$B$2)&lt;30), 2,0)</f>
        <v>0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1:41" ht="15" x14ac:dyDescent="0.2">
      <c r="A79" s="120"/>
      <c r="B79" s="120" t="s">
        <v>158</v>
      </c>
      <c r="C79" s="116" t="s">
        <v>274</v>
      </c>
      <c r="D79" s="135">
        <v>6</v>
      </c>
      <c r="E79" s="134">
        <f t="shared" si="1"/>
        <v>9</v>
      </c>
      <c r="F79" s="123">
        <f>WORKDAY(F78,E79,Holiday!A75:A104)</f>
        <v>46101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1</v>
      </c>
      <c r="J79" s="113">
        <f>IF(OR(AND($F78&lt;=J$3, $F79 &gt;= J$3), AND($F79&lt;J$3, WORKDAY($F79, 22,Holiday!$A$1:$A$30)&gt;J$3)), 1, 0)+IF(AND((J$3-$B$2)&gt;=0,(J$3-$B$2)&lt;30), 2,0)</f>
        <v>0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2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0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1:41" ht="15" x14ac:dyDescent="0.2">
      <c r="A80" s="120"/>
      <c r="B80" s="120" t="s">
        <v>157</v>
      </c>
      <c r="C80" s="116" t="s">
        <v>274</v>
      </c>
      <c r="D80" s="135">
        <v>6</v>
      </c>
      <c r="E80" s="134">
        <f t="shared" si="1"/>
        <v>9</v>
      </c>
      <c r="F80" s="123">
        <f>WORKDAY(F79,E80,Holiday!A76:A105)</f>
        <v>46114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1</v>
      </c>
      <c r="J80" s="113">
        <f>IF(OR(AND($F79&lt;=J$3, $F80 &gt;= J$3), AND($F80&lt;J$3, WORKDAY($F80, 22,Holiday!$A$1:$A$30)&gt;J$3)), 1, 0)+IF(AND((J$3-$B$2)&gt;=0,(J$3-$B$2)&lt;30), 2,0)</f>
        <v>0</v>
      </c>
      <c r="K80" s="113">
        <f>IF(OR(AND($F79&lt;=K$3, $F80 &gt;= K$3), AND($F80&lt;K$3, WORKDAY($F80, 22,Holiday!$A$1:$A$30)&gt;K$3)), 1, 0)+IF(AND((K$3-$B$2)&gt;=0,(K$3-$B$2)&lt;30), 2,0)</f>
        <v>0</v>
      </c>
      <c r="L80" s="113">
        <f>IF(OR(AND($F79&lt;=L$3, $F80 &gt;= L$3), AND($F80&lt;L$3, WORKDAY($F80, 22,Holiday!$A$1:$A$30)&gt;L$3)), 1, 0)+IF(AND((L$3-$B$2)&gt;=0,(L$3-$B$2)&lt;30), 2,0)</f>
        <v>2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0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1:41" ht="15" x14ac:dyDescent="0.2">
      <c r="A81" s="120"/>
      <c r="B81" s="120" t="s">
        <v>164</v>
      </c>
      <c r="C81" s="116" t="s">
        <v>274</v>
      </c>
      <c r="D81" s="135">
        <v>6</v>
      </c>
      <c r="E81" s="134">
        <f t="shared" si="1"/>
        <v>9</v>
      </c>
      <c r="F81" s="123">
        <f>WORKDAY(F80,E81,Holiday!A77:A106)</f>
        <v>46127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1</v>
      </c>
      <c r="J81" s="113">
        <f>IF(OR(AND($F80&lt;=J$3, $F81 &gt;= J$3), AND($F81&lt;J$3, WORKDAY($F81, 22,Holiday!$A$1:$A$30)&gt;J$3)), 1, 0)+IF(AND((J$3-$B$2)&gt;=0,(J$3-$B$2)&lt;30), 2,0)</f>
        <v>1</v>
      </c>
      <c r="K81" s="113">
        <f>IF(OR(AND($F80&lt;=K$3, $F81 &gt;= K$3), AND($F81&lt;K$3, WORKDAY($F81, 22,Holiday!$A$1:$A$30)&gt;K$3)), 1, 0)+IF(AND((K$3-$B$2)&gt;=0,(K$3-$B$2)&lt;30), 2,0)</f>
        <v>0</v>
      </c>
      <c r="L81" s="113">
        <f>IF(OR(AND($F80&lt;=L$3, $F81 &gt;= L$3), AND($F81&lt;L$3, WORKDAY($F81, 22,Holiday!$A$1:$A$30)&gt;L$3)), 1, 0)+IF(AND((L$3-$B$2)&gt;=0,(L$3-$B$2)&lt;30), 2,0)</f>
        <v>2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0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1:41" ht="15" x14ac:dyDescent="0.2">
      <c r="A82" s="120"/>
      <c r="B82" s="120" t="s">
        <v>168</v>
      </c>
      <c r="C82" s="116" t="s">
        <v>274</v>
      </c>
      <c r="D82" s="135">
        <v>6</v>
      </c>
      <c r="E82" s="134">
        <f t="shared" si="1"/>
        <v>9</v>
      </c>
      <c r="F82" s="123">
        <f>WORKDAY(F81,E82,Holiday!A78:A107)</f>
        <v>46140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1</v>
      </c>
      <c r="K82" s="113">
        <f>IF(OR(AND($F81&lt;=K$3, $F82 &gt;= K$3), AND($F82&lt;K$3, WORKDAY($F82, 22,Holiday!$A$1:$A$30)&gt;K$3)), 1, 0)+IF(AND((K$3-$B$2)&gt;=0,(K$3-$B$2)&lt;30), 2,0)</f>
        <v>0</v>
      </c>
      <c r="L82" s="113">
        <f>IF(OR(AND($F81&lt;=L$3, $F82 &gt;= L$3), AND($F82&lt;L$3, WORKDAY($F82, 22,Holiday!$A$1:$A$30)&gt;L$3)), 1, 0)+IF(AND((L$3-$B$2)&gt;=0,(L$3-$B$2)&lt;30), 2,0)</f>
        <v>2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0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1:41" ht="15" x14ac:dyDescent="0.2">
      <c r="A83" s="120"/>
      <c r="B83" s="120" t="s">
        <v>166</v>
      </c>
      <c r="C83" s="116" t="s">
        <v>274</v>
      </c>
      <c r="D83" s="135">
        <v>6</v>
      </c>
      <c r="E83" s="134">
        <f t="shared" si="1"/>
        <v>9</v>
      </c>
      <c r="F83" s="123">
        <f>WORKDAY(F82,E83,Holiday!A79:A108)</f>
        <v>46153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1</v>
      </c>
      <c r="K83" s="113">
        <f>IF(OR(AND($F82&lt;=K$3, $F83 &gt;= K$3), AND($F83&lt;K$3, WORKDAY($F83, 22,Holiday!$A$1:$A$30)&gt;K$3)), 1, 0)+IF(AND((K$3-$B$2)&gt;=0,(K$3-$B$2)&lt;30), 2,0)</f>
        <v>1</v>
      </c>
      <c r="L83" s="113">
        <f>IF(OR(AND($F82&lt;=L$3, $F83 &gt;= L$3), AND($F83&lt;L$3, WORKDAY($F83, 22,Holiday!$A$1:$A$30)&gt;L$3)), 1, 0)+IF(AND((L$3-$B$2)&gt;=0,(L$3-$B$2)&lt;30), 2,0)</f>
        <v>2</v>
      </c>
      <c r="M83" s="113">
        <f>IF(OR(AND($F82&lt;=M$3, $F83 &gt;= M$3), AND($F83&lt;M$3, WORKDAY($F83, 22,Holiday!$A$1:$A$30)&gt;M$3)), 1, 0)+IF(AND((M$3-$B$2)&gt;=0,(M$3-$B$2)&lt;30), 2,0)</f>
        <v>0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0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1:41" ht="15" x14ac:dyDescent="0.2">
      <c r="A84" s="120"/>
      <c r="B84" s="120" t="s">
        <v>155</v>
      </c>
      <c r="C84" s="116" t="s">
        <v>274</v>
      </c>
      <c r="D84" s="135">
        <v>6</v>
      </c>
      <c r="E84" s="134">
        <f t="shared" si="1"/>
        <v>9</v>
      </c>
      <c r="F84" s="123">
        <f>WORKDAY(F83,E84,Holiday!A80:A109)</f>
        <v>46164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1</v>
      </c>
      <c r="L84" s="113">
        <f>IF(OR(AND($F83&lt;=L$3, $F84 &gt;= L$3), AND($F84&lt;L$3, WORKDAY($F84, 22,Holiday!$A$1:$A$30)&gt;L$3)), 1, 0)+IF(AND((L$3-$B$2)&gt;=0,(L$3-$B$2)&lt;30), 2,0)</f>
        <v>2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0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1:41" ht="15" x14ac:dyDescent="0.2">
      <c r="A85" s="120"/>
      <c r="B85" s="120" t="s">
        <v>181</v>
      </c>
      <c r="C85" s="116" t="s">
        <v>274</v>
      </c>
      <c r="D85" s="135">
        <v>6</v>
      </c>
      <c r="E85" s="134">
        <f t="shared" si="1"/>
        <v>9</v>
      </c>
      <c r="F85" s="123">
        <f>WORKDAY(F84,E85,Holiday!A81:A110)</f>
        <v>46177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1</v>
      </c>
      <c r="L85" s="113">
        <f>IF(OR(AND($F84&lt;=L$3, $F85 &gt;= L$3), AND($F85&lt;L$3, WORKDAY($F85, 22,Holiday!$A$1:$A$30)&gt;L$3)), 1, 0)+IF(AND((L$3-$B$2)&gt;=0,(L$3-$B$2)&lt;30), 2,0)</f>
        <v>2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0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0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0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1:41" ht="15" x14ac:dyDescent="0.2">
      <c r="A86" s="120"/>
      <c r="B86" s="120" t="s">
        <v>183</v>
      </c>
      <c r="C86" s="116" t="s">
        <v>274</v>
      </c>
      <c r="D86" s="135">
        <v>6</v>
      </c>
      <c r="E86" s="134">
        <f t="shared" si="1"/>
        <v>9</v>
      </c>
      <c r="F86" s="123">
        <f>WORKDAY(F85,E86,Holiday!A82:A111)</f>
        <v>46190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1</v>
      </c>
      <c r="L86" s="113">
        <f>IF(OR(AND($F85&lt;=L$3, $F86 &gt;= L$3), AND($F86&lt;L$3, WORKDAY($F86, 22,Holiday!$A$1:$A$30)&gt;L$3)), 1, 0)+IF(AND((L$3-$B$2)&gt;=0,(L$3-$B$2)&lt;30), 2,0)</f>
        <v>3</v>
      </c>
      <c r="M86" s="113">
        <f>IF(OR(AND($F85&lt;=M$3, $F86 &gt;= M$3), AND($F86&lt;M$3, WORKDAY($F86, 22,Holiday!$A$1:$A$30)&gt;M$3)), 1, 0)+IF(AND((M$3-$B$2)&gt;=0,(M$3-$B$2)&lt;30), 2,0)</f>
        <v>0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0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0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0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1:41" ht="15" x14ac:dyDescent="0.2">
      <c r="A87" s="120"/>
      <c r="B87" s="120" t="s">
        <v>177</v>
      </c>
      <c r="C87" s="116" t="s">
        <v>275</v>
      </c>
      <c r="D87" s="135">
        <v>6</v>
      </c>
      <c r="E87" s="134">
        <f t="shared" si="1"/>
        <v>9</v>
      </c>
      <c r="F87" s="123">
        <f>WORKDAY(F4,E87,Holiday!A83:A112)</f>
        <v>46064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1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2</v>
      </c>
      <c r="M87" s="113">
        <f>IF(OR(AND($F86&lt;=M$3, $F87 &gt;= M$3), AND($F87&lt;M$3, WORKDAY($F87, 22,Holiday!$A$1:$A$30)&gt;M$3)), 1, 0)+IF(AND((M$3-$B$2)&gt;=0,(M$3-$B$2)&lt;30), 2,0)</f>
        <v>0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0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0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0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1:41" ht="15" x14ac:dyDescent="0.2">
      <c r="A88" s="120"/>
      <c r="B88" s="120" t="s">
        <v>176</v>
      </c>
      <c r="C88" s="116" t="s">
        <v>275</v>
      </c>
      <c r="D88" s="135">
        <v>6</v>
      </c>
      <c r="E88" s="134">
        <f t="shared" si="1"/>
        <v>9</v>
      </c>
      <c r="F88" s="123">
        <f>WORKDAY(F87,E88,Holiday!A84:A113)</f>
        <v>46077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1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2</v>
      </c>
      <c r="M88" s="113">
        <f>IF(OR(AND($F87&lt;=M$3, $F88 &gt;= M$3), AND($F88&lt;M$3, WORKDAY($F88, 22,Holiday!$A$1:$A$30)&gt;M$3)), 1, 0)+IF(AND((M$3-$B$2)&gt;=0,(M$3-$B$2)&lt;30), 2,0)</f>
        <v>0</v>
      </c>
      <c r="N88" s="113">
        <f>IF(OR(AND($F87&lt;=N$3, $F88 &gt;= N$3), AND($F88&lt;N$3, WORKDAY($F88, 22,Holiday!$A$1:$A$30)&gt;N$3)), 1, 0)+IF(AND((N$3-$B$2)&gt;=0,(N$3-$B$2)&lt;30), 2,0)</f>
        <v>0</v>
      </c>
      <c r="O88" s="113">
        <f>IF(OR(AND($F87&lt;=O$3, $F88 &gt;= O$3), AND($F88&lt;O$3, WORKDAY($F88, 22,Holiday!$A$1:$A$30)&gt;O$3)), 1, 0)+IF(AND((O$3-$B$2)&gt;=0,(O$3-$B$2)&lt;30), 2,0)</f>
        <v>0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0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1:41" ht="15" x14ac:dyDescent="0.2">
      <c r="A89" s="120"/>
      <c r="B89" s="120" t="s">
        <v>167</v>
      </c>
      <c r="C89" s="116" t="s">
        <v>275</v>
      </c>
      <c r="D89" s="135">
        <v>6</v>
      </c>
      <c r="E89" s="134">
        <f t="shared" si="1"/>
        <v>9</v>
      </c>
      <c r="F89" s="123">
        <f>WORKDAY(F88,E89,Holiday!A85:A114)</f>
        <v>46090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1</v>
      </c>
      <c r="I89" s="113">
        <f>IF(OR(AND($F88&lt;=I$3, $F89 &gt;= I$3), AND($F89&lt;I$3, WORKDAY($F89, 22,Holiday!$A$1:$A$30)&gt;I$3)), 1, 0)+IF(AND((I$3-$B$2)&gt;=0,(I$3-$B$2)&lt;30), 2,0)</f>
        <v>1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2</v>
      </c>
      <c r="M89" s="113">
        <f>IF(OR(AND($F88&lt;=M$3, $F89 &gt;= M$3), AND($F89&lt;M$3, WORKDAY($F89, 22,Holiday!$A$1:$A$30)&gt;M$3)), 1, 0)+IF(AND((M$3-$B$2)&gt;=0,(M$3-$B$2)&lt;30), 2,0)</f>
        <v>0</v>
      </c>
      <c r="N89" s="113">
        <f>IF(OR(AND($F88&lt;=N$3, $F89 &gt;= N$3), AND($F89&lt;N$3, WORKDAY($F89, 22,Holiday!$A$1:$A$30)&gt;N$3)), 1, 0)+IF(AND((N$3-$B$2)&gt;=0,(N$3-$B$2)&lt;30), 2,0)</f>
        <v>0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0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1:41" ht="15" x14ac:dyDescent="0.2">
      <c r="A90" s="120"/>
      <c r="B90" s="120" t="s">
        <v>185</v>
      </c>
      <c r="C90" s="116" t="s">
        <v>275</v>
      </c>
      <c r="D90" s="135">
        <v>6</v>
      </c>
      <c r="E90" s="134">
        <f t="shared" si="1"/>
        <v>9</v>
      </c>
      <c r="F90" s="123">
        <f>WORKDAY(F89,E90,Holiday!A86:A115)</f>
        <v>46101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1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2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0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0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1:41" ht="15" x14ac:dyDescent="0.2">
      <c r="A91" s="120"/>
      <c r="B91" s="120" t="s">
        <v>148</v>
      </c>
      <c r="C91" s="116" t="s">
        <v>275</v>
      </c>
      <c r="D91" s="135">
        <v>6</v>
      </c>
      <c r="E91" s="134">
        <f t="shared" si="1"/>
        <v>9</v>
      </c>
      <c r="F91" s="123">
        <f>WORKDAY(F90,E91,Holiday!A87:A116)</f>
        <v>46114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1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2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0</v>
      </c>
      <c r="O91" s="113">
        <f>IF(OR(AND($F90&lt;=O$3, $F91 &gt;= O$3), AND($F91&lt;O$3, WORKDAY($F91, 22,Holiday!$A$1:$A$30)&gt;O$3)), 1, 0)+IF(AND((O$3-$B$2)&gt;=0,(O$3-$B$2)&lt;30), 2,0)</f>
        <v>0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0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1:41" ht="15" x14ac:dyDescent="0.2">
      <c r="A92" s="120"/>
      <c r="B92" s="120" t="s">
        <v>147</v>
      </c>
      <c r="C92" s="116" t="s">
        <v>275</v>
      </c>
      <c r="D92" s="135">
        <v>6</v>
      </c>
      <c r="E92" s="134">
        <f t="shared" si="1"/>
        <v>9</v>
      </c>
      <c r="F92" s="123">
        <f>WORKDAY(F91,E92,Holiday!A88:A117)</f>
        <v>46127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1</v>
      </c>
      <c r="J92" s="113">
        <f>IF(OR(AND($F91&lt;=J$3, $F92 &gt;= J$3), AND($F92&lt;J$3, WORKDAY($F92, 22,Holiday!$A$1:$A$30)&gt;J$3)), 1, 0)+IF(AND((J$3-$B$2)&gt;=0,(J$3-$B$2)&lt;30), 2,0)</f>
        <v>1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2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0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0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1:41" ht="15" x14ac:dyDescent="0.2">
      <c r="A93" s="120"/>
      <c r="B93" s="120" t="s">
        <v>151</v>
      </c>
      <c r="C93" s="116" t="s">
        <v>275</v>
      </c>
      <c r="D93" s="135">
        <v>6</v>
      </c>
      <c r="E93" s="134">
        <f t="shared" si="1"/>
        <v>9</v>
      </c>
      <c r="F93" s="123">
        <f>WORKDAY(F92,E93,Holiday!A89:A118)</f>
        <v>46140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1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2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0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0</v>
      </c>
      <c r="R93" s="113">
        <f>IF(OR(AND($F92&lt;=R$3, $F93 &gt;= R$3), AND($F93&lt;R$3, WORKDAY($F93, 22,Holiday!$A$1:$A$30)&gt;R$3)), 1, 0)+IF(AND((R$3-$B$2)&gt;=0,(R$3-$B$2)&lt;30), 2,0)</f>
        <v>0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1:41" ht="15" x14ac:dyDescent="0.2">
      <c r="A94" s="120"/>
      <c r="B94" s="120" t="s">
        <v>154</v>
      </c>
      <c r="C94" s="116" t="s">
        <v>275</v>
      </c>
      <c r="D94" s="135">
        <v>6</v>
      </c>
      <c r="E94" s="134">
        <f t="shared" si="1"/>
        <v>9</v>
      </c>
      <c r="F94" s="123">
        <f>WORKDAY(F93,E94,Holiday!A90:A119)</f>
        <v>46153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1</v>
      </c>
      <c r="K94" s="113">
        <f>IF(OR(AND($F93&lt;=K$3, $F94 &gt;= K$3), AND($F94&lt;K$3, WORKDAY($F94, 22,Holiday!$A$1:$A$30)&gt;K$3)), 1, 0)+IF(AND((K$3-$B$2)&gt;=0,(K$3-$B$2)&lt;30), 2,0)</f>
        <v>1</v>
      </c>
      <c r="L94" s="113">
        <f>IF(OR(AND($F93&lt;=L$3, $F94 &gt;= L$3), AND($F94&lt;L$3, WORKDAY($F94, 22,Holiday!$A$1:$A$30)&gt;L$3)), 1, 0)+IF(AND((L$3-$B$2)&gt;=0,(L$3-$B$2)&lt;30), 2,0)</f>
        <v>2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0</v>
      </c>
      <c r="P94" s="113">
        <f>IF(OR(AND($F93&lt;=P$3, $F94 &gt;= P$3), AND($F94&lt;P$3, WORKDAY($F94, 22,Holiday!$A$1:$A$30)&gt;P$3)), 1, 0)+IF(AND((P$3-$B$2)&gt;=0,(P$3-$B$2)&lt;30), 2,0)</f>
        <v>0</v>
      </c>
      <c r="Q94" s="113">
        <f>IF(OR(AND($F93&lt;=Q$3, $F94 &gt;= Q$3), AND($F94&lt;Q$3, WORKDAY($F94, 22,Holiday!$A$1:$A$30)&gt;Q$3)), 1, 0)+IF(AND((Q$3-$B$2)&gt;=0,(Q$3-$B$2)&lt;30), 2,0)</f>
        <v>0</v>
      </c>
      <c r="R94" s="113">
        <f>IF(OR(AND($F93&lt;=R$3, $F94 &gt;= R$3), AND($F94&lt;R$3, WORKDAY($F94, 22,Holiday!$A$1:$A$30)&gt;R$3)), 1, 0)+IF(AND((R$3-$B$2)&gt;=0,(R$3-$B$2)&lt;30), 2,0)</f>
        <v>0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1:41" ht="15" x14ac:dyDescent="0.2">
      <c r="A95" s="120"/>
      <c r="B95" s="120" t="s">
        <v>153</v>
      </c>
      <c r="C95" s="116" t="s">
        <v>275</v>
      </c>
      <c r="D95" s="135">
        <v>6</v>
      </c>
      <c r="E95" s="134">
        <f t="shared" si="1"/>
        <v>9</v>
      </c>
      <c r="F95" s="123">
        <f>WORKDAY(F94,E95,Holiday!A91:A120)</f>
        <v>46164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1</v>
      </c>
      <c r="L95" s="113">
        <f>IF(OR(AND($F94&lt;=L$3, $F95 &gt;= L$3), AND($F95&lt;L$3, WORKDAY($F95, 22,Holiday!$A$1:$A$30)&gt;L$3)), 1, 0)+IF(AND((L$3-$B$2)&gt;=0,(L$3-$B$2)&lt;30), 2,0)</f>
        <v>2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0</v>
      </c>
      <c r="Q95" s="113">
        <f>IF(OR(AND($F94&lt;=Q$3, $F95 &gt;= Q$3), AND($F95&lt;Q$3, WORKDAY($F95, 22,Holiday!$A$1:$A$30)&gt;Q$3)), 1, 0)+IF(AND((Q$3-$B$2)&gt;=0,(Q$3-$B$2)&lt;30), 2,0)</f>
        <v>0</v>
      </c>
      <c r="R95" s="113">
        <f>IF(OR(AND($F94&lt;=R$3, $F95 &gt;= R$3), AND($F95&lt;R$3, WORKDAY($F95, 22,Holiday!$A$1:$A$30)&gt;R$3)), 1, 0)+IF(AND((R$3-$B$2)&gt;=0,(R$3-$B$2)&lt;30), 2,0)</f>
        <v>0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1:41" ht="15" x14ac:dyDescent="0.2">
      <c r="A96" s="120"/>
      <c r="B96" s="120" t="s">
        <v>149</v>
      </c>
      <c r="C96" s="116" t="s">
        <v>275</v>
      </c>
      <c r="D96" s="135">
        <v>6</v>
      </c>
      <c r="E96" s="134">
        <f t="shared" si="1"/>
        <v>9</v>
      </c>
      <c r="F96" s="123">
        <f>WORKDAY(F95,E96,Holiday!A92:A121)</f>
        <v>46177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1</v>
      </c>
      <c r="L96" s="113">
        <f>IF(OR(AND($F95&lt;=L$3, $F96 &gt;= L$3), AND($F96&lt;L$3, WORKDAY($F96, 22,Holiday!$A$1:$A$30)&gt;L$3)), 1, 0)+IF(AND((L$3-$B$2)&gt;=0,(L$3-$B$2)&lt;30), 2,0)</f>
        <v>2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0</v>
      </c>
      <c r="P96" s="113">
        <f>IF(OR(AND($F95&lt;=P$3, $F96 &gt;= P$3), AND($F96&lt;P$3, WORKDAY($F96, 22,Holiday!$A$1:$A$30)&gt;P$3)), 1, 0)+IF(AND((P$3-$B$2)&gt;=0,(P$3-$B$2)&lt;30), 2,0)</f>
        <v>0</v>
      </c>
      <c r="Q96" s="113">
        <f>IF(OR(AND($F95&lt;=Q$3, $F96 &gt;= Q$3), AND($F96&lt;Q$3, WORKDAY($F96, 22,Holiday!$A$1:$A$30)&gt;Q$3)), 1, 0)+IF(AND((Q$3-$B$2)&gt;=0,(Q$3-$B$2)&lt;30), 2,0)</f>
        <v>0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1:41" ht="15" x14ac:dyDescent="0.2">
      <c r="A97" s="120"/>
      <c r="B97" s="120" t="s">
        <v>152</v>
      </c>
      <c r="C97" s="116" t="s">
        <v>275</v>
      </c>
      <c r="D97" s="135">
        <v>6</v>
      </c>
      <c r="E97" s="134">
        <f t="shared" si="1"/>
        <v>9</v>
      </c>
      <c r="F97" s="123">
        <f>WORKDAY(F96,E97,Holiday!A93:A122)</f>
        <v>46190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1</v>
      </c>
      <c r="L97" s="113">
        <f>IF(OR(AND($F96&lt;=L$3, $F97 &gt;= L$3), AND($F97&lt;L$3, WORKDAY($F97, 22,Holiday!$A$1:$A$30)&gt;L$3)), 1, 0)+IF(AND((L$3-$B$2)&gt;=0,(L$3-$B$2)&lt;30), 2,0)</f>
        <v>3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0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0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1:41" ht="15" x14ac:dyDescent="0.2">
      <c r="A98" s="120"/>
      <c r="B98" s="120" t="s">
        <v>150</v>
      </c>
      <c r="C98" s="116" t="s">
        <v>276</v>
      </c>
      <c r="D98" s="135">
        <v>6</v>
      </c>
      <c r="E98" s="134">
        <f t="shared" si="1"/>
        <v>9</v>
      </c>
      <c r="F98" s="123">
        <f>WORKDAY(F4,E98,Holiday!A94:A123)</f>
        <v>46064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1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2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0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0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1:41" ht="15" x14ac:dyDescent="0.2">
      <c r="A99" s="120"/>
      <c r="B99" s="120" t="s">
        <v>162</v>
      </c>
      <c r="C99" s="116" t="s">
        <v>276</v>
      </c>
      <c r="D99" s="135">
        <v>6</v>
      </c>
      <c r="E99" s="134">
        <f t="shared" si="1"/>
        <v>9</v>
      </c>
      <c r="F99" s="123">
        <f>WORKDAY(F98,E99,Holiday!A95:A124)</f>
        <v>46077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1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2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0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0</v>
      </c>
      <c r="R99" s="113">
        <f>IF(OR(AND($F98&lt;=R$3, $F99 &gt;= R$3), AND($F99&lt;R$3, WORKDAY($F99, 22,Holiday!$A$1:$A$30)&gt;R$3)), 1, 0)+IF(AND((R$3-$B$2)&gt;=0,(R$3-$B$2)&lt;30), 2,0)</f>
        <v>0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1:41" ht="15" x14ac:dyDescent="0.2">
      <c r="A100" s="120"/>
      <c r="B100" s="120" t="s">
        <v>196</v>
      </c>
      <c r="C100" s="116" t="s">
        <v>276</v>
      </c>
      <c r="D100" s="135">
        <v>10</v>
      </c>
      <c r="E100" s="134">
        <f t="shared" si="1"/>
        <v>15</v>
      </c>
      <c r="F100" s="123">
        <f>WORKDAY(F99,E100,Holiday!A96:A125)</f>
        <v>46098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1</v>
      </c>
      <c r="I100" s="113">
        <f>IF(OR(AND($F99&lt;=I$3, $F100 &gt;= I$3), AND($F100&lt;I$3, WORKDAY($F100, 22,Holiday!$A$1:$A$30)&gt;I$3)), 1, 0)+IF(AND((I$3-$B$2)&gt;=0,(I$3-$B$2)&lt;30), 2,0)</f>
        <v>1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2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0</v>
      </c>
      <c r="R100" s="113">
        <f>IF(OR(AND($F99&lt;=R$3, $F100 &gt;= R$3), AND($F100&lt;R$3, WORKDAY($F100, 22,Holiday!$A$1:$A$30)&gt;R$3)), 1, 0)+IF(AND((R$3-$B$2)&gt;=0,(R$3-$B$2)&lt;30), 2,0)</f>
        <v>0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1:41" ht="15" x14ac:dyDescent="0.2">
      <c r="A101" s="120"/>
      <c r="B101" s="120" t="s">
        <v>116</v>
      </c>
      <c r="C101" s="116" t="s">
        <v>276</v>
      </c>
      <c r="D101" s="135">
        <v>10</v>
      </c>
      <c r="E101" s="134">
        <f t="shared" si="1"/>
        <v>15</v>
      </c>
      <c r="F101" s="123">
        <f>WORKDAY(F100,E101,Holiday!A97:A126)</f>
        <v>46119</v>
      </c>
      <c r="G101" s="113">
        <f>IF(OR(AND($F100&lt;=G$3, $F101 &gt;= G$3), AND($F101&lt;G$3, WORKDAY($F101, 22,Holiday!$A$1:$A$30)&gt;G$3)), 1, 0)+IF(AND((G$3-$B$2)&gt;=0,(G$3-$B$2)&lt;30), 2,0)</f>
        <v>0</v>
      </c>
      <c r="H101" s="113">
        <f>IF(OR(AND($F100&lt;=H$3, $F101 &gt;= H$3), AND($F101&lt;H$3, WORKDAY($F101, 22,Holiday!$A$1:$A$30)&gt;H$3)), 1, 0)+IF(AND((H$3-$B$2)&gt;=0,(H$3-$B$2)&lt;30), 2,0)</f>
        <v>0</v>
      </c>
      <c r="I101" s="113">
        <f>IF(OR(AND($F100&lt;=I$3, $F101 &gt;= I$3), AND($F101&lt;I$3, WORKDAY($F101, 22,Holiday!$A$1:$A$30)&gt;I$3)), 1, 0)+IF(AND((I$3-$B$2)&gt;=0,(I$3-$B$2)&lt;30), 2,0)</f>
        <v>1</v>
      </c>
      <c r="J101" s="113">
        <f>IF(OR(AND($F100&lt;=J$3, $F101 &gt;= J$3), AND($F101&lt;J$3, WORKDAY($F101, 22,Holiday!$A$1:$A$30)&gt;J$3)), 1, 0)+IF(AND((J$3-$B$2)&gt;=0,(J$3-$B$2)&lt;30), 2,0)</f>
        <v>1</v>
      </c>
      <c r="K101" s="113">
        <f>IF(OR(AND($F100&lt;=K$3, $F101 &gt;= K$3), AND($F101&lt;K$3, WORKDAY($F101, 22,Holiday!$A$1:$A$30)&gt;K$3)), 1, 0)+IF(AND((K$3-$B$2)&gt;=0,(K$3-$B$2)&lt;30), 2,0)</f>
        <v>0</v>
      </c>
      <c r="L101" s="113">
        <f>IF(OR(AND($F100&lt;=L$3, $F101 &gt;= L$3), AND($F101&lt;L$3, WORKDAY($F101, 22,Holiday!$A$1:$A$30)&gt;L$3)), 1, 0)+IF(AND((L$3-$B$2)&gt;=0,(L$3-$B$2)&lt;30), 2,0)</f>
        <v>2</v>
      </c>
      <c r="M101" s="113">
        <f>IF(OR(AND($F100&lt;=M$3, $F101 &gt;= M$3), AND($F101&lt;M$3, WORKDAY($F101, 22,Holiday!$A$1:$A$30)&gt;M$3)), 1, 0)+IF(AND((M$3-$B$2)&gt;=0,(M$3-$B$2)&lt;30), 2,0)</f>
        <v>0</v>
      </c>
      <c r="N101" s="113">
        <f>IF(OR(AND($F100&lt;=N$3, $F101 &gt;= N$3), AND($F101&lt;N$3, WORKDAY($F101, 22,Holiday!$A$1:$A$30)&gt;N$3)), 1, 0)+IF(AND((N$3-$B$2)&gt;=0,(N$3-$B$2)&lt;30), 2,0)</f>
        <v>0</v>
      </c>
      <c r="O101" s="113">
        <f>IF(OR(AND($F100&lt;=O$3, $F101 &gt;= O$3), AND($F101&lt;O$3, WORKDAY($F101, 22,Holiday!$A$1:$A$30)&gt;O$3)), 1, 0)+IF(AND((O$3-$B$2)&gt;=0,(O$3-$B$2)&lt;30), 2,0)</f>
        <v>0</v>
      </c>
      <c r="P101" s="113">
        <f>IF(OR(AND($F100&lt;=P$3, $F101 &gt;= P$3), AND($F101&lt;P$3, WORKDAY($F101, 22,Holiday!$A$1:$A$30)&gt;P$3)), 1, 0)+IF(AND((P$3-$B$2)&gt;=0,(P$3-$B$2)&lt;30), 2,0)</f>
        <v>0</v>
      </c>
      <c r="Q101" s="113">
        <f>IF(OR(AND($F100&lt;=Q$3, $F101 &gt;= Q$3), AND($F101&lt;Q$3, WORKDAY($F101, 22,Holiday!$A$1:$A$30)&gt;Q$3)), 1, 0)+IF(AND((Q$3-$B$2)&gt;=0,(Q$3-$B$2)&lt;30), 2,0)</f>
        <v>0</v>
      </c>
      <c r="R101" s="113">
        <f>IF(OR(AND($F100&lt;=R$3, $F101 &gt;= R$3), AND($F101&lt;R$3, WORKDAY($F101, 22,Holiday!$A$1:$A$30)&gt;R$3)), 1, 0)+IF(AND((R$3-$B$2)&gt;=0,(R$3-$B$2)&lt;30), 2,0)</f>
        <v>0</v>
      </c>
      <c r="S101" s="113">
        <f>IF(OR(AND($F100&lt;=S$3, $F101 &gt;= S$3), AND($F101&lt;S$3, WORKDAY($F101, 22,Holiday!$A$1:$A$30)&gt;S$3)), 1, 0)+IF(AND((S$3-$B$2)&gt;=0,(S$3-$B$2)&lt;30), 2,0)</f>
        <v>0</v>
      </c>
      <c r="T101" s="113">
        <f>IF(OR(AND($F100&lt;=T$3, $F101 &gt;= T$3), AND($F101&lt;T$3, WORKDAY($F101, 22,Holiday!$A$1:$A$30)&gt;T$3)), 1, 0)+IF(AND((T$3-$B$2)&gt;=0,(T$3-$B$2)&lt;30), 2,0)</f>
        <v>0</v>
      </c>
      <c r="U101" s="113">
        <f>IF(OR(AND($F100&lt;=U$3, $F101 &gt;= U$3), AND($F101&lt;U$3, WORKDAY($F101, 22,Holiday!$A$1:$A$30)&gt;U$3)), 1, 0)+IF(AND((U$3-$B$2)&gt;=0,(U$3-$B$2)&lt;30), 2,0)</f>
        <v>0</v>
      </c>
      <c r="V101" s="113">
        <f>IF(OR(AND($F100&lt;=V$3, $F101 &gt;= V$3), AND($F101&lt;V$3, WORKDAY($F101, 22,Holiday!$A$1:$A$30)&gt;V$3)), 1, 0)+IF(AND((V$3-$B$2)&gt;=0,(V$3-$B$2)&lt;30), 2,0)</f>
        <v>0</v>
      </c>
      <c r="W101" s="113">
        <f>IF(OR(AND($F100&lt;=W$3, $F101 &gt;= W$3), AND($F101&lt;W$3, WORKDAY($F101, 22,Holiday!$A$1:$A$30)&gt;W$3)), 1, 0)+IF(AND((W$3-$B$2)&gt;=0,(W$3-$B$2)&lt;30), 2,0)</f>
        <v>0</v>
      </c>
      <c r="X101" s="113">
        <f>IF(OR(AND($F100&lt;=X$3, $F101 &gt;= X$3), AND($F101&lt;X$3, WORKDAY($F101, 22,Holiday!$A$1:$A$30)&gt;X$3)), 1, 0)+IF(AND((X$3-$B$2)&gt;=0,(X$3-$B$2)&lt;30), 2,0)</f>
        <v>0</v>
      </c>
      <c r="Y101" s="113">
        <f>IF(OR(AND($F100&lt;=Y$3, $F101 &gt;= Y$3), AND($F101&lt;Y$3, WORKDAY($F101, 22,Holiday!$A$1:$A$30)&gt;Y$3)), 1, 0)+IF(AND((Y$3-$B$2)&gt;=0,(Y$3-$B$2)&lt;30), 2,0)</f>
        <v>0</v>
      </c>
      <c r="Z101" s="113">
        <f>IF(OR(AND($F100&lt;=Z$3, $F101 &gt;= Z$3), AND($F101&lt;Z$3, WORKDAY($F101, 22,Holiday!$A$1:$A$30)&gt;Z$3)), 1, 0)+IF(AND((Z$3-$B$2)&gt;=0,(Z$3-$B$2)&lt;30), 2,0)</f>
        <v>0</v>
      </c>
      <c r="AA101" s="113">
        <f>IF(OR(AND($F100&lt;=AA$3, $F101 &gt;= AA$3), AND($F101&lt;AA$3, WORKDAY($F101, 22,Holiday!$A$1:$A$30)&gt;AA$3)), 1, 0)+IF(AND((AA$3-$B$2)&gt;=0,(AA$3-$B$2)&lt;30), 2,0)</f>
        <v>0</v>
      </c>
      <c r="AB101" s="113">
        <f>IF(OR(AND($F100&lt;=AB$3, $F101 &gt;= AB$3), AND($F101&lt;AB$3, WORKDAY($F101, 22,Holiday!$A$1:$A$30)&gt;AB$3)), 1, 0)+IF(AND((AB$3-$B$2)&gt;=0,(AB$3-$B$2)&lt;30), 2,0)</f>
        <v>0</v>
      </c>
      <c r="AC101" s="113">
        <f>IF(OR(AND($F100&lt;=AC$3, $F101 &gt;= AC$3), AND($F101&lt;AC$3, WORKDAY($F101, 22,Holiday!$A$1:$A$30)&gt;AC$3)), 1, 0)+IF(AND((AC$3-$B$2)&gt;=0,(AC$3-$B$2)&lt;30), 2,0)</f>
        <v>0</v>
      </c>
      <c r="AD101" s="113">
        <f>IF(OR(AND($F100&lt;=AD$3, $F101 &gt;= AD$3), AND($F101&lt;AD$3, WORKDAY($F101, 22,Holiday!$A$1:$A$30)&gt;AD$3)), 1, 0)+IF(AND((AD$3-$B$2)&gt;=0,(AD$3-$B$2)&lt;30), 2,0)</f>
        <v>0</v>
      </c>
      <c r="AE101" s="113">
        <f>IF(OR(AND($F100&lt;=AE$3, $F101 &gt;= AE$3), AND($F101&lt;AE$3, WORKDAY($F101, 22,Holiday!$A$1:$A$30)&gt;AE$3)), 1, 0)+IF(AND((AE$3-$B$2)&gt;=0,(AE$3-$B$2)&lt;30), 2,0)</f>
        <v>0</v>
      </c>
      <c r="AF101" s="113">
        <f>IF(OR(AND($F100&lt;=AF$3, $F101 &gt;= AF$3), AND($F101&lt;AF$3, WORKDAY($F101, 22,Holiday!$A$1:$A$30)&gt;AF$3)), 1, 0)+IF(AND((AF$3-$B$2)&gt;=0,(AF$3-$B$2)&lt;30), 2,0)</f>
        <v>0</v>
      </c>
      <c r="AG101" s="113">
        <f>IF(OR(AND($F100&lt;=AG$3, $F101 &gt;= AG$3), AND($F101&lt;AG$3, WORKDAY($F101, 22,Holiday!$A$1:$A$30)&gt;AG$3)), 1, 0)+IF(AND((AG$3-$B$2)&gt;=0,(AG$3-$B$2)&lt;30), 2,0)</f>
        <v>0</v>
      </c>
      <c r="AH101" s="113">
        <f>IF(OR(AND($F100&lt;=AH$3, $F101 &gt;= AH$3), AND($F101&lt;AH$3, WORKDAY($F101, 22,Holiday!$A$1:$A$30)&gt;AH$3)), 1, 0)+IF(AND((AH$3-$B$2)&gt;=0,(AH$3-$B$2)&lt;30), 2,0)</f>
        <v>0</v>
      </c>
      <c r="AI101" s="113">
        <f>IF(OR(AND($F100&lt;=AI$3, $F101 &gt;= AI$3), AND($F101&lt;AI$3, WORKDAY($F101, 22,Holiday!$A$1:$A$30)&gt;AI$3)), 1, 0)+IF(AND((AI$3-$B$2)&gt;=0,(AI$3-$B$2)&lt;30), 2,0)</f>
        <v>0</v>
      </c>
      <c r="AJ101" s="113">
        <f>IF(OR(AND($F100&lt;=AJ$3, $F101 &gt;= AJ$3), AND($F101&lt;AJ$3, WORKDAY($F101, 22,Holiday!$A$1:$A$30)&gt;AJ$3)), 1, 0)+IF(AND((AJ$3-$B$2)&gt;=0,(AJ$3-$B$2)&lt;30), 2,0)</f>
        <v>0</v>
      </c>
      <c r="AK101" s="113">
        <f>IF(OR(AND($F100&lt;=AK$3, $F101 &gt;= AK$3), AND($F101&lt;AK$3, WORKDAY($F101, 22,Holiday!$A$1:$A$30)&gt;AK$3)), 1, 0)+IF(AND((AK$3-$B$2)&gt;=0,(AK$3-$B$2)&lt;30), 2,0)</f>
        <v>0</v>
      </c>
      <c r="AL101" s="113">
        <f>IF(OR(AND($F100&lt;=AL$3, $F101 &gt;= AL$3), AND($F101&lt;AL$3, WORKDAY($F101, 22,Holiday!$A$1:$A$30)&gt;AL$3)), 1, 0)+IF(AND((AL$3-$B$2)&gt;=0,(AL$3-$B$2)&lt;30), 2,0)</f>
        <v>0</v>
      </c>
      <c r="AM101" s="113">
        <f>IF(OR(AND($F100&lt;=AM$3, $F101 &gt;= AM$3), AND($F101&lt;AM$3, WORKDAY($F101, 22,Holiday!$A$1:$A$30)&gt;AM$3)), 1, 0)+IF(AND((AM$3-$B$2)&gt;=0,(AM$3-$B$2)&lt;30), 2,0)</f>
        <v>0</v>
      </c>
      <c r="AN101" s="113">
        <f>IF(OR(AND($F100&lt;=AN$3, $F101 &gt;= AN$3), AND($F101&lt;AN$3, WORKDAY($F101, 22,Holiday!$A$1:$A$30)&gt;AN$3)), 1, 0)+IF(AND((AN$3-$B$2)&gt;=0,(AN$3-$B$2)&lt;30), 2,0)</f>
        <v>0</v>
      </c>
      <c r="AO101" s="113">
        <f>IF(OR(AND($F100&lt;=AO$3, $F101 &gt;= AO$3), AND($F101&lt;AO$3, WORKDAY($F101, 22,Holiday!$A$1:$A$30)&gt;AO$3)), 1, 0)+IF(AND((AO$3-$B$2)&gt;=0,(AO$3-$B$2)&lt;30), 2,0)</f>
        <v>0</v>
      </c>
    </row>
    <row r="102" spans="1:41" ht="15" x14ac:dyDescent="0.2">
      <c r="A102" s="120"/>
      <c r="B102" s="120" t="s">
        <v>213</v>
      </c>
      <c r="C102" s="116" t="s">
        <v>276</v>
      </c>
      <c r="D102" s="135">
        <v>10</v>
      </c>
      <c r="E102" s="134">
        <f t="shared" si="1"/>
        <v>15</v>
      </c>
      <c r="F102" s="123">
        <f>WORKDAY(F101,E102,Holiday!A98:A127)</f>
        <v>46140</v>
      </c>
      <c r="G102" s="113">
        <f>IF(OR(AND($F101&lt;=G$3, $F102 &gt;= G$3), AND($F102&lt;G$3, WORKDAY($F102, 22,Holiday!$A$1:$A$30)&gt;G$3)), 1, 0)+IF(AND((G$3-$B$2)&gt;=0,(G$3-$B$2)&lt;30), 2,0)</f>
        <v>0</v>
      </c>
      <c r="H102" s="113">
        <f>IF(OR(AND($F101&lt;=H$3, $F102 &gt;= H$3), AND($F102&lt;H$3, WORKDAY($F102, 22,Holiday!$A$1:$A$30)&gt;H$3)), 1, 0)+IF(AND((H$3-$B$2)&gt;=0,(H$3-$B$2)&lt;30), 2,0)</f>
        <v>0</v>
      </c>
      <c r="I102" s="113">
        <f>IF(OR(AND($F101&lt;=I$3, $F102 &gt;= I$3), AND($F102&lt;I$3, WORKDAY($F102, 22,Holiday!$A$1:$A$30)&gt;I$3)), 1, 0)+IF(AND((I$3-$B$2)&gt;=0,(I$3-$B$2)&lt;30), 2,0)</f>
        <v>0</v>
      </c>
      <c r="J102" s="113">
        <f>IF(OR(AND($F101&lt;=J$3, $F102 &gt;= J$3), AND($F102&lt;J$3, WORKDAY($F102, 22,Holiday!$A$1:$A$30)&gt;J$3)), 1, 0)+IF(AND((J$3-$B$2)&gt;=0,(J$3-$B$2)&lt;30), 2,0)</f>
        <v>1</v>
      </c>
      <c r="K102" s="113">
        <f>IF(OR(AND($F101&lt;=K$3, $F102 &gt;= K$3), AND($F102&lt;K$3, WORKDAY($F102, 22,Holiday!$A$1:$A$30)&gt;K$3)), 1, 0)+IF(AND((K$3-$B$2)&gt;=0,(K$3-$B$2)&lt;30), 2,0)</f>
        <v>0</v>
      </c>
      <c r="L102" s="113">
        <f>IF(OR(AND($F101&lt;=L$3, $F102 &gt;= L$3), AND($F102&lt;L$3, WORKDAY($F102, 22,Holiday!$A$1:$A$30)&gt;L$3)), 1, 0)+IF(AND((L$3-$B$2)&gt;=0,(L$3-$B$2)&lt;30), 2,0)</f>
        <v>2</v>
      </c>
      <c r="M102" s="113">
        <f>IF(OR(AND($F101&lt;=M$3, $F102 &gt;= M$3), AND($F102&lt;M$3, WORKDAY($F102, 22,Holiday!$A$1:$A$30)&gt;M$3)), 1, 0)+IF(AND((M$3-$B$2)&gt;=0,(M$3-$B$2)&lt;30), 2,0)</f>
        <v>0</v>
      </c>
      <c r="N102" s="113">
        <f>IF(OR(AND($F101&lt;=N$3, $F102 &gt;= N$3), AND($F102&lt;N$3, WORKDAY($F102, 22,Holiday!$A$1:$A$30)&gt;N$3)), 1, 0)+IF(AND((N$3-$B$2)&gt;=0,(N$3-$B$2)&lt;30), 2,0)</f>
        <v>0</v>
      </c>
      <c r="O102" s="113">
        <f>IF(OR(AND($F101&lt;=O$3, $F102 &gt;= O$3), AND($F102&lt;O$3, WORKDAY($F102, 22,Holiday!$A$1:$A$30)&gt;O$3)), 1, 0)+IF(AND((O$3-$B$2)&gt;=0,(O$3-$B$2)&lt;30), 2,0)</f>
        <v>0</v>
      </c>
      <c r="P102" s="113">
        <f>IF(OR(AND($F101&lt;=P$3, $F102 &gt;= P$3), AND($F102&lt;P$3, WORKDAY($F102, 22,Holiday!$A$1:$A$30)&gt;P$3)), 1, 0)+IF(AND((P$3-$B$2)&gt;=0,(P$3-$B$2)&lt;30), 2,0)</f>
        <v>0</v>
      </c>
      <c r="Q102" s="113">
        <f>IF(OR(AND($F101&lt;=Q$3, $F102 &gt;= Q$3), AND($F102&lt;Q$3, WORKDAY($F102, 22,Holiday!$A$1:$A$30)&gt;Q$3)), 1, 0)+IF(AND((Q$3-$B$2)&gt;=0,(Q$3-$B$2)&lt;30), 2,0)</f>
        <v>0</v>
      </c>
      <c r="R102" s="113">
        <f>IF(OR(AND($F101&lt;=R$3, $F102 &gt;= R$3), AND($F102&lt;R$3, WORKDAY($F102, 22,Holiday!$A$1:$A$30)&gt;R$3)), 1, 0)+IF(AND((R$3-$B$2)&gt;=0,(R$3-$B$2)&lt;30), 2,0)</f>
        <v>0</v>
      </c>
      <c r="S102" s="113">
        <f>IF(OR(AND($F101&lt;=S$3, $F102 &gt;= S$3), AND($F102&lt;S$3, WORKDAY($F102, 22,Holiday!$A$1:$A$30)&gt;S$3)), 1, 0)+IF(AND((S$3-$B$2)&gt;=0,(S$3-$B$2)&lt;30), 2,0)</f>
        <v>0</v>
      </c>
      <c r="T102" s="113">
        <f>IF(OR(AND($F101&lt;=T$3, $F102 &gt;= T$3), AND($F102&lt;T$3, WORKDAY($F102, 22,Holiday!$A$1:$A$30)&gt;T$3)), 1, 0)+IF(AND((T$3-$B$2)&gt;=0,(T$3-$B$2)&lt;30), 2,0)</f>
        <v>0</v>
      </c>
      <c r="U102" s="113">
        <f>IF(OR(AND($F101&lt;=U$3, $F102 &gt;= U$3), AND($F102&lt;U$3, WORKDAY($F102, 22,Holiday!$A$1:$A$30)&gt;U$3)), 1, 0)+IF(AND((U$3-$B$2)&gt;=0,(U$3-$B$2)&lt;30), 2,0)</f>
        <v>0</v>
      </c>
      <c r="V102" s="113">
        <f>IF(OR(AND($F101&lt;=V$3, $F102 &gt;= V$3), AND($F102&lt;V$3, WORKDAY($F102, 22,Holiday!$A$1:$A$30)&gt;V$3)), 1, 0)+IF(AND((V$3-$B$2)&gt;=0,(V$3-$B$2)&lt;30), 2,0)</f>
        <v>0</v>
      </c>
      <c r="W102" s="113">
        <f>IF(OR(AND($F101&lt;=W$3, $F102 &gt;= W$3), AND($F102&lt;W$3, WORKDAY($F102, 22,Holiday!$A$1:$A$30)&gt;W$3)), 1, 0)+IF(AND((W$3-$B$2)&gt;=0,(W$3-$B$2)&lt;30), 2,0)</f>
        <v>0</v>
      </c>
      <c r="X102" s="113">
        <f>IF(OR(AND($F101&lt;=X$3, $F102 &gt;= X$3), AND($F102&lt;X$3, WORKDAY($F102, 22,Holiday!$A$1:$A$30)&gt;X$3)), 1, 0)+IF(AND((X$3-$B$2)&gt;=0,(X$3-$B$2)&lt;30), 2,0)</f>
        <v>0</v>
      </c>
      <c r="Y102" s="113">
        <f>IF(OR(AND($F101&lt;=Y$3, $F102 &gt;= Y$3), AND($F102&lt;Y$3, WORKDAY($F102, 22,Holiday!$A$1:$A$30)&gt;Y$3)), 1, 0)+IF(AND((Y$3-$B$2)&gt;=0,(Y$3-$B$2)&lt;30), 2,0)</f>
        <v>0</v>
      </c>
      <c r="Z102" s="113">
        <f>IF(OR(AND($F101&lt;=Z$3, $F102 &gt;= Z$3), AND($F102&lt;Z$3, WORKDAY($F102, 22,Holiday!$A$1:$A$30)&gt;Z$3)), 1, 0)+IF(AND((Z$3-$B$2)&gt;=0,(Z$3-$B$2)&lt;30), 2,0)</f>
        <v>0</v>
      </c>
      <c r="AA102" s="113">
        <f>IF(OR(AND($F101&lt;=AA$3, $F102 &gt;= AA$3), AND($F102&lt;AA$3, WORKDAY($F102, 22,Holiday!$A$1:$A$30)&gt;AA$3)), 1, 0)+IF(AND((AA$3-$B$2)&gt;=0,(AA$3-$B$2)&lt;30), 2,0)</f>
        <v>0</v>
      </c>
      <c r="AB102" s="113">
        <f>IF(OR(AND($F101&lt;=AB$3, $F102 &gt;= AB$3), AND($F102&lt;AB$3, WORKDAY($F102, 22,Holiday!$A$1:$A$30)&gt;AB$3)), 1, 0)+IF(AND((AB$3-$B$2)&gt;=0,(AB$3-$B$2)&lt;30), 2,0)</f>
        <v>0</v>
      </c>
      <c r="AC102" s="113">
        <f>IF(OR(AND($F101&lt;=AC$3, $F102 &gt;= AC$3), AND($F102&lt;AC$3, WORKDAY($F102, 22,Holiday!$A$1:$A$30)&gt;AC$3)), 1, 0)+IF(AND((AC$3-$B$2)&gt;=0,(AC$3-$B$2)&lt;30), 2,0)</f>
        <v>0</v>
      </c>
      <c r="AD102" s="113">
        <f>IF(OR(AND($F101&lt;=AD$3, $F102 &gt;= AD$3), AND($F102&lt;AD$3, WORKDAY($F102, 22,Holiday!$A$1:$A$30)&gt;AD$3)), 1, 0)+IF(AND((AD$3-$B$2)&gt;=0,(AD$3-$B$2)&lt;30), 2,0)</f>
        <v>0</v>
      </c>
      <c r="AE102" s="113">
        <f>IF(OR(AND($F101&lt;=AE$3, $F102 &gt;= AE$3), AND($F102&lt;AE$3, WORKDAY($F102, 22,Holiday!$A$1:$A$30)&gt;AE$3)), 1, 0)+IF(AND((AE$3-$B$2)&gt;=0,(AE$3-$B$2)&lt;30), 2,0)</f>
        <v>0</v>
      </c>
      <c r="AF102" s="113">
        <f>IF(OR(AND($F101&lt;=AF$3, $F102 &gt;= AF$3), AND($F102&lt;AF$3, WORKDAY($F102, 22,Holiday!$A$1:$A$30)&gt;AF$3)), 1, 0)+IF(AND((AF$3-$B$2)&gt;=0,(AF$3-$B$2)&lt;30), 2,0)</f>
        <v>0</v>
      </c>
      <c r="AG102" s="113">
        <f>IF(OR(AND($F101&lt;=AG$3, $F102 &gt;= AG$3), AND($F102&lt;AG$3, WORKDAY($F102, 22,Holiday!$A$1:$A$30)&gt;AG$3)), 1, 0)+IF(AND((AG$3-$B$2)&gt;=0,(AG$3-$B$2)&lt;30), 2,0)</f>
        <v>0</v>
      </c>
      <c r="AH102" s="113">
        <f>IF(OR(AND($F101&lt;=AH$3, $F102 &gt;= AH$3), AND($F102&lt;AH$3, WORKDAY($F102, 22,Holiday!$A$1:$A$30)&gt;AH$3)), 1, 0)+IF(AND((AH$3-$B$2)&gt;=0,(AH$3-$B$2)&lt;30), 2,0)</f>
        <v>0</v>
      </c>
      <c r="AI102" s="113">
        <f>IF(OR(AND($F101&lt;=AI$3, $F102 &gt;= AI$3), AND($F102&lt;AI$3, WORKDAY($F102, 22,Holiday!$A$1:$A$30)&gt;AI$3)), 1, 0)+IF(AND((AI$3-$B$2)&gt;=0,(AI$3-$B$2)&lt;30), 2,0)</f>
        <v>0</v>
      </c>
      <c r="AJ102" s="113">
        <f>IF(OR(AND($F101&lt;=AJ$3, $F102 &gt;= AJ$3), AND($F102&lt;AJ$3, WORKDAY($F102, 22,Holiday!$A$1:$A$30)&gt;AJ$3)), 1, 0)+IF(AND((AJ$3-$B$2)&gt;=0,(AJ$3-$B$2)&lt;30), 2,0)</f>
        <v>0</v>
      </c>
      <c r="AK102" s="113">
        <f>IF(OR(AND($F101&lt;=AK$3, $F102 &gt;= AK$3), AND($F102&lt;AK$3, WORKDAY($F102, 22,Holiday!$A$1:$A$30)&gt;AK$3)), 1, 0)+IF(AND((AK$3-$B$2)&gt;=0,(AK$3-$B$2)&lt;30), 2,0)</f>
        <v>0</v>
      </c>
      <c r="AL102" s="113">
        <f>IF(OR(AND($F101&lt;=AL$3, $F102 &gt;= AL$3), AND($F102&lt;AL$3, WORKDAY($F102, 22,Holiday!$A$1:$A$30)&gt;AL$3)), 1, 0)+IF(AND((AL$3-$B$2)&gt;=0,(AL$3-$B$2)&lt;30), 2,0)</f>
        <v>0</v>
      </c>
      <c r="AM102" s="113">
        <f>IF(OR(AND($F101&lt;=AM$3, $F102 &gt;= AM$3), AND($F102&lt;AM$3, WORKDAY($F102, 22,Holiday!$A$1:$A$30)&gt;AM$3)), 1, 0)+IF(AND((AM$3-$B$2)&gt;=0,(AM$3-$B$2)&lt;30), 2,0)</f>
        <v>0</v>
      </c>
      <c r="AN102" s="113">
        <f>IF(OR(AND($F101&lt;=AN$3, $F102 &gt;= AN$3), AND($F102&lt;AN$3, WORKDAY($F102, 22,Holiday!$A$1:$A$30)&gt;AN$3)), 1, 0)+IF(AND((AN$3-$B$2)&gt;=0,(AN$3-$B$2)&lt;30), 2,0)</f>
        <v>0</v>
      </c>
      <c r="AO102" s="113">
        <f>IF(OR(AND($F101&lt;=AO$3, $F102 &gt;= AO$3), AND($F102&lt;AO$3, WORKDAY($F102, 22,Holiday!$A$1:$A$30)&gt;AO$3)), 1, 0)+IF(AND((AO$3-$B$2)&gt;=0,(AO$3-$B$2)&lt;30), 2,0)</f>
        <v>0</v>
      </c>
    </row>
    <row r="103" spans="1:41" ht="15" x14ac:dyDescent="0.2">
      <c r="A103" s="120"/>
      <c r="B103" s="120" t="s">
        <v>195</v>
      </c>
      <c r="C103" s="116" t="s">
        <v>276</v>
      </c>
      <c r="D103" s="135">
        <v>10</v>
      </c>
      <c r="E103" s="134">
        <f t="shared" si="1"/>
        <v>15</v>
      </c>
      <c r="F103" s="123">
        <f>WORKDAY(F102,E103,Holiday!A99:A128)</f>
        <v>46161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0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1</v>
      </c>
      <c r="K103" s="113">
        <f>IF(OR(AND($F102&lt;=K$3, $F103 &gt;= K$3), AND($F103&lt;K$3, WORKDAY($F103, 22,Holiday!$A$1:$A$30)&gt;K$3)), 1, 0)+IF(AND((K$3-$B$2)&gt;=0,(K$3-$B$2)&lt;30), 2,0)</f>
        <v>1</v>
      </c>
      <c r="L103" s="113">
        <f>IF(OR(AND($F102&lt;=L$3, $F103 &gt;= L$3), AND($F103&lt;L$3, WORKDAY($F103, 22,Holiday!$A$1:$A$30)&gt;L$3)), 1, 0)+IF(AND((L$3-$B$2)&gt;=0,(L$3-$B$2)&lt;30), 2,0)</f>
        <v>2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0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1:41" ht="12.75" x14ac:dyDescent="0.2">
      <c r="F104" s="122"/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39" type="noConversion"/>
  <conditionalFormatting sqref="G3:AO3">
    <cfRule type="expression" dxfId="27" priority="1">
      <formula>G$4&gt;1</formula>
    </cfRule>
  </conditionalFormatting>
  <conditionalFormatting sqref="G4:AO103">
    <cfRule type="cellIs" dxfId="26" priority="2" operator="greaterThan">
      <formula>1</formula>
    </cfRule>
    <cfRule type="cellIs" dxfId="25" priority="3" operator="equal">
      <formula>0</formula>
    </cfRule>
    <cfRule type="cellIs" dxfId="24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9DFE-0E25-41CD-AAF4-208096FB4B51}">
  <sheetPr>
    <tabColor rgb="FF3D85C6"/>
    <outlinePr summaryBelow="0" summaryRight="0"/>
  </sheetPr>
  <dimension ref="A1:AO45"/>
  <sheetViews>
    <sheetView showGridLines="0" topLeftCell="A28" zoomScale="89" workbookViewId="0">
      <pane xSplit="6" topLeftCell="G1" activePane="topRight" state="frozen"/>
      <selection activeCell="F41" sqref="F41"/>
      <selection pane="topRight" activeCell="F41" sqref="F41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46916</v>
      </c>
      <c r="C2" s="129">
        <v>1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SUM(E4:E45)</f>
        <v>634</v>
      </c>
      <c r="F3" s="126">
        <f>Setting!$C$2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19"/>
      <c r="B4" s="116" t="s">
        <v>79</v>
      </c>
      <c r="C4" s="116" t="s">
        <v>78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2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s="36" t="s">
        <v>80</v>
      </c>
      <c r="C5" s="112" t="s">
        <v>78</v>
      </c>
      <c r="D5" s="118">
        <v>15</v>
      </c>
      <c r="E5" s="86">
        <f>ROUNDUP(D5*(1+$D$2),0)</f>
        <v>23</v>
      </c>
      <c r="F5" s="122">
        <f>WORKDAY(F4,E5,Holiday!A1:A30)</f>
        <v>46084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2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s="36" t="s">
        <v>81</v>
      </c>
      <c r="C6" s="112" t="s">
        <v>78</v>
      </c>
      <c r="D6" s="118">
        <v>3</v>
      </c>
      <c r="E6" s="86">
        <f t="shared" ref="E6:E45" si="0">ROUNDUP(D6*(1+$D$2),0)</f>
        <v>5</v>
      </c>
      <c r="F6" s="122">
        <f>WORKDAY(F5,E6,Holiday!A2:A31)</f>
        <v>46091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2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s="36" t="s">
        <v>82</v>
      </c>
      <c r="C7" s="112" t="s">
        <v>78</v>
      </c>
      <c r="D7" s="118">
        <v>15</v>
      </c>
      <c r="E7" s="86">
        <f t="shared" si="0"/>
        <v>23</v>
      </c>
      <c r="F7" s="122">
        <f>WORKDAY(F6,E7,Holiday!A3:A32)</f>
        <v>46122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1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2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s="36" t="s">
        <v>83</v>
      </c>
      <c r="C8" s="112" t="s">
        <v>78</v>
      </c>
      <c r="D8" s="118">
        <v>3</v>
      </c>
      <c r="E8" s="86">
        <f t="shared" si="0"/>
        <v>5</v>
      </c>
      <c r="F8" s="122">
        <f>WORKDAY(F7,E8,Holiday!A4:A33)</f>
        <v>46129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0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2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s="36" t="s">
        <v>84</v>
      </c>
      <c r="C9" s="112" t="s">
        <v>78</v>
      </c>
      <c r="D9" s="118">
        <v>5</v>
      </c>
      <c r="E9" s="86">
        <f t="shared" si="0"/>
        <v>8</v>
      </c>
      <c r="F9" s="122">
        <f>WORKDAY(F8,E9,Holiday!A5:A34)</f>
        <v>46141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0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2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s="36" t="s">
        <v>85</v>
      </c>
      <c r="C10" s="112" t="s">
        <v>78</v>
      </c>
      <c r="D10" s="118">
        <v>8</v>
      </c>
      <c r="E10" s="86">
        <f t="shared" si="0"/>
        <v>12</v>
      </c>
      <c r="F10" s="122">
        <f>WORKDAY(F9,E10,Holiday!A6:A35)</f>
        <v>46157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1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2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s="36" t="s">
        <v>86</v>
      </c>
      <c r="C11" s="112" t="s">
        <v>78</v>
      </c>
      <c r="D11" s="118">
        <v>13</v>
      </c>
      <c r="E11" s="86">
        <f t="shared" si="0"/>
        <v>20</v>
      </c>
      <c r="F11" s="122">
        <f>WORKDAY(F10,E11,Holiday!A7:A36)</f>
        <v>46185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2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s="36" t="s">
        <v>87</v>
      </c>
      <c r="C12" s="112" t="s">
        <v>78</v>
      </c>
      <c r="D12" s="118">
        <v>13</v>
      </c>
      <c r="E12" s="86">
        <f t="shared" si="0"/>
        <v>20</v>
      </c>
      <c r="F12" s="122">
        <f>WORKDAY(F11,E12,Holiday!A8:A37)</f>
        <v>46213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2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s="36" t="s">
        <v>88</v>
      </c>
      <c r="C13" s="112" t="s">
        <v>78</v>
      </c>
      <c r="D13" s="118">
        <v>15</v>
      </c>
      <c r="E13" s="86">
        <f t="shared" si="0"/>
        <v>23</v>
      </c>
      <c r="F13" s="122">
        <f>WORKDAY(F12,E13,Holiday!A9:A38)</f>
        <v>46246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1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2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s="36" t="s">
        <v>89</v>
      </c>
      <c r="C14" s="112" t="s">
        <v>78</v>
      </c>
      <c r="D14" s="118">
        <v>15</v>
      </c>
      <c r="E14" s="86">
        <f t="shared" si="0"/>
        <v>23</v>
      </c>
      <c r="F14" s="122">
        <f>WORKDAY(F13,E14,Holiday!A10:A39)</f>
        <v>46279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0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1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2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s="36" t="s">
        <v>90</v>
      </c>
      <c r="C15" s="112" t="s">
        <v>78</v>
      </c>
      <c r="D15" s="118">
        <v>13</v>
      </c>
      <c r="E15" s="86">
        <f t="shared" si="0"/>
        <v>20</v>
      </c>
      <c r="F15" s="122">
        <f>WORKDAY(F14,E15,Holiday!A11:A40)</f>
        <v>46307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0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1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2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s="36" t="s">
        <v>91</v>
      </c>
      <c r="C16" s="112" t="s">
        <v>78</v>
      </c>
      <c r="D16" s="118">
        <v>3</v>
      </c>
      <c r="E16" s="86">
        <f t="shared" si="0"/>
        <v>5</v>
      </c>
      <c r="F16" s="122">
        <f>WORKDAY(F15,E16,Holiday!A12:A41)</f>
        <v>46314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1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2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s="36" t="s">
        <v>92</v>
      </c>
      <c r="C17" s="112" t="s">
        <v>78</v>
      </c>
      <c r="D17" s="118">
        <v>13</v>
      </c>
      <c r="E17" s="86">
        <f t="shared" si="0"/>
        <v>20</v>
      </c>
      <c r="F17" s="122">
        <f>WORKDAY(F16,E17,Holiday!A13:A42)</f>
        <v>46342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1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2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s="36" t="s">
        <v>93</v>
      </c>
      <c r="C18" s="112" t="s">
        <v>78</v>
      </c>
      <c r="D18" s="118">
        <v>5</v>
      </c>
      <c r="E18" s="86">
        <f t="shared" si="0"/>
        <v>8</v>
      </c>
      <c r="F18" s="122">
        <f>WORKDAY(F17,E18,Holiday!A14:A43)</f>
        <v>46352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1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2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s="36" t="s">
        <v>94</v>
      </c>
      <c r="C19" s="112" t="s">
        <v>78</v>
      </c>
      <c r="D19" s="118">
        <v>8</v>
      </c>
      <c r="E19" s="86">
        <f t="shared" si="0"/>
        <v>12</v>
      </c>
      <c r="F19" s="122">
        <f>WORKDAY(F18,E19,Holiday!A15:A44)</f>
        <v>46370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1</v>
      </c>
      <c r="R19" s="113">
        <f>IF(OR(AND($F18&lt;=R$3, $F19 &gt;= R$3), AND($F19&lt;R$3, WORKDAY($F19, 22,Holiday!$A$1:$A$30)&gt;R$3)), 1, 0)+IF(AND((R$3-$B$2)&gt;=0,(R$3-$B$2)&lt;30), 2,0)</f>
        <v>1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2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s="36" t="s">
        <v>95</v>
      </c>
      <c r="C20" s="112" t="s">
        <v>78</v>
      </c>
      <c r="D20" s="118">
        <v>8</v>
      </c>
      <c r="E20" s="86">
        <f t="shared" si="0"/>
        <v>12</v>
      </c>
      <c r="F20" s="122">
        <f>WORKDAY(F19,E20,Holiday!A16:A45)</f>
        <v>46386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1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2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s="36" t="s">
        <v>96</v>
      </c>
      <c r="C21" s="112" t="s">
        <v>78</v>
      </c>
      <c r="D21" s="118">
        <v>8</v>
      </c>
      <c r="E21" s="86">
        <f t="shared" si="0"/>
        <v>12</v>
      </c>
      <c r="F21" s="122">
        <f>WORKDAY(F20,E21,Holiday!A17:A46)</f>
        <v>46402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1</v>
      </c>
      <c r="S21" s="113">
        <f>IF(OR(AND($F20&lt;=S$3, $F21 &gt;= S$3), AND($F21&lt;S$3, WORKDAY($F21, 22,Holiday!$A$1:$A$30)&gt;S$3)), 1, 0)+IF(AND((S$3-$B$2)&gt;=0,(S$3-$B$2)&lt;30), 2,0)</f>
        <v>1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2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s="36" t="s">
        <v>97</v>
      </c>
      <c r="C22" s="112" t="s">
        <v>78</v>
      </c>
      <c r="D22" s="118">
        <v>5</v>
      </c>
      <c r="E22" s="86">
        <f t="shared" si="0"/>
        <v>8</v>
      </c>
      <c r="F22" s="122">
        <f>WORKDAY(F21,E22,Holiday!A18:A47)</f>
        <v>46414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1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2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s="36" t="s">
        <v>98</v>
      </c>
      <c r="C23" s="112" t="s">
        <v>78</v>
      </c>
      <c r="D23" s="118">
        <v>8</v>
      </c>
      <c r="E23" s="86">
        <f t="shared" si="0"/>
        <v>12</v>
      </c>
      <c r="F23" s="122">
        <f>WORKDAY(F22,E23,Holiday!A19:A48)</f>
        <v>46430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1</v>
      </c>
      <c r="T23" s="113">
        <f>IF(OR(AND($F22&lt;=T$3, $F23 &gt;= T$3), AND($F23&lt;T$3, WORKDAY($F23, 22,Holiday!$A$1:$A$30)&gt;T$3)), 1, 0)+IF(AND((T$3-$B$2)&gt;=0,(T$3-$B$2)&lt;30), 2,0)</f>
        <v>1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2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s="36" t="s">
        <v>99</v>
      </c>
      <c r="C24" s="112" t="s">
        <v>78</v>
      </c>
      <c r="D24" s="118">
        <v>8</v>
      </c>
      <c r="E24" s="86">
        <f t="shared" si="0"/>
        <v>12</v>
      </c>
      <c r="F24" s="122">
        <f>WORKDAY(F23,E24,Holiday!A20:A49)</f>
        <v>46448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1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2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s="36" t="s">
        <v>100</v>
      </c>
      <c r="C25" s="112" t="s">
        <v>78</v>
      </c>
      <c r="D25" s="118">
        <v>3</v>
      </c>
      <c r="E25" s="86">
        <f t="shared" si="0"/>
        <v>5</v>
      </c>
      <c r="F25" s="122">
        <f>WORKDAY(F24,E25,Holiday!A21:A50)</f>
        <v>46455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1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2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s="36" t="s">
        <v>101</v>
      </c>
      <c r="C26" s="112" t="s">
        <v>78</v>
      </c>
      <c r="D26" s="38">
        <v>10</v>
      </c>
      <c r="E26" s="86">
        <f t="shared" si="0"/>
        <v>15</v>
      </c>
      <c r="F26" s="122">
        <f>WORKDAY(F25,E26,Holiday!A22:A51)</f>
        <v>46476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1</v>
      </c>
      <c r="U26" s="113">
        <f>IF(OR(AND($F25&lt;=U$3, $F26 &gt;= U$3), AND($F26&lt;U$3, WORKDAY($F26, 22,Holiday!$A$1:$A$30)&gt;U$3)), 1, 0)+IF(AND((U$3-$B$2)&gt;=0,(U$3-$B$2)&lt;30), 2,0)</f>
        <v>1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2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s="36" t="s">
        <v>102</v>
      </c>
      <c r="C27" s="112" t="s">
        <v>78</v>
      </c>
      <c r="D27" s="38">
        <v>10</v>
      </c>
      <c r="E27" s="86">
        <f t="shared" si="0"/>
        <v>15</v>
      </c>
      <c r="F27" s="122">
        <f>WORKDAY(F26,E27,Holiday!A23:A52)</f>
        <v>46497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1</v>
      </c>
      <c r="V27" s="113">
        <f>IF(OR(AND($F26&lt;=V$3, $F27 &gt;= V$3), AND($F27&lt;V$3, WORKDAY($F27, 22,Holiday!$A$1:$A$30)&gt;V$3)), 1, 0)+IF(AND((V$3-$B$2)&gt;=0,(V$3-$B$2)&lt;30), 2,0)</f>
        <v>1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2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s="36" t="s">
        <v>103</v>
      </c>
      <c r="C28" s="112" t="s">
        <v>78</v>
      </c>
      <c r="D28" s="38">
        <v>10</v>
      </c>
      <c r="E28" s="86">
        <f t="shared" si="0"/>
        <v>15</v>
      </c>
      <c r="F28" s="122">
        <f>WORKDAY(F27,E28,Holiday!A24:A53)</f>
        <v>46518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1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2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s="36" t="s">
        <v>104</v>
      </c>
      <c r="C29" s="112" t="s">
        <v>78</v>
      </c>
      <c r="D29" s="38">
        <v>20</v>
      </c>
      <c r="E29" s="86">
        <f t="shared" si="0"/>
        <v>30</v>
      </c>
      <c r="F29" s="122">
        <f>WORKDAY(F28,E29,Holiday!A25:A54)</f>
        <v>46560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1</v>
      </c>
      <c r="W29" s="113">
        <f>IF(OR(AND($F28&lt;=W$3, $F29 &gt;= W$3), AND($F29&lt;W$3, WORKDAY($F29, 22,Holiday!$A$1:$A$30)&gt;W$3)), 1, 0)+IF(AND((W$3-$B$2)&gt;=0,(W$3-$B$2)&lt;30), 2,0)</f>
        <v>1</v>
      </c>
      <c r="X29" s="113">
        <f>IF(OR(AND($F28&lt;=X$3, $F29 &gt;= X$3), AND($F29&lt;X$3, WORKDAY($F29, 22,Holiday!$A$1:$A$30)&gt;X$3)), 1, 0)+IF(AND((X$3-$B$2)&gt;=0,(X$3-$B$2)&lt;30), 2,0)</f>
        <v>1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2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s="36" t="s">
        <v>105</v>
      </c>
      <c r="C30" s="112" t="s">
        <v>78</v>
      </c>
      <c r="D30" s="38">
        <v>20</v>
      </c>
      <c r="E30" s="86">
        <f t="shared" si="0"/>
        <v>30</v>
      </c>
      <c r="F30" s="122">
        <f>WORKDAY(F29,E30,Holiday!A26:A55)</f>
        <v>46602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1</v>
      </c>
      <c r="Y30" s="113">
        <f>IF(OR(AND($F29&lt;=Y$3, $F30 &gt;= Y$3), AND($F30&lt;Y$3, WORKDAY($F30, 22,Holiday!$A$1:$A$30)&gt;Y$3)), 1, 0)+IF(AND((Y$3-$B$2)&gt;=0,(Y$3-$B$2)&lt;30), 2,0)</f>
        <v>1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2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s="36" t="s">
        <v>106</v>
      </c>
      <c r="C31" s="112" t="s">
        <v>78</v>
      </c>
      <c r="D31" s="38">
        <v>20</v>
      </c>
      <c r="E31" s="86">
        <f t="shared" si="0"/>
        <v>30</v>
      </c>
      <c r="F31" s="122">
        <f>WORKDAY(F30,E31,Holiday!A27:A56)</f>
        <v>46644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1</v>
      </c>
      <c r="Z31" s="113">
        <f>IF(OR(AND($F30&lt;=Z$3, $F31 &gt;= Z$3), AND($F31&lt;Z$3, WORKDAY($F31, 22,Holiday!$A$1:$A$30)&gt;Z$3)), 1, 0)+IF(AND((Z$3-$B$2)&gt;=0,(Z$3-$B$2)&lt;30), 2,0)</f>
        <v>1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2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s="136" t="s">
        <v>107</v>
      </c>
      <c r="C32" s="137" t="s">
        <v>78</v>
      </c>
      <c r="D32" s="138">
        <v>20</v>
      </c>
      <c r="E32" s="86">
        <f t="shared" si="0"/>
        <v>30</v>
      </c>
      <c r="F32" s="139">
        <f>WORKDAY(F31,E32,Holiday!A28:A57)</f>
        <v>46686</v>
      </c>
      <c r="G32" s="140">
        <f>IF(OR(AND($F31&lt;=G$3, $F32 &gt;= G$3), AND($F32&lt;G$3, WORKDAY($F32, 22,Holiday!$A$1:$A$30)&gt;G$3)), 1, 0)+IF(AND((G$3-$B$2)&gt;=0,(G$3-$B$2)&lt;30), 2,0)</f>
        <v>0</v>
      </c>
      <c r="H32" s="140">
        <f>IF(OR(AND($F31&lt;=H$3, $F32 &gt;= H$3), AND($F32&lt;H$3, WORKDAY($F32, 22,Holiday!$A$1:$A$30)&gt;H$3)), 1, 0)+IF(AND((H$3-$B$2)&gt;=0,(H$3-$B$2)&lt;30), 2,0)</f>
        <v>0</v>
      </c>
      <c r="I32" s="140">
        <f>IF(OR(AND($F31&lt;=I$3, $F32 &gt;= I$3), AND($F32&lt;I$3, WORKDAY($F32, 22,Holiday!$A$1:$A$30)&gt;I$3)), 1, 0)+IF(AND((I$3-$B$2)&gt;=0,(I$3-$B$2)&lt;30), 2,0)</f>
        <v>0</v>
      </c>
      <c r="J32" s="140">
        <f>IF(OR(AND($F31&lt;=J$3, $F32 &gt;= J$3), AND($F32&lt;J$3, WORKDAY($F32, 22,Holiday!$A$1:$A$30)&gt;J$3)), 1, 0)+IF(AND((J$3-$B$2)&gt;=0,(J$3-$B$2)&lt;30), 2,0)</f>
        <v>0</v>
      </c>
      <c r="K32" s="140">
        <f>IF(OR(AND($F31&lt;=K$3, $F32 &gt;= K$3), AND($F32&lt;K$3, WORKDAY($F32, 22,Holiday!$A$1:$A$30)&gt;K$3)), 1, 0)+IF(AND((K$3-$B$2)&gt;=0,(K$3-$B$2)&lt;30), 2,0)</f>
        <v>0</v>
      </c>
      <c r="L32" s="140">
        <f>IF(OR(AND($F31&lt;=L$3, $F32 &gt;= L$3), AND($F32&lt;L$3, WORKDAY($F32, 22,Holiday!$A$1:$A$30)&gt;L$3)), 1, 0)+IF(AND((L$3-$B$2)&gt;=0,(L$3-$B$2)&lt;30), 2,0)</f>
        <v>0</v>
      </c>
      <c r="M32" s="140">
        <f>IF(OR(AND($F31&lt;=M$3, $F32 &gt;= M$3), AND($F32&lt;M$3, WORKDAY($F32, 22,Holiday!$A$1:$A$30)&gt;M$3)), 1, 0)+IF(AND((M$3-$B$2)&gt;=0,(M$3-$B$2)&lt;30), 2,0)</f>
        <v>0</v>
      </c>
      <c r="N32" s="140">
        <f>IF(OR(AND($F31&lt;=N$3, $F32 &gt;= N$3), AND($F32&lt;N$3, WORKDAY($F32, 22,Holiday!$A$1:$A$30)&gt;N$3)), 1, 0)+IF(AND((N$3-$B$2)&gt;=0,(N$3-$B$2)&lt;30), 2,0)</f>
        <v>0</v>
      </c>
      <c r="O32" s="140">
        <f>IF(OR(AND($F31&lt;=O$3, $F32 &gt;= O$3), AND($F32&lt;O$3, WORKDAY($F32, 22,Holiday!$A$1:$A$30)&gt;O$3)), 1, 0)+IF(AND((O$3-$B$2)&gt;=0,(O$3-$B$2)&lt;30), 2,0)</f>
        <v>0</v>
      </c>
      <c r="P32" s="140">
        <f>IF(OR(AND($F31&lt;=P$3, $F32 &gt;= P$3), AND($F32&lt;P$3, WORKDAY($F32, 22,Holiday!$A$1:$A$30)&gt;P$3)), 1, 0)+IF(AND((P$3-$B$2)&gt;=0,(P$3-$B$2)&lt;30), 2,0)</f>
        <v>0</v>
      </c>
      <c r="Q32" s="140">
        <f>IF(OR(AND($F31&lt;=Q$3, $F32 &gt;= Q$3), AND($F32&lt;Q$3, WORKDAY($F32, 22,Holiday!$A$1:$A$30)&gt;Q$3)), 1, 0)+IF(AND((Q$3-$B$2)&gt;=0,(Q$3-$B$2)&lt;30), 2,0)</f>
        <v>0</v>
      </c>
      <c r="R32" s="140">
        <f>IF(OR(AND($F31&lt;=R$3, $F32 &gt;= R$3), AND($F32&lt;R$3, WORKDAY($F32, 22,Holiday!$A$1:$A$30)&gt;R$3)), 1, 0)+IF(AND((R$3-$B$2)&gt;=0,(R$3-$B$2)&lt;30), 2,0)</f>
        <v>0</v>
      </c>
      <c r="S32" s="140">
        <f>IF(OR(AND($F31&lt;=S$3, $F32 &gt;= S$3), AND($F32&lt;S$3, WORKDAY($F32, 22,Holiday!$A$1:$A$30)&gt;S$3)), 1, 0)+IF(AND((S$3-$B$2)&gt;=0,(S$3-$B$2)&lt;30), 2,0)</f>
        <v>0</v>
      </c>
      <c r="T32" s="140">
        <f>IF(OR(AND($F31&lt;=T$3, $F32 &gt;= T$3), AND($F32&lt;T$3, WORKDAY($F32, 22,Holiday!$A$1:$A$30)&gt;T$3)), 1, 0)+IF(AND((T$3-$B$2)&gt;=0,(T$3-$B$2)&lt;30), 2,0)</f>
        <v>0</v>
      </c>
      <c r="U32" s="140">
        <f>IF(OR(AND($F31&lt;=U$3, $F32 &gt;= U$3), AND($F32&lt;U$3, WORKDAY($F32, 22,Holiday!$A$1:$A$30)&gt;U$3)), 1, 0)+IF(AND((U$3-$B$2)&gt;=0,(U$3-$B$2)&lt;30), 2,0)</f>
        <v>0</v>
      </c>
      <c r="V32" s="140">
        <f>IF(OR(AND($F31&lt;=V$3, $F32 &gt;= V$3), AND($F32&lt;V$3, WORKDAY($F32, 22,Holiday!$A$1:$A$30)&gt;V$3)), 1, 0)+IF(AND((V$3-$B$2)&gt;=0,(V$3-$B$2)&lt;30), 2,0)</f>
        <v>0</v>
      </c>
      <c r="W32" s="140">
        <f>IF(OR(AND($F31&lt;=W$3, $F32 &gt;= W$3), AND($F32&lt;W$3, WORKDAY($F32, 22,Holiday!$A$1:$A$30)&gt;W$3)), 1, 0)+IF(AND((W$3-$B$2)&gt;=0,(W$3-$B$2)&lt;30), 2,0)</f>
        <v>0</v>
      </c>
      <c r="X32" s="140">
        <f>IF(OR(AND($F31&lt;=X$3, $F32 &gt;= X$3), AND($F32&lt;X$3, WORKDAY($F32, 22,Holiday!$A$1:$A$30)&gt;X$3)), 1, 0)+IF(AND((X$3-$B$2)&gt;=0,(X$3-$B$2)&lt;30), 2,0)</f>
        <v>0</v>
      </c>
      <c r="Y32" s="140">
        <f>IF(OR(AND($F31&lt;=Y$3, $F32 &gt;= Y$3), AND($F32&lt;Y$3, WORKDAY($F32, 22,Holiday!$A$1:$A$30)&gt;Y$3)), 1, 0)+IF(AND((Y$3-$B$2)&gt;=0,(Y$3-$B$2)&lt;30), 2,0)</f>
        <v>0</v>
      </c>
      <c r="Z32" s="140">
        <f>IF(OR(AND($F31&lt;=Z$3, $F32 &gt;= Z$3), AND($F32&lt;Z$3, WORKDAY($F32, 22,Holiday!$A$1:$A$30)&gt;Z$3)), 1, 0)+IF(AND((Z$3-$B$2)&gt;=0,(Z$3-$B$2)&lt;30), 2,0)</f>
        <v>1</v>
      </c>
      <c r="AA32" s="140">
        <f>IF(OR(AND($F31&lt;=AA$3, $F32 &gt;= AA$3), AND($F32&lt;AA$3, WORKDAY($F32, 22,Holiday!$A$1:$A$30)&gt;AA$3)), 1, 0)+IF(AND((AA$3-$B$2)&gt;=0,(AA$3-$B$2)&lt;30), 2,0)</f>
        <v>1</v>
      </c>
      <c r="AB32" s="140">
        <f>IF(OR(AND($F31&lt;=AB$3, $F32 &gt;= AB$3), AND($F32&lt;AB$3, WORKDAY($F32, 22,Holiday!$A$1:$A$30)&gt;AB$3)), 1, 0)+IF(AND((AB$3-$B$2)&gt;=0,(AB$3-$B$2)&lt;30), 2,0)</f>
        <v>1</v>
      </c>
      <c r="AC32" s="140">
        <f>IF(OR(AND($F31&lt;=AC$3, $F32 &gt;= AC$3), AND($F32&lt;AC$3, WORKDAY($F32, 22,Holiday!$A$1:$A$30)&gt;AC$3)), 1, 0)+IF(AND((AC$3-$B$2)&gt;=0,(AC$3-$B$2)&lt;30), 2,0)</f>
        <v>0</v>
      </c>
      <c r="AD32" s="140">
        <f>IF(OR(AND($F31&lt;=AD$3, $F32 &gt;= AD$3), AND($F32&lt;AD$3, WORKDAY($F32, 22,Holiday!$A$1:$A$30)&gt;AD$3)), 1, 0)+IF(AND((AD$3-$B$2)&gt;=0,(AD$3-$B$2)&lt;30), 2,0)</f>
        <v>0</v>
      </c>
      <c r="AE32" s="140">
        <f>IF(OR(AND($F31&lt;=AE$3, $F32 &gt;= AE$3), AND($F32&lt;AE$3, WORKDAY($F32, 22,Holiday!$A$1:$A$30)&gt;AE$3)), 1, 0)+IF(AND((AE$3-$B$2)&gt;=0,(AE$3-$B$2)&lt;30), 2,0)</f>
        <v>0</v>
      </c>
      <c r="AF32" s="140">
        <f>IF(OR(AND($F31&lt;=AF$3, $F32 &gt;= AF$3), AND($F32&lt;AF$3, WORKDAY($F32, 22,Holiday!$A$1:$A$30)&gt;AF$3)), 1, 0)+IF(AND((AF$3-$B$2)&gt;=0,(AF$3-$B$2)&lt;30), 2,0)</f>
        <v>0</v>
      </c>
      <c r="AG32" s="140">
        <f>IF(OR(AND($F31&lt;=AG$3, $F32 &gt;= AG$3), AND($F32&lt;AG$3, WORKDAY($F32, 22,Holiday!$A$1:$A$30)&gt;AG$3)), 1, 0)+IF(AND((AG$3-$B$2)&gt;=0,(AG$3-$B$2)&lt;30), 2,0)</f>
        <v>0</v>
      </c>
      <c r="AH32" s="140">
        <f>IF(OR(AND($F31&lt;=AH$3, $F32 &gt;= AH$3), AND($F32&lt;AH$3, WORKDAY($F32, 22,Holiday!$A$1:$A$30)&gt;AH$3)), 1, 0)+IF(AND((AH$3-$B$2)&gt;=0,(AH$3-$B$2)&lt;30), 2,0)</f>
        <v>0</v>
      </c>
      <c r="AI32" s="140">
        <f>IF(OR(AND($F31&lt;=AI$3, $F32 &gt;= AI$3), AND($F32&lt;AI$3, WORKDAY($F32, 22,Holiday!$A$1:$A$30)&gt;AI$3)), 1, 0)+IF(AND((AI$3-$B$2)&gt;=0,(AI$3-$B$2)&lt;30), 2,0)</f>
        <v>2</v>
      </c>
      <c r="AJ32" s="140">
        <f>IF(OR(AND($F31&lt;=AJ$3, $F32 &gt;= AJ$3), AND($F32&lt;AJ$3, WORKDAY($F32, 22,Holiday!$A$1:$A$30)&gt;AJ$3)), 1, 0)+IF(AND((AJ$3-$B$2)&gt;=0,(AJ$3-$B$2)&lt;30), 2,0)</f>
        <v>0</v>
      </c>
      <c r="AK32" s="140">
        <f>IF(OR(AND($F31&lt;=AK$3, $F32 &gt;= AK$3), AND($F32&lt;AK$3, WORKDAY($F32, 22,Holiday!$A$1:$A$30)&gt;AK$3)), 1, 0)+IF(AND((AK$3-$B$2)&gt;=0,(AK$3-$B$2)&lt;30), 2,0)</f>
        <v>0</v>
      </c>
      <c r="AL32" s="140">
        <f>IF(OR(AND($F31&lt;=AL$3, $F32 &gt;= AL$3), AND($F32&lt;AL$3, WORKDAY($F32, 22,Holiday!$A$1:$A$30)&gt;AL$3)), 1, 0)+IF(AND((AL$3-$B$2)&gt;=0,(AL$3-$B$2)&lt;30), 2,0)</f>
        <v>0</v>
      </c>
      <c r="AM32" s="140">
        <f>IF(OR(AND($F31&lt;=AM$3, $F32 &gt;= AM$3), AND($F32&lt;AM$3, WORKDAY($F32, 22,Holiday!$A$1:$A$30)&gt;AM$3)), 1, 0)+IF(AND((AM$3-$B$2)&gt;=0,(AM$3-$B$2)&lt;30), 2,0)</f>
        <v>0</v>
      </c>
      <c r="AN32" s="140">
        <f>IF(OR(AND($F31&lt;=AN$3, $F32 &gt;= AN$3), AND($F32&lt;AN$3, WORKDAY($F32, 22,Holiday!$A$1:$A$30)&gt;AN$3)), 1, 0)+IF(AND((AN$3-$B$2)&gt;=0,(AN$3-$B$2)&lt;30), 2,0)</f>
        <v>0</v>
      </c>
      <c r="AO32" s="140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s="116" t="s">
        <v>260</v>
      </c>
      <c r="C33" s="116" t="s">
        <v>78</v>
      </c>
      <c r="D33" s="117">
        <v>3</v>
      </c>
      <c r="E33" s="134">
        <f t="shared" si="0"/>
        <v>5</v>
      </c>
      <c r="F33" s="123">
        <f>WORKDAY(F32,E33,Holiday!A29:A58)</f>
        <v>46693</v>
      </c>
      <c r="G33" s="140">
        <f>IF(OR(AND($F32&lt;=G$3, $F33 &gt;= G$3), AND($F33&lt;G$3, WORKDAY($F33, 22,Holiday!$A$1:$A$30)&gt;G$3)), 1, 0)+IF(AND((G$3-$B$2)&gt;=0,(G$3-$B$2)&lt;30), 2,0)</f>
        <v>0</v>
      </c>
      <c r="H33" s="140">
        <f>IF(OR(AND($F32&lt;=H$3, $F33 &gt;= H$3), AND($F33&lt;H$3, WORKDAY($F33, 22,Holiday!$A$1:$A$30)&gt;H$3)), 1, 0)+IF(AND((H$3-$B$2)&gt;=0,(H$3-$B$2)&lt;30), 2,0)</f>
        <v>0</v>
      </c>
      <c r="I33" s="140">
        <f>IF(OR(AND($F32&lt;=I$3, $F33 &gt;= I$3), AND($F33&lt;I$3, WORKDAY($F33, 22,Holiday!$A$1:$A$30)&gt;I$3)), 1, 0)+IF(AND((I$3-$B$2)&gt;=0,(I$3-$B$2)&lt;30), 2,0)</f>
        <v>0</v>
      </c>
      <c r="J33" s="140">
        <f>IF(OR(AND($F32&lt;=J$3, $F33 &gt;= J$3), AND($F33&lt;J$3, WORKDAY($F33, 22,Holiday!$A$1:$A$30)&gt;J$3)), 1, 0)+IF(AND((J$3-$B$2)&gt;=0,(J$3-$B$2)&lt;30), 2,0)</f>
        <v>0</v>
      </c>
      <c r="K33" s="140">
        <f>IF(OR(AND($F32&lt;=K$3, $F33 &gt;= K$3), AND($F33&lt;K$3, WORKDAY($F33, 22,Holiday!$A$1:$A$30)&gt;K$3)), 1, 0)+IF(AND((K$3-$B$2)&gt;=0,(K$3-$B$2)&lt;30), 2,0)</f>
        <v>0</v>
      </c>
      <c r="L33" s="140">
        <f>IF(OR(AND($F32&lt;=L$3, $F33 &gt;= L$3), AND($F33&lt;L$3, WORKDAY($F33, 22,Holiday!$A$1:$A$30)&gt;L$3)), 1, 0)+IF(AND((L$3-$B$2)&gt;=0,(L$3-$B$2)&lt;30), 2,0)</f>
        <v>0</v>
      </c>
      <c r="M33" s="140">
        <f>IF(OR(AND($F32&lt;=M$3, $F33 &gt;= M$3), AND($F33&lt;M$3, WORKDAY($F33, 22,Holiday!$A$1:$A$30)&gt;M$3)), 1, 0)+IF(AND((M$3-$B$2)&gt;=0,(M$3-$B$2)&lt;30), 2,0)</f>
        <v>0</v>
      </c>
      <c r="N33" s="140">
        <f>IF(OR(AND($F32&lt;=N$3, $F33 &gt;= N$3), AND($F33&lt;N$3, WORKDAY($F33, 22,Holiday!$A$1:$A$30)&gt;N$3)), 1, 0)+IF(AND((N$3-$B$2)&gt;=0,(N$3-$B$2)&lt;30), 2,0)</f>
        <v>0</v>
      </c>
      <c r="O33" s="140">
        <f>IF(OR(AND($F32&lt;=O$3, $F33 &gt;= O$3), AND($F33&lt;O$3, WORKDAY($F33, 22,Holiday!$A$1:$A$30)&gt;O$3)), 1, 0)+IF(AND((O$3-$B$2)&gt;=0,(O$3-$B$2)&lt;30), 2,0)</f>
        <v>0</v>
      </c>
      <c r="P33" s="140">
        <f>IF(OR(AND($F32&lt;=P$3, $F33 &gt;= P$3), AND($F33&lt;P$3, WORKDAY($F33, 22,Holiday!$A$1:$A$30)&gt;P$3)), 1, 0)+IF(AND((P$3-$B$2)&gt;=0,(P$3-$B$2)&lt;30), 2,0)</f>
        <v>0</v>
      </c>
      <c r="Q33" s="140">
        <f>IF(OR(AND($F32&lt;=Q$3, $F33 &gt;= Q$3), AND($F33&lt;Q$3, WORKDAY($F33, 22,Holiday!$A$1:$A$30)&gt;Q$3)), 1, 0)+IF(AND((Q$3-$B$2)&gt;=0,(Q$3-$B$2)&lt;30), 2,0)</f>
        <v>0</v>
      </c>
      <c r="R33" s="140">
        <f>IF(OR(AND($F32&lt;=R$3, $F33 &gt;= R$3), AND($F33&lt;R$3, WORKDAY($F33, 22,Holiday!$A$1:$A$30)&gt;R$3)), 1, 0)+IF(AND((R$3-$B$2)&gt;=0,(R$3-$B$2)&lt;30), 2,0)</f>
        <v>0</v>
      </c>
      <c r="S33" s="140">
        <f>IF(OR(AND($F32&lt;=S$3, $F33 &gt;= S$3), AND($F33&lt;S$3, WORKDAY($F33, 22,Holiday!$A$1:$A$30)&gt;S$3)), 1, 0)+IF(AND((S$3-$B$2)&gt;=0,(S$3-$B$2)&lt;30), 2,0)</f>
        <v>0</v>
      </c>
      <c r="T33" s="140">
        <f>IF(OR(AND($F32&lt;=T$3, $F33 &gt;= T$3), AND($F33&lt;T$3, WORKDAY($F33, 22,Holiday!$A$1:$A$30)&gt;T$3)), 1, 0)+IF(AND((T$3-$B$2)&gt;=0,(T$3-$B$2)&lt;30), 2,0)</f>
        <v>0</v>
      </c>
      <c r="U33" s="140">
        <f>IF(OR(AND($F32&lt;=U$3, $F33 &gt;= U$3), AND($F33&lt;U$3, WORKDAY($F33, 22,Holiday!$A$1:$A$30)&gt;U$3)), 1, 0)+IF(AND((U$3-$B$2)&gt;=0,(U$3-$B$2)&lt;30), 2,0)</f>
        <v>0</v>
      </c>
      <c r="V33" s="140">
        <f>IF(OR(AND($F32&lt;=V$3, $F33 &gt;= V$3), AND($F33&lt;V$3, WORKDAY($F33, 22,Holiday!$A$1:$A$30)&gt;V$3)), 1, 0)+IF(AND((V$3-$B$2)&gt;=0,(V$3-$B$2)&lt;30), 2,0)</f>
        <v>0</v>
      </c>
      <c r="W33" s="140">
        <f>IF(OR(AND($F32&lt;=W$3, $F33 &gt;= W$3), AND($F33&lt;W$3, WORKDAY($F33, 22,Holiday!$A$1:$A$30)&gt;W$3)), 1, 0)+IF(AND((W$3-$B$2)&gt;=0,(W$3-$B$2)&lt;30), 2,0)</f>
        <v>0</v>
      </c>
      <c r="X33" s="140">
        <f>IF(OR(AND($F32&lt;=X$3, $F33 &gt;= X$3), AND($F33&lt;X$3, WORKDAY($F33, 22,Holiday!$A$1:$A$30)&gt;X$3)), 1, 0)+IF(AND((X$3-$B$2)&gt;=0,(X$3-$B$2)&lt;30), 2,0)</f>
        <v>0</v>
      </c>
      <c r="Y33" s="140">
        <f>IF(OR(AND($F32&lt;=Y$3, $F33 &gt;= Y$3), AND($F33&lt;Y$3, WORKDAY($F33, 22,Holiday!$A$1:$A$30)&gt;Y$3)), 1, 0)+IF(AND((Y$3-$B$2)&gt;=0,(Y$3-$B$2)&lt;30), 2,0)</f>
        <v>0</v>
      </c>
      <c r="Z33" s="140">
        <f>IF(OR(AND($F32&lt;=Z$3, $F33 &gt;= Z$3), AND($F33&lt;Z$3, WORKDAY($F33, 22,Holiday!$A$1:$A$30)&gt;Z$3)), 1, 0)+IF(AND((Z$3-$B$2)&gt;=0,(Z$3-$B$2)&lt;30), 2,0)</f>
        <v>0</v>
      </c>
      <c r="AA33" s="140">
        <f>IF(OR(AND($F32&lt;=AA$3, $F33 &gt;= AA$3), AND($F33&lt;AA$3, WORKDAY($F33, 22,Holiday!$A$1:$A$30)&gt;AA$3)), 1, 0)+IF(AND((AA$3-$B$2)&gt;=0,(AA$3-$B$2)&lt;30), 2,0)</f>
        <v>0</v>
      </c>
      <c r="AB33" s="140">
        <f>IF(OR(AND($F32&lt;=AB$3, $F33 &gt;= AB$3), AND($F33&lt;AB$3, WORKDAY($F33, 22,Holiday!$A$1:$A$30)&gt;AB$3)), 1, 0)+IF(AND((AB$3-$B$2)&gt;=0,(AB$3-$B$2)&lt;30), 2,0)</f>
        <v>1</v>
      </c>
      <c r="AC33" s="140">
        <f>IF(OR(AND($F32&lt;=AC$3, $F33 &gt;= AC$3), AND($F33&lt;AC$3, WORKDAY($F33, 22,Holiday!$A$1:$A$30)&gt;AC$3)), 1, 0)+IF(AND((AC$3-$B$2)&gt;=0,(AC$3-$B$2)&lt;30), 2,0)</f>
        <v>0</v>
      </c>
      <c r="AD33" s="140">
        <f>IF(OR(AND($F32&lt;=AD$3, $F33 &gt;= AD$3), AND($F33&lt;AD$3, WORKDAY($F33, 22,Holiday!$A$1:$A$30)&gt;AD$3)), 1, 0)+IF(AND((AD$3-$B$2)&gt;=0,(AD$3-$B$2)&lt;30), 2,0)</f>
        <v>0</v>
      </c>
      <c r="AE33" s="140">
        <f>IF(OR(AND($F32&lt;=AE$3, $F33 &gt;= AE$3), AND($F33&lt;AE$3, WORKDAY($F33, 22,Holiday!$A$1:$A$30)&gt;AE$3)), 1, 0)+IF(AND((AE$3-$B$2)&gt;=0,(AE$3-$B$2)&lt;30), 2,0)</f>
        <v>0</v>
      </c>
      <c r="AF33" s="140">
        <f>IF(OR(AND($F32&lt;=AF$3, $F33 &gt;= AF$3), AND($F33&lt;AF$3, WORKDAY($F33, 22,Holiday!$A$1:$A$30)&gt;AF$3)), 1, 0)+IF(AND((AF$3-$B$2)&gt;=0,(AF$3-$B$2)&lt;30), 2,0)</f>
        <v>0</v>
      </c>
      <c r="AG33" s="140">
        <f>IF(OR(AND($F32&lt;=AG$3, $F33 &gt;= AG$3), AND($F33&lt;AG$3, WORKDAY($F33, 22,Holiday!$A$1:$A$30)&gt;AG$3)), 1, 0)+IF(AND((AG$3-$B$2)&gt;=0,(AG$3-$B$2)&lt;30), 2,0)</f>
        <v>0</v>
      </c>
      <c r="AH33" s="140">
        <f>IF(OR(AND($F32&lt;=AH$3, $F33 &gt;= AH$3), AND($F33&lt;AH$3, WORKDAY($F33, 22,Holiday!$A$1:$A$30)&gt;AH$3)), 1, 0)+IF(AND((AH$3-$B$2)&gt;=0,(AH$3-$B$2)&lt;30), 2,0)</f>
        <v>0</v>
      </c>
      <c r="AI33" s="140">
        <f>IF(OR(AND($F32&lt;=AI$3, $F33 &gt;= AI$3), AND($F33&lt;AI$3, WORKDAY($F33, 22,Holiday!$A$1:$A$30)&gt;AI$3)), 1, 0)+IF(AND((AI$3-$B$2)&gt;=0,(AI$3-$B$2)&lt;30), 2,0)</f>
        <v>2</v>
      </c>
      <c r="AJ33" s="140">
        <f>IF(OR(AND($F32&lt;=AJ$3, $F33 &gt;= AJ$3), AND($F33&lt;AJ$3, WORKDAY($F33, 22,Holiday!$A$1:$A$30)&gt;AJ$3)), 1, 0)+IF(AND((AJ$3-$B$2)&gt;=0,(AJ$3-$B$2)&lt;30), 2,0)</f>
        <v>0</v>
      </c>
      <c r="AK33" s="140">
        <f>IF(OR(AND($F32&lt;=AK$3, $F33 &gt;= AK$3), AND($F33&lt;AK$3, WORKDAY($F33, 22,Holiday!$A$1:$A$30)&gt;AK$3)), 1, 0)+IF(AND((AK$3-$B$2)&gt;=0,(AK$3-$B$2)&lt;30), 2,0)</f>
        <v>0</v>
      </c>
      <c r="AL33" s="140">
        <f>IF(OR(AND($F32&lt;=AL$3, $F33 &gt;= AL$3), AND($F33&lt;AL$3, WORKDAY($F33, 22,Holiday!$A$1:$A$30)&gt;AL$3)), 1, 0)+IF(AND((AL$3-$B$2)&gt;=0,(AL$3-$B$2)&lt;30), 2,0)</f>
        <v>0</v>
      </c>
      <c r="AM33" s="140">
        <f>IF(OR(AND($F32&lt;=AM$3, $F33 &gt;= AM$3), AND($F33&lt;AM$3, WORKDAY($F33, 22,Holiday!$A$1:$A$30)&gt;AM$3)), 1, 0)+IF(AND((AM$3-$B$2)&gt;=0,(AM$3-$B$2)&lt;30), 2,0)</f>
        <v>0</v>
      </c>
      <c r="AN33" s="140">
        <f>IF(OR(AND($F32&lt;=AN$3, $F33 &gt;= AN$3), AND($F33&lt;AN$3, WORKDAY($F33, 22,Holiday!$A$1:$A$30)&gt;AN$3)), 1, 0)+IF(AND((AN$3-$B$2)&gt;=0,(AN$3-$B$2)&lt;30), 2,0)</f>
        <v>0</v>
      </c>
      <c r="AO33" s="140">
        <f>IF(OR(AND($F32&lt;=AO$3, $F33 &gt;= AO$3), AND($F33&lt;AO$3, WORKDAY($F33, 22,Holiday!$A$1:$A$30)&gt;AO$3)), 1, 0)+IF(AND((AO$3-$B$2)&gt;=0,(AO$3-$B$2)&lt;30), 2,0)</f>
        <v>0</v>
      </c>
    </row>
    <row r="34" spans="2:41" ht="15.75" customHeight="1" x14ac:dyDescent="0.2">
      <c r="B34" s="116" t="s">
        <v>261</v>
      </c>
      <c r="C34" s="116" t="s">
        <v>78</v>
      </c>
      <c r="D34" s="117">
        <v>5</v>
      </c>
      <c r="E34" s="135">
        <f t="shared" si="0"/>
        <v>8</v>
      </c>
      <c r="F34" s="123">
        <f>WORKDAY(F33,E34,Holiday!A30:A59)</f>
        <v>46703</v>
      </c>
      <c r="G34" s="140">
        <f>IF(OR(AND($F33&lt;=G$3, $F34 &gt;= G$3), AND($F34&lt;G$3, WORKDAY($F34, 22,Holiday!$A$1:$A$30)&gt;G$3)), 1, 0)+IF(AND((G$3-$B$2)&gt;=0,(G$3-$B$2)&lt;30), 2,0)</f>
        <v>0</v>
      </c>
      <c r="H34" s="140">
        <f>IF(OR(AND($F33&lt;=H$3, $F34 &gt;= H$3), AND($F34&lt;H$3, WORKDAY($F34, 22,Holiday!$A$1:$A$30)&gt;H$3)), 1, 0)+IF(AND((H$3-$B$2)&gt;=0,(H$3-$B$2)&lt;30), 2,0)</f>
        <v>0</v>
      </c>
      <c r="I34" s="140">
        <f>IF(OR(AND($F33&lt;=I$3, $F34 &gt;= I$3), AND($F34&lt;I$3, WORKDAY($F34, 22,Holiday!$A$1:$A$30)&gt;I$3)), 1, 0)+IF(AND((I$3-$B$2)&gt;=0,(I$3-$B$2)&lt;30), 2,0)</f>
        <v>0</v>
      </c>
      <c r="J34" s="140">
        <f>IF(OR(AND($F33&lt;=J$3, $F34 &gt;= J$3), AND($F34&lt;J$3, WORKDAY($F34, 22,Holiday!$A$1:$A$30)&gt;J$3)), 1, 0)+IF(AND((J$3-$B$2)&gt;=0,(J$3-$B$2)&lt;30), 2,0)</f>
        <v>0</v>
      </c>
      <c r="K34" s="140">
        <f>IF(OR(AND($F33&lt;=K$3, $F34 &gt;= K$3), AND($F34&lt;K$3, WORKDAY($F34, 22,Holiday!$A$1:$A$30)&gt;K$3)), 1, 0)+IF(AND((K$3-$B$2)&gt;=0,(K$3-$B$2)&lt;30), 2,0)</f>
        <v>0</v>
      </c>
      <c r="L34" s="140">
        <f>IF(OR(AND($F33&lt;=L$3, $F34 &gt;= L$3), AND($F34&lt;L$3, WORKDAY($F34, 22,Holiday!$A$1:$A$30)&gt;L$3)), 1, 0)+IF(AND((L$3-$B$2)&gt;=0,(L$3-$B$2)&lt;30), 2,0)</f>
        <v>0</v>
      </c>
      <c r="M34" s="140">
        <f>IF(OR(AND($F33&lt;=M$3, $F34 &gt;= M$3), AND($F34&lt;M$3, WORKDAY($F34, 22,Holiday!$A$1:$A$30)&gt;M$3)), 1, 0)+IF(AND((M$3-$B$2)&gt;=0,(M$3-$B$2)&lt;30), 2,0)</f>
        <v>0</v>
      </c>
      <c r="N34" s="140">
        <f>IF(OR(AND($F33&lt;=N$3, $F34 &gt;= N$3), AND($F34&lt;N$3, WORKDAY($F34, 22,Holiday!$A$1:$A$30)&gt;N$3)), 1, 0)+IF(AND((N$3-$B$2)&gt;=0,(N$3-$B$2)&lt;30), 2,0)</f>
        <v>0</v>
      </c>
      <c r="O34" s="140">
        <f>IF(OR(AND($F33&lt;=O$3, $F34 &gt;= O$3), AND($F34&lt;O$3, WORKDAY($F34, 22,Holiday!$A$1:$A$30)&gt;O$3)), 1, 0)+IF(AND((O$3-$B$2)&gt;=0,(O$3-$B$2)&lt;30), 2,0)</f>
        <v>0</v>
      </c>
      <c r="P34" s="140">
        <f>IF(OR(AND($F33&lt;=P$3, $F34 &gt;= P$3), AND($F34&lt;P$3, WORKDAY($F34, 22,Holiday!$A$1:$A$30)&gt;P$3)), 1, 0)+IF(AND((P$3-$B$2)&gt;=0,(P$3-$B$2)&lt;30), 2,0)</f>
        <v>0</v>
      </c>
      <c r="Q34" s="140">
        <f>IF(OR(AND($F33&lt;=Q$3, $F34 &gt;= Q$3), AND($F34&lt;Q$3, WORKDAY($F34, 22,Holiday!$A$1:$A$30)&gt;Q$3)), 1, 0)+IF(AND((Q$3-$B$2)&gt;=0,(Q$3-$B$2)&lt;30), 2,0)</f>
        <v>0</v>
      </c>
      <c r="R34" s="140">
        <f>IF(OR(AND($F33&lt;=R$3, $F34 &gt;= R$3), AND($F34&lt;R$3, WORKDAY($F34, 22,Holiday!$A$1:$A$30)&gt;R$3)), 1, 0)+IF(AND((R$3-$B$2)&gt;=0,(R$3-$B$2)&lt;30), 2,0)</f>
        <v>0</v>
      </c>
      <c r="S34" s="140">
        <f>IF(OR(AND($F33&lt;=S$3, $F34 &gt;= S$3), AND($F34&lt;S$3, WORKDAY($F34, 22,Holiday!$A$1:$A$30)&gt;S$3)), 1, 0)+IF(AND((S$3-$B$2)&gt;=0,(S$3-$B$2)&lt;30), 2,0)</f>
        <v>0</v>
      </c>
      <c r="T34" s="140">
        <f>IF(OR(AND($F33&lt;=T$3, $F34 &gt;= T$3), AND($F34&lt;T$3, WORKDAY($F34, 22,Holiday!$A$1:$A$30)&gt;T$3)), 1, 0)+IF(AND((T$3-$B$2)&gt;=0,(T$3-$B$2)&lt;30), 2,0)</f>
        <v>0</v>
      </c>
      <c r="U34" s="140">
        <f>IF(OR(AND($F33&lt;=U$3, $F34 &gt;= U$3), AND($F34&lt;U$3, WORKDAY($F34, 22,Holiday!$A$1:$A$30)&gt;U$3)), 1, 0)+IF(AND((U$3-$B$2)&gt;=0,(U$3-$B$2)&lt;30), 2,0)</f>
        <v>0</v>
      </c>
      <c r="V34" s="140">
        <f>IF(OR(AND($F33&lt;=V$3, $F34 &gt;= V$3), AND($F34&lt;V$3, WORKDAY($F34, 22,Holiday!$A$1:$A$30)&gt;V$3)), 1, 0)+IF(AND((V$3-$B$2)&gt;=0,(V$3-$B$2)&lt;30), 2,0)</f>
        <v>0</v>
      </c>
      <c r="W34" s="140">
        <f>IF(OR(AND($F33&lt;=W$3, $F34 &gt;= W$3), AND($F34&lt;W$3, WORKDAY($F34, 22,Holiday!$A$1:$A$30)&gt;W$3)), 1, 0)+IF(AND((W$3-$B$2)&gt;=0,(W$3-$B$2)&lt;30), 2,0)</f>
        <v>0</v>
      </c>
      <c r="X34" s="140">
        <f>IF(OR(AND($F33&lt;=X$3, $F34 &gt;= X$3), AND($F34&lt;X$3, WORKDAY($F34, 22,Holiday!$A$1:$A$30)&gt;X$3)), 1, 0)+IF(AND((X$3-$B$2)&gt;=0,(X$3-$B$2)&lt;30), 2,0)</f>
        <v>0</v>
      </c>
      <c r="Y34" s="140">
        <f>IF(OR(AND($F33&lt;=Y$3, $F34 &gt;= Y$3), AND($F34&lt;Y$3, WORKDAY($F34, 22,Holiday!$A$1:$A$30)&gt;Y$3)), 1, 0)+IF(AND((Y$3-$B$2)&gt;=0,(Y$3-$B$2)&lt;30), 2,0)</f>
        <v>0</v>
      </c>
      <c r="Z34" s="140">
        <f>IF(OR(AND($F33&lt;=Z$3, $F34 &gt;= Z$3), AND($F34&lt;Z$3, WORKDAY($F34, 22,Holiday!$A$1:$A$30)&gt;Z$3)), 1, 0)+IF(AND((Z$3-$B$2)&gt;=0,(Z$3-$B$2)&lt;30), 2,0)</f>
        <v>0</v>
      </c>
      <c r="AA34" s="140">
        <f>IF(OR(AND($F33&lt;=AA$3, $F34 &gt;= AA$3), AND($F34&lt;AA$3, WORKDAY($F34, 22,Holiday!$A$1:$A$30)&gt;AA$3)), 1, 0)+IF(AND((AA$3-$B$2)&gt;=0,(AA$3-$B$2)&lt;30), 2,0)</f>
        <v>0</v>
      </c>
      <c r="AB34" s="140">
        <f>IF(OR(AND($F33&lt;=AB$3, $F34 &gt;= AB$3), AND($F34&lt;AB$3, WORKDAY($F34, 22,Holiday!$A$1:$A$30)&gt;AB$3)), 1, 0)+IF(AND((AB$3-$B$2)&gt;=0,(AB$3-$B$2)&lt;30), 2,0)</f>
        <v>1</v>
      </c>
      <c r="AC34" s="140">
        <f>IF(OR(AND($F33&lt;=AC$3, $F34 &gt;= AC$3), AND($F34&lt;AC$3, WORKDAY($F34, 22,Holiday!$A$1:$A$30)&gt;AC$3)), 1, 0)+IF(AND((AC$3-$B$2)&gt;=0,(AC$3-$B$2)&lt;30), 2,0)</f>
        <v>0</v>
      </c>
      <c r="AD34" s="140">
        <f>IF(OR(AND($F33&lt;=AD$3, $F34 &gt;= AD$3), AND($F34&lt;AD$3, WORKDAY($F34, 22,Holiday!$A$1:$A$30)&gt;AD$3)), 1, 0)+IF(AND((AD$3-$B$2)&gt;=0,(AD$3-$B$2)&lt;30), 2,0)</f>
        <v>0</v>
      </c>
      <c r="AE34" s="140">
        <f>IF(OR(AND($F33&lt;=AE$3, $F34 &gt;= AE$3), AND($F34&lt;AE$3, WORKDAY($F34, 22,Holiday!$A$1:$A$30)&gt;AE$3)), 1, 0)+IF(AND((AE$3-$B$2)&gt;=0,(AE$3-$B$2)&lt;30), 2,0)</f>
        <v>0</v>
      </c>
      <c r="AF34" s="140">
        <f>IF(OR(AND($F33&lt;=AF$3, $F34 &gt;= AF$3), AND($F34&lt;AF$3, WORKDAY($F34, 22,Holiday!$A$1:$A$30)&gt;AF$3)), 1, 0)+IF(AND((AF$3-$B$2)&gt;=0,(AF$3-$B$2)&lt;30), 2,0)</f>
        <v>0</v>
      </c>
      <c r="AG34" s="140">
        <f>IF(OR(AND($F33&lt;=AG$3, $F34 &gt;= AG$3), AND($F34&lt;AG$3, WORKDAY($F34, 22,Holiday!$A$1:$A$30)&gt;AG$3)), 1, 0)+IF(AND((AG$3-$B$2)&gt;=0,(AG$3-$B$2)&lt;30), 2,0)</f>
        <v>0</v>
      </c>
      <c r="AH34" s="140">
        <f>IF(OR(AND($F33&lt;=AH$3, $F34 &gt;= AH$3), AND($F34&lt;AH$3, WORKDAY($F34, 22,Holiday!$A$1:$A$30)&gt;AH$3)), 1, 0)+IF(AND((AH$3-$B$2)&gt;=0,(AH$3-$B$2)&lt;30), 2,0)</f>
        <v>0</v>
      </c>
      <c r="AI34" s="140">
        <f>IF(OR(AND($F33&lt;=AI$3, $F34 &gt;= AI$3), AND($F34&lt;AI$3, WORKDAY($F34, 22,Holiday!$A$1:$A$30)&gt;AI$3)), 1, 0)+IF(AND((AI$3-$B$2)&gt;=0,(AI$3-$B$2)&lt;30), 2,0)</f>
        <v>2</v>
      </c>
      <c r="AJ34" s="140">
        <f>IF(OR(AND($F33&lt;=AJ$3, $F34 &gt;= AJ$3), AND($F34&lt;AJ$3, WORKDAY($F34, 22,Holiday!$A$1:$A$30)&gt;AJ$3)), 1, 0)+IF(AND((AJ$3-$B$2)&gt;=0,(AJ$3-$B$2)&lt;30), 2,0)</f>
        <v>0</v>
      </c>
      <c r="AK34" s="140">
        <f>IF(OR(AND($F33&lt;=AK$3, $F34 &gt;= AK$3), AND($F34&lt;AK$3, WORKDAY($F34, 22,Holiday!$A$1:$A$30)&gt;AK$3)), 1, 0)+IF(AND((AK$3-$B$2)&gt;=0,(AK$3-$B$2)&lt;30), 2,0)</f>
        <v>0</v>
      </c>
      <c r="AL34" s="140">
        <f>IF(OR(AND($F33&lt;=AL$3, $F34 &gt;= AL$3), AND($F34&lt;AL$3, WORKDAY($F34, 22,Holiday!$A$1:$A$30)&gt;AL$3)), 1, 0)+IF(AND((AL$3-$B$2)&gt;=0,(AL$3-$B$2)&lt;30), 2,0)</f>
        <v>0</v>
      </c>
      <c r="AM34" s="140">
        <f>IF(OR(AND($F33&lt;=AM$3, $F34 &gt;= AM$3), AND($F34&lt;AM$3, WORKDAY($F34, 22,Holiday!$A$1:$A$30)&gt;AM$3)), 1, 0)+IF(AND((AM$3-$B$2)&gt;=0,(AM$3-$B$2)&lt;30), 2,0)</f>
        <v>0</v>
      </c>
      <c r="AN34" s="140">
        <f>IF(OR(AND($F33&lt;=AN$3, $F34 &gt;= AN$3), AND($F34&lt;AN$3, WORKDAY($F34, 22,Holiday!$A$1:$A$30)&gt;AN$3)), 1, 0)+IF(AND((AN$3-$B$2)&gt;=0,(AN$3-$B$2)&lt;30), 2,0)</f>
        <v>0</v>
      </c>
      <c r="AO34" s="140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">
      <c r="B35" s="120" t="s">
        <v>262</v>
      </c>
      <c r="C35" s="116" t="s">
        <v>78</v>
      </c>
      <c r="D35" s="117">
        <v>8</v>
      </c>
      <c r="E35" s="135">
        <f t="shared" si="0"/>
        <v>12</v>
      </c>
      <c r="F35" s="123">
        <f>WORKDAY(F34,E35,Holiday!A31:A60)</f>
        <v>46721</v>
      </c>
      <c r="G35" s="140">
        <f>IF(OR(AND($F34&lt;=G$3, $F35 &gt;= G$3), AND($F35&lt;G$3, WORKDAY($F35, 22,Holiday!$A$1:$A$30)&gt;G$3)), 1, 0)+IF(AND((G$3-$B$2)&gt;=0,(G$3-$B$2)&lt;30), 2,0)</f>
        <v>0</v>
      </c>
      <c r="H35" s="140">
        <f>IF(OR(AND($F34&lt;=H$3, $F35 &gt;= H$3), AND($F35&lt;H$3, WORKDAY($F35, 22,Holiday!$A$1:$A$30)&gt;H$3)), 1, 0)+IF(AND((H$3-$B$2)&gt;=0,(H$3-$B$2)&lt;30), 2,0)</f>
        <v>0</v>
      </c>
      <c r="I35" s="140">
        <f>IF(OR(AND($F34&lt;=I$3, $F35 &gt;= I$3), AND($F35&lt;I$3, WORKDAY($F35, 22,Holiday!$A$1:$A$30)&gt;I$3)), 1, 0)+IF(AND((I$3-$B$2)&gt;=0,(I$3-$B$2)&lt;30), 2,0)</f>
        <v>0</v>
      </c>
      <c r="J35" s="140">
        <f>IF(OR(AND($F34&lt;=J$3, $F35 &gt;= J$3), AND($F35&lt;J$3, WORKDAY($F35, 22,Holiday!$A$1:$A$30)&gt;J$3)), 1, 0)+IF(AND((J$3-$B$2)&gt;=0,(J$3-$B$2)&lt;30), 2,0)</f>
        <v>0</v>
      </c>
      <c r="K35" s="140">
        <f>IF(OR(AND($F34&lt;=K$3, $F35 &gt;= K$3), AND($F35&lt;K$3, WORKDAY($F35, 22,Holiday!$A$1:$A$30)&gt;K$3)), 1, 0)+IF(AND((K$3-$B$2)&gt;=0,(K$3-$B$2)&lt;30), 2,0)</f>
        <v>0</v>
      </c>
      <c r="L35" s="140">
        <f>IF(OR(AND($F34&lt;=L$3, $F35 &gt;= L$3), AND($F35&lt;L$3, WORKDAY($F35, 22,Holiday!$A$1:$A$30)&gt;L$3)), 1, 0)+IF(AND((L$3-$B$2)&gt;=0,(L$3-$B$2)&lt;30), 2,0)</f>
        <v>0</v>
      </c>
      <c r="M35" s="140">
        <f>IF(OR(AND($F34&lt;=M$3, $F35 &gt;= M$3), AND($F35&lt;M$3, WORKDAY($F35, 22,Holiday!$A$1:$A$30)&gt;M$3)), 1, 0)+IF(AND((M$3-$B$2)&gt;=0,(M$3-$B$2)&lt;30), 2,0)</f>
        <v>0</v>
      </c>
      <c r="N35" s="140">
        <f>IF(OR(AND($F34&lt;=N$3, $F35 &gt;= N$3), AND($F35&lt;N$3, WORKDAY($F35, 22,Holiday!$A$1:$A$30)&gt;N$3)), 1, 0)+IF(AND((N$3-$B$2)&gt;=0,(N$3-$B$2)&lt;30), 2,0)</f>
        <v>0</v>
      </c>
      <c r="O35" s="140">
        <f>IF(OR(AND($F34&lt;=O$3, $F35 &gt;= O$3), AND($F35&lt;O$3, WORKDAY($F35, 22,Holiday!$A$1:$A$30)&gt;O$3)), 1, 0)+IF(AND((O$3-$B$2)&gt;=0,(O$3-$B$2)&lt;30), 2,0)</f>
        <v>0</v>
      </c>
      <c r="P35" s="140">
        <f>IF(OR(AND($F34&lt;=P$3, $F35 &gt;= P$3), AND($F35&lt;P$3, WORKDAY($F35, 22,Holiday!$A$1:$A$30)&gt;P$3)), 1, 0)+IF(AND((P$3-$B$2)&gt;=0,(P$3-$B$2)&lt;30), 2,0)</f>
        <v>0</v>
      </c>
      <c r="Q35" s="140">
        <f>IF(OR(AND($F34&lt;=Q$3, $F35 &gt;= Q$3), AND($F35&lt;Q$3, WORKDAY($F35, 22,Holiday!$A$1:$A$30)&gt;Q$3)), 1, 0)+IF(AND((Q$3-$B$2)&gt;=0,(Q$3-$B$2)&lt;30), 2,0)</f>
        <v>0</v>
      </c>
      <c r="R35" s="140">
        <f>IF(OR(AND($F34&lt;=R$3, $F35 &gt;= R$3), AND($F35&lt;R$3, WORKDAY($F35, 22,Holiday!$A$1:$A$30)&gt;R$3)), 1, 0)+IF(AND((R$3-$B$2)&gt;=0,(R$3-$B$2)&lt;30), 2,0)</f>
        <v>0</v>
      </c>
      <c r="S35" s="140">
        <f>IF(OR(AND($F34&lt;=S$3, $F35 &gt;= S$3), AND($F35&lt;S$3, WORKDAY($F35, 22,Holiday!$A$1:$A$30)&gt;S$3)), 1, 0)+IF(AND((S$3-$B$2)&gt;=0,(S$3-$B$2)&lt;30), 2,0)</f>
        <v>0</v>
      </c>
      <c r="T35" s="140">
        <f>IF(OR(AND($F34&lt;=T$3, $F35 &gt;= T$3), AND($F35&lt;T$3, WORKDAY($F35, 22,Holiday!$A$1:$A$30)&gt;T$3)), 1, 0)+IF(AND((T$3-$B$2)&gt;=0,(T$3-$B$2)&lt;30), 2,0)</f>
        <v>0</v>
      </c>
      <c r="U35" s="140">
        <f>IF(OR(AND($F34&lt;=U$3, $F35 &gt;= U$3), AND($F35&lt;U$3, WORKDAY($F35, 22,Holiday!$A$1:$A$30)&gt;U$3)), 1, 0)+IF(AND((U$3-$B$2)&gt;=0,(U$3-$B$2)&lt;30), 2,0)</f>
        <v>0</v>
      </c>
      <c r="V35" s="140">
        <f>IF(OR(AND($F34&lt;=V$3, $F35 &gt;= V$3), AND($F35&lt;V$3, WORKDAY($F35, 22,Holiday!$A$1:$A$30)&gt;V$3)), 1, 0)+IF(AND((V$3-$B$2)&gt;=0,(V$3-$B$2)&lt;30), 2,0)</f>
        <v>0</v>
      </c>
      <c r="W35" s="140">
        <f>IF(OR(AND($F34&lt;=W$3, $F35 &gt;= W$3), AND($F35&lt;W$3, WORKDAY($F35, 22,Holiday!$A$1:$A$30)&gt;W$3)), 1, 0)+IF(AND((W$3-$B$2)&gt;=0,(W$3-$B$2)&lt;30), 2,0)</f>
        <v>0</v>
      </c>
      <c r="X35" s="140">
        <f>IF(OR(AND($F34&lt;=X$3, $F35 &gt;= X$3), AND($F35&lt;X$3, WORKDAY($F35, 22,Holiday!$A$1:$A$30)&gt;X$3)), 1, 0)+IF(AND((X$3-$B$2)&gt;=0,(X$3-$B$2)&lt;30), 2,0)</f>
        <v>0</v>
      </c>
      <c r="Y35" s="140">
        <f>IF(OR(AND($F34&lt;=Y$3, $F35 &gt;= Y$3), AND($F35&lt;Y$3, WORKDAY($F35, 22,Holiday!$A$1:$A$30)&gt;Y$3)), 1, 0)+IF(AND((Y$3-$B$2)&gt;=0,(Y$3-$B$2)&lt;30), 2,0)</f>
        <v>0</v>
      </c>
      <c r="Z35" s="140">
        <f>IF(OR(AND($F34&lt;=Z$3, $F35 &gt;= Z$3), AND($F35&lt;Z$3, WORKDAY($F35, 22,Holiday!$A$1:$A$30)&gt;Z$3)), 1, 0)+IF(AND((Z$3-$B$2)&gt;=0,(Z$3-$B$2)&lt;30), 2,0)</f>
        <v>0</v>
      </c>
      <c r="AA35" s="140">
        <f>IF(OR(AND($F34&lt;=AA$3, $F35 &gt;= AA$3), AND($F35&lt;AA$3, WORKDAY($F35, 22,Holiday!$A$1:$A$30)&gt;AA$3)), 1, 0)+IF(AND((AA$3-$B$2)&gt;=0,(AA$3-$B$2)&lt;30), 2,0)</f>
        <v>0</v>
      </c>
      <c r="AB35" s="140">
        <f>IF(OR(AND($F34&lt;=AB$3, $F35 &gt;= AB$3), AND($F35&lt;AB$3, WORKDAY($F35, 22,Holiday!$A$1:$A$30)&gt;AB$3)), 1, 0)+IF(AND((AB$3-$B$2)&gt;=0,(AB$3-$B$2)&lt;30), 2,0)</f>
        <v>1</v>
      </c>
      <c r="AC35" s="140">
        <f>IF(OR(AND($F34&lt;=AC$3, $F35 &gt;= AC$3), AND($F35&lt;AC$3, WORKDAY($F35, 22,Holiday!$A$1:$A$30)&gt;AC$3)), 1, 0)+IF(AND((AC$3-$B$2)&gt;=0,(AC$3-$B$2)&lt;30), 2,0)</f>
        <v>1</v>
      </c>
      <c r="AD35" s="140">
        <f>IF(OR(AND($F34&lt;=AD$3, $F35 &gt;= AD$3), AND($F35&lt;AD$3, WORKDAY($F35, 22,Holiday!$A$1:$A$30)&gt;AD$3)), 1, 0)+IF(AND((AD$3-$B$2)&gt;=0,(AD$3-$B$2)&lt;30), 2,0)</f>
        <v>0</v>
      </c>
      <c r="AE35" s="140">
        <f>IF(OR(AND($F34&lt;=AE$3, $F35 &gt;= AE$3), AND($F35&lt;AE$3, WORKDAY($F35, 22,Holiday!$A$1:$A$30)&gt;AE$3)), 1, 0)+IF(AND((AE$3-$B$2)&gt;=0,(AE$3-$B$2)&lt;30), 2,0)</f>
        <v>0</v>
      </c>
      <c r="AF35" s="140">
        <f>IF(OR(AND($F34&lt;=AF$3, $F35 &gt;= AF$3), AND($F35&lt;AF$3, WORKDAY($F35, 22,Holiday!$A$1:$A$30)&gt;AF$3)), 1, 0)+IF(AND((AF$3-$B$2)&gt;=0,(AF$3-$B$2)&lt;30), 2,0)</f>
        <v>0</v>
      </c>
      <c r="AG35" s="140">
        <f>IF(OR(AND($F34&lt;=AG$3, $F35 &gt;= AG$3), AND($F35&lt;AG$3, WORKDAY($F35, 22,Holiday!$A$1:$A$30)&gt;AG$3)), 1, 0)+IF(AND((AG$3-$B$2)&gt;=0,(AG$3-$B$2)&lt;30), 2,0)</f>
        <v>0</v>
      </c>
      <c r="AH35" s="140">
        <f>IF(OR(AND($F34&lt;=AH$3, $F35 &gt;= AH$3), AND($F35&lt;AH$3, WORKDAY($F35, 22,Holiday!$A$1:$A$30)&gt;AH$3)), 1, 0)+IF(AND((AH$3-$B$2)&gt;=0,(AH$3-$B$2)&lt;30), 2,0)</f>
        <v>0</v>
      </c>
      <c r="AI35" s="140">
        <f>IF(OR(AND($F34&lt;=AI$3, $F35 &gt;= AI$3), AND($F35&lt;AI$3, WORKDAY($F35, 22,Holiday!$A$1:$A$30)&gt;AI$3)), 1, 0)+IF(AND((AI$3-$B$2)&gt;=0,(AI$3-$B$2)&lt;30), 2,0)</f>
        <v>2</v>
      </c>
      <c r="AJ35" s="140">
        <f>IF(OR(AND($F34&lt;=AJ$3, $F35 &gt;= AJ$3), AND($F35&lt;AJ$3, WORKDAY($F35, 22,Holiday!$A$1:$A$30)&gt;AJ$3)), 1, 0)+IF(AND((AJ$3-$B$2)&gt;=0,(AJ$3-$B$2)&lt;30), 2,0)</f>
        <v>0</v>
      </c>
      <c r="AK35" s="140">
        <f>IF(OR(AND($F34&lt;=AK$3, $F35 &gt;= AK$3), AND($F35&lt;AK$3, WORKDAY($F35, 22,Holiday!$A$1:$A$30)&gt;AK$3)), 1, 0)+IF(AND((AK$3-$B$2)&gt;=0,(AK$3-$B$2)&lt;30), 2,0)</f>
        <v>0</v>
      </c>
      <c r="AL35" s="140">
        <f>IF(OR(AND($F34&lt;=AL$3, $F35 &gt;= AL$3), AND($F35&lt;AL$3, WORKDAY($F35, 22,Holiday!$A$1:$A$30)&gt;AL$3)), 1, 0)+IF(AND((AL$3-$B$2)&gt;=0,(AL$3-$B$2)&lt;30), 2,0)</f>
        <v>0</v>
      </c>
      <c r="AM35" s="140">
        <f>IF(OR(AND($F34&lt;=AM$3, $F35 &gt;= AM$3), AND($F35&lt;AM$3, WORKDAY($F35, 22,Holiday!$A$1:$A$30)&gt;AM$3)), 1, 0)+IF(AND((AM$3-$B$2)&gt;=0,(AM$3-$B$2)&lt;30), 2,0)</f>
        <v>0</v>
      </c>
      <c r="AN35" s="140">
        <f>IF(OR(AND($F34&lt;=AN$3, $F35 &gt;= AN$3), AND($F35&lt;AN$3, WORKDAY($F35, 22,Holiday!$A$1:$A$30)&gt;AN$3)), 1, 0)+IF(AND((AN$3-$B$2)&gt;=0,(AN$3-$B$2)&lt;30), 2,0)</f>
        <v>0</v>
      </c>
      <c r="AO35" s="140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">
      <c r="B36" s="120" t="s">
        <v>263</v>
      </c>
      <c r="C36" s="116" t="s">
        <v>78</v>
      </c>
      <c r="D36" s="117">
        <v>8</v>
      </c>
      <c r="E36" s="135">
        <f t="shared" si="0"/>
        <v>12</v>
      </c>
      <c r="F36" s="123">
        <f>WORKDAY(F35,E36,Holiday!A32:A61)</f>
        <v>46737</v>
      </c>
      <c r="G36" s="140">
        <f>IF(OR(AND($F35&lt;=G$3, $F36 &gt;= G$3), AND($F36&lt;G$3, WORKDAY($F36, 22,Holiday!$A$1:$A$30)&gt;G$3)), 1, 0)+IF(AND((G$3-$B$2)&gt;=0,(G$3-$B$2)&lt;30), 2,0)</f>
        <v>0</v>
      </c>
      <c r="H36" s="140">
        <f>IF(OR(AND($F35&lt;=H$3, $F36 &gt;= H$3), AND($F36&lt;H$3, WORKDAY($F36, 22,Holiday!$A$1:$A$30)&gt;H$3)), 1, 0)+IF(AND((H$3-$B$2)&gt;=0,(H$3-$B$2)&lt;30), 2,0)</f>
        <v>0</v>
      </c>
      <c r="I36" s="140">
        <f>IF(OR(AND($F35&lt;=I$3, $F36 &gt;= I$3), AND($F36&lt;I$3, WORKDAY($F36, 22,Holiday!$A$1:$A$30)&gt;I$3)), 1, 0)+IF(AND((I$3-$B$2)&gt;=0,(I$3-$B$2)&lt;30), 2,0)</f>
        <v>0</v>
      </c>
      <c r="J36" s="140">
        <f>IF(OR(AND($F35&lt;=J$3, $F36 &gt;= J$3), AND($F36&lt;J$3, WORKDAY($F36, 22,Holiday!$A$1:$A$30)&gt;J$3)), 1, 0)+IF(AND((J$3-$B$2)&gt;=0,(J$3-$B$2)&lt;30), 2,0)</f>
        <v>0</v>
      </c>
      <c r="K36" s="140">
        <f>IF(OR(AND($F35&lt;=K$3, $F36 &gt;= K$3), AND($F36&lt;K$3, WORKDAY($F36, 22,Holiday!$A$1:$A$30)&gt;K$3)), 1, 0)+IF(AND((K$3-$B$2)&gt;=0,(K$3-$B$2)&lt;30), 2,0)</f>
        <v>0</v>
      </c>
      <c r="L36" s="140">
        <f>IF(OR(AND($F35&lt;=L$3, $F36 &gt;= L$3), AND($F36&lt;L$3, WORKDAY($F36, 22,Holiday!$A$1:$A$30)&gt;L$3)), 1, 0)+IF(AND((L$3-$B$2)&gt;=0,(L$3-$B$2)&lt;30), 2,0)</f>
        <v>0</v>
      </c>
      <c r="M36" s="140">
        <f>IF(OR(AND($F35&lt;=M$3, $F36 &gt;= M$3), AND($F36&lt;M$3, WORKDAY($F36, 22,Holiday!$A$1:$A$30)&gt;M$3)), 1, 0)+IF(AND((M$3-$B$2)&gt;=0,(M$3-$B$2)&lt;30), 2,0)</f>
        <v>0</v>
      </c>
      <c r="N36" s="140">
        <f>IF(OR(AND($F35&lt;=N$3, $F36 &gt;= N$3), AND($F36&lt;N$3, WORKDAY($F36, 22,Holiday!$A$1:$A$30)&gt;N$3)), 1, 0)+IF(AND((N$3-$B$2)&gt;=0,(N$3-$B$2)&lt;30), 2,0)</f>
        <v>0</v>
      </c>
      <c r="O36" s="140">
        <f>IF(OR(AND($F35&lt;=O$3, $F36 &gt;= O$3), AND($F36&lt;O$3, WORKDAY($F36, 22,Holiday!$A$1:$A$30)&gt;O$3)), 1, 0)+IF(AND((O$3-$B$2)&gt;=0,(O$3-$B$2)&lt;30), 2,0)</f>
        <v>0</v>
      </c>
      <c r="P36" s="140">
        <f>IF(OR(AND($F35&lt;=P$3, $F36 &gt;= P$3), AND($F36&lt;P$3, WORKDAY($F36, 22,Holiday!$A$1:$A$30)&gt;P$3)), 1, 0)+IF(AND((P$3-$B$2)&gt;=0,(P$3-$B$2)&lt;30), 2,0)</f>
        <v>0</v>
      </c>
      <c r="Q36" s="140">
        <f>IF(OR(AND($F35&lt;=Q$3, $F36 &gt;= Q$3), AND($F36&lt;Q$3, WORKDAY($F36, 22,Holiday!$A$1:$A$30)&gt;Q$3)), 1, 0)+IF(AND((Q$3-$B$2)&gt;=0,(Q$3-$B$2)&lt;30), 2,0)</f>
        <v>0</v>
      </c>
      <c r="R36" s="140">
        <f>IF(OR(AND($F35&lt;=R$3, $F36 &gt;= R$3), AND($F36&lt;R$3, WORKDAY($F36, 22,Holiday!$A$1:$A$30)&gt;R$3)), 1, 0)+IF(AND((R$3-$B$2)&gt;=0,(R$3-$B$2)&lt;30), 2,0)</f>
        <v>0</v>
      </c>
      <c r="S36" s="140">
        <f>IF(OR(AND($F35&lt;=S$3, $F36 &gt;= S$3), AND($F36&lt;S$3, WORKDAY($F36, 22,Holiday!$A$1:$A$30)&gt;S$3)), 1, 0)+IF(AND((S$3-$B$2)&gt;=0,(S$3-$B$2)&lt;30), 2,0)</f>
        <v>0</v>
      </c>
      <c r="T36" s="140">
        <f>IF(OR(AND($F35&lt;=T$3, $F36 &gt;= T$3), AND($F36&lt;T$3, WORKDAY($F36, 22,Holiday!$A$1:$A$30)&gt;T$3)), 1, 0)+IF(AND((T$3-$B$2)&gt;=0,(T$3-$B$2)&lt;30), 2,0)</f>
        <v>0</v>
      </c>
      <c r="U36" s="140">
        <f>IF(OR(AND($F35&lt;=U$3, $F36 &gt;= U$3), AND($F36&lt;U$3, WORKDAY($F36, 22,Holiday!$A$1:$A$30)&gt;U$3)), 1, 0)+IF(AND((U$3-$B$2)&gt;=0,(U$3-$B$2)&lt;30), 2,0)</f>
        <v>0</v>
      </c>
      <c r="V36" s="140">
        <f>IF(OR(AND($F35&lt;=V$3, $F36 &gt;= V$3), AND($F36&lt;V$3, WORKDAY($F36, 22,Holiday!$A$1:$A$30)&gt;V$3)), 1, 0)+IF(AND((V$3-$B$2)&gt;=0,(V$3-$B$2)&lt;30), 2,0)</f>
        <v>0</v>
      </c>
      <c r="W36" s="140">
        <f>IF(OR(AND($F35&lt;=W$3, $F36 &gt;= W$3), AND($F36&lt;W$3, WORKDAY($F36, 22,Holiday!$A$1:$A$30)&gt;W$3)), 1, 0)+IF(AND((W$3-$B$2)&gt;=0,(W$3-$B$2)&lt;30), 2,0)</f>
        <v>0</v>
      </c>
      <c r="X36" s="140">
        <f>IF(OR(AND($F35&lt;=X$3, $F36 &gt;= X$3), AND($F36&lt;X$3, WORKDAY($F36, 22,Holiday!$A$1:$A$30)&gt;X$3)), 1, 0)+IF(AND((X$3-$B$2)&gt;=0,(X$3-$B$2)&lt;30), 2,0)</f>
        <v>0</v>
      </c>
      <c r="Y36" s="140">
        <f>IF(OR(AND($F35&lt;=Y$3, $F36 &gt;= Y$3), AND($F36&lt;Y$3, WORKDAY($F36, 22,Holiday!$A$1:$A$30)&gt;Y$3)), 1, 0)+IF(AND((Y$3-$B$2)&gt;=0,(Y$3-$B$2)&lt;30), 2,0)</f>
        <v>0</v>
      </c>
      <c r="Z36" s="140">
        <f>IF(OR(AND($F35&lt;=Z$3, $F36 &gt;= Z$3), AND($F36&lt;Z$3, WORKDAY($F36, 22,Holiday!$A$1:$A$30)&gt;Z$3)), 1, 0)+IF(AND((Z$3-$B$2)&gt;=0,(Z$3-$B$2)&lt;30), 2,0)</f>
        <v>0</v>
      </c>
      <c r="AA36" s="140">
        <f>IF(OR(AND($F35&lt;=AA$3, $F36 &gt;= AA$3), AND($F36&lt;AA$3, WORKDAY($F36, 22,Holiday!$A$1:$A$30)&gt;AA$3)), 1, 0)+IF(AND((AA$3-$B$2)&gt;=0,(AA$3-$B$2)&lt;30), 2,0)</f>
        <v>0</v>
      </c>
      <c r="AB36" s="140">
        <f>IF(OR(AND($F35&lt;=AB$3, $F36 &gt;= AB$3), AND($F36&lt;AB$3, WORKDAY($F36, 22,Holiday!$A$1:$A$30)&gt;AB$3)), 1, 0)+IF(AND((AB$3-$B$2)&gt;=0,(AB$3-$B$2)&lt;30), 2,0)</f>
        <v>0</v>
      </c>
      <c r="AC36" s="140">
        <f>IF(OR(AND($F35&lt;=AC$3, $F36 &gt;= AC$3), AND($F36&lt;AC$3, WORKDAY($F36, 22,Holiday!$A$1:$A$30)&gt;AC$3)), 1, 0)+IF(AND((AC$3-$B$2)&gt;=0,(AC$3-$B$2)&lt;30), 2,0)</f>
        <v>1</v>
      </c>
      <c r="AD36" s="140">
        <f>IF(OR(AND($F35&lt;=AD$3, $F36 &gt;= AD$3), AND($F36&lt;AD$3, WORKDAY($F36, 22,Holiday!$A$1:$A$30)&gt;AD$3)), 1, 0)+IF(AND((AD$3-$B$2)&gt;=0,(AD$3-$B$2)&lt;30), 2,0)</f>
        <v>1</v>
      </c>
      <c r="AE36" s="140">
        <f>IF(OR(AND($F35&lt;=AE$3, $F36 &gt;= AE$3), AND($F36&lt;AE$3, WORKDAY($F36, 22,Holiday!$A$1:$A$30)&gt;AE$3)), 1, 0)+IF(AND((AE$3-$B$2)&gt;=0,(AE$3-$B$2)&lt;30), 2,0)</f>
        <v>0</v>
      </c>
      <c r="AF36" s="140">
        <f>IF(OR(AND($F35&lt;=AF$3, $F36 &gt;= AF$3), AND($F36&lt;AF$3, WORKDAY($F36, 22,Holiday!$A$1:$A$30)&gt;AF$3)), 1, 0)+IF(AND((AF$3-$B$2)&gt;=0,(AF$3-$B$2)&lt;30), 2,0)</f>
        <v>0</v>
      </c>
      <c r="AG36" s="140">
        <f>IF(OR(AND($F35&lt;=AG$3, $F36 &gt;= AG$3), AND($F36&lt;AG$3, WORKDAY($F36, 22,Holiday!$A$1:$A$30)&gt;AG$3)), 1, 0)+IF(AND((AG$3-$B$2)&gt;=0,(AG$3-$B$2)&lt;30), 2,0)</f>
        <v>0</v>
      </c>
      <c r="AH36" s="140">
        <f>IF(OR(AND($F35&lt;=AH$3, $F36 &gt;= AH$3), AND($F36&lt;AH$3, WORKDAY($F36, 22,Holiday!$A$1:$A$30)&gt;AH$3)), 1, 0)+IF(AND((AH$3-$B$2)&gt;=0,(AH$3-$B$2)&lt;30), 2,0)</f>
        <v>0</v>
      </c>
      <c r="AI36" s="140">
        <f>IF(OR(AND($F35&lt;=AI$3, $F36 &gt;= AI$3), AND($F36&lt;AI$3, WORKDAY($F36, 22,Holiday!$A$1:$A$30)&gt;AI$3)), 1, 0)+IF(AND((AI$3-$B$2)&gt;=0,(AI$3-$B$2)&lt;30), 2,0)</f>
        <v>2</v>
      </c>
      <c r="AJ36" s="140">
        <f>IF(OR(AND($F35&lt;=AJ$3, $F36 &gt;= AJ$3), AND($F36&lt;AJ$3, WORKDAY($F36, 22,Holiday!$A$1:$A$30)&gt;AJ$3)), 1, 0)+IF(AND((AJ$3-$B$2)&gt;=0,(AJ$3-$B$2)&lt;30), 2,0)</f>
        <v>0</v>
      </c>
      <c r="AK36" s="140">
        <f>IF(OR(AND($F35&lt;=AK$3, $F36 &gt;= AK$3), AND($F36&lt;AK$3, WORKDAY($F36, 22,Holiday!$A$1:$A$30)&gt;AK$3)), 1, 0)+IF(AND((AK$3-$B$2)&gt;=0,(AK$3-$B$2)&lt;30), 2,0)</f>
        <v>0</v>
      </c>
      <c r="AL36" s="140">
        <f>IF(OR(AND($F35&lt;=AL$3, $F36 &gt;= AL$3), AND($F36&lt;AL$3, WORKDAY($F36, 22,Holiday!$A$1:$A$30)&gt;AL$3)), 1, 0)+IF(AND((AL$3-$B$2)&gt;=0,(AL$3-$B$2)&lt;30), 2,0)</f>
        <v>0</v>
      </c>
      <c r="AM36" s="140">
        <f>IF(OR(AND($F35&lt;=AM$3, $F36 &gt;= AM$3), AND($F36&lt;AM$3, WORKDAY($F36, 22,Holiday!$A$1:$A$30)&gt;AM$3)), 1, 0)+IF(AND((AM$3-$B$2)&gt;=0,(AM$3-$B$2)&lt;30), 2,0)</f>
        <v>0</v>
      </c>
      <c r="AN36" s="140">
        <f>IF(OR(AND($F35&lt;=AN$3, $F36 &gt;= AN$3), AND($F36&lt;AN$3, WORKDAY($F36, 22,Holiday!$A$1:$A$30)&gt;AN$3)), 1, 0)+IF(AND((AN$3-$B$2)&gt;=0,(AN$3-$B$2)&lt;30), 2,0)</f>
        <v>0</v>
      </c>
      <c r="AO36" s="140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">
      <c r="B37" s="116" t="s">
        <v>264</v>
      </c>
      <c r="C37" s="116" t="s">
        <v>78</v>
      </c>
      <c r="D37" s="117">
        <v>10</v>
      </c>
      <c r="E37" s="135">
        <f t="shared" si="0"/>
        <v>15</v>
      </c>
      <c r="F37" s="123">
        <f>WORKDAY(F36,E37,Holiday!A33:A62)</f>
        <v>46758</v>
      </c>
      <c r="G37" s="140">
        <f>IF(OR(AND($F36&lt;=G$3, $F37 &gt;= G$3), AND($F37&lt;G$3, WORKDAY($F37, 22,Holiday!$A$1:$A$30)&gt;G$3)), 1, 0)+IF(AND((G$3-$B$2)&gt;=0,(G$3-$B$2)&lt;30), 2,0)</f>
        <v>0</v>
      </c>
      <c r="H37" s="140">
        <f>IF(OR(AND($F36&lt;=H$3, $F37 &gt;= H$3), AND($F37&lt;H$3, WORKDAY($F37, 22,Holiday!$A$1:$A$30)&gt;H$3)), 1, 0)+IF(AND((H$3-$B$2)&gt;=0,(H$3-$B$2)&lt;30), 2,0)</f>
        <v>0</v>
      </c>
      <c r="I37" s="140">
        <f>IF(OR(AND($F36&lt;=I$3, $F37 &gt;= I$3), AND($F37&lt;I$3, WORKDAY($F37, 22,Holiday!$A$1:$A$30)&gt;I$3)), 1, 0)+IF(AND((I$3-$B$2)&gt;=0,(I$3-$B$2)&lt;30), 2,0)</f>
        <v>0</v>
      </c>
      <c r="J37" s="140">
        <f>IF(OR(AND($F36&lt;=J$3, $F37 &gt;= J$3), AND($F37&lt;J$3, WORKDAY($F37, 22,Holiday!$A$1:$A$30)&gt;J$3)), 1, 0)+IF(AND((J$3-$B$2)&gt;=0,(J$3-$B$2)&lt;30), 2,0)</f>
        <v>0</v>
      </c>
      <c r="K37" s="140">
        <f>IF(OR(AND($F36&lt;=K$3, $F37 &gt;= K$3), AND($F37&lt;K$3, WORKDAY($F37, 22,Holiday!$A$1:$A$30)&gt;K$3)), 1, 0)+IF(AND((K$3-$B$2)&gt;=0,(K$3-$B$2)&lt;30), 2,0)</f>
        <v>0</v>
      </c>
      <c r="L37" s="140">
        <f>IF(OR(AND($F36&lt;=L$3, $F37 &gt;= L$3), AND($F37&lt;L$3, WORKDAY($F37, 22,Holiday!$A$1:$A$30)&gt;L$3)), 1, 0)+IF(AND((L$3-$B$2)&gt;=0,(L$3-$B$2)&lt;30), 2,0)</f>
        <v>0</v>
      </c>
      <c r="M37" s="140">
        <f>IF(OR(AND($F36&lt;=M$3, $F37 &gt;= M$3), AND($F37&lt;M$3, WORKDAY($F37, 22,Holiday!$A$1:$A$30)&gt;M$3)), 1, 0)+IF(AND((M$3-$B$2)&gt;=0,(M$3-$B$2)&lt;30), 2,0)</f>
        <v>0</v>
      </c>
      <c r="N37" s="140">
        <f>IF(OR(AND($F36&lt;=N$3, $F37 &gt;= N$3), AND($F37&lt;N$3, WORKDAY($F37, 22,Holiday!$A$1:$A$30)&gt;N$3)), 1, 0)+IF(AND((N$3-$B$2)&gt;=0,(N$3-$B$2)&lt;30), 2,0)</f>
        <v>0</v>
      </c>
      <c r="O37" s="140">
        <f>IF(OR(AND($F36&lt;=O$3, $F37 &gt;= O$3), AND($F37&lt;O$3, WORKDAY($F37, 22,Holiday!$A$1:$A$30)&gt;O$3)), 1, 0)+IF(AND((O$3-$B$2)&gt;=0,(O$3-$B$2)&lt;30), 2,0)</f>
        <v>0</v>
      </c>
      <c r="P37" s="140">
        <f>IF(OR(AND($F36&lt;=P$3, $F37 &gt;= P$3), AND($F37&lt;P$3, WORKDAY($F37, 22,Holiday!$A$1:$A$30)&gt;P$3)), 1, 0)+IF(AND((P$3-$B$2)&gt;=0,(P$3-$B$2)&lt;30), 2,0)</f>
        <v>0</v>
      </c>
      <c r="Q37" s="140">
        <f>IF(OR(AND($F36&lt;=Q$3, $F37 &gt;= Q$3), AND($F37&lt;Q$3, WORKDAY($F37, 22,Holiday!$A$1:$A$30)&gt;Q$3)), 1, 0)+IF(AND((Q$3-$B$2)&gt;=0,(Q$3-$B$2)&lt;30), 2,0)</f>
        <v>0</v>
      </c>
      <c r="R37" s="140">
        <f>IF(OR(AND($F36&lt;=R$3, $F37 &gt;= R$3), AND($F37&lt;R$3, WORKDAY($F37, 22,Holiday!$A$1:$A$30)&gt;R$3)), 1, 0)+IF(AND((R$3-$B$2)&gt;=0,(R$3-$B$2)&lt;30), 2,0)</f>
        <v>0</v>
      </c>
      <c r="S37" s="140">
        <f>IF(OR(AND($F36&lt;=S$3, $F37 &gt;= S$3), AND($F37&lt;S$3, WORKDAY($F37, 22,Holiday!$A$1:$A$30)&gt;S$3)), 1, 0)+IF(AND((S$3-$B$2)&gt;=0,(S$3-$B$2)&lt;30), 2,0)</f>
        <v>0</v>
      </c>
      <c r="T37" s="140">
        <f>IF(OR(AND($F36&lt;=T$3, $F37 &gt;= T$3), AND($F37&lt;T$3, WORKDAY($F37, 22,Holiday!$A$1:$A$30)&gt;T$3)), 1, 0)+IF(AND((T$3-$B$2)&gt;=0,(T$3-$B$2)&lt;30), 2,0)</f>
        <v>0</v>
      </c>
      <c r="U37" s="140">
        <f>IF(OR(AND($F36&lt;=U$3, $F37 &gt;= U$3), AND($F37&lt;U$3, WORKDAY($F37, 22,Holiday!$A$1:$A$30)&gt;U$3)), 1, 0)+IF(AND((U$3-$B$2)&gt;=0,(U$3-$B$2)&lt;30), 2,0)</f>
        <v>0</v>
      </c>
      <c r="V37" s="140">
        <f>IF(OR(AND($F36&lt;=V$3, $F37 &gt;= V$3), AND($F37&lt;V$3, WORKDAY($F37, 22,Holiday!$A$1:$A$30)&gt;V$3)), 1, 0)+IF(AND((V$3-$B$2)&gt;=0,(V$3-$B$2)&lt;30), 2,0)</f>
        <v>0</v>
      </c>
      <c r="W37" s="140">
        <f>IF(OR(AND($F36&lt;=W$3, $F37 &gt;= W$3), AND($F37&lt;W$3, WORKDAY($F37, 22,Holiday!$A$1:$A$30)&gt;W$3)), 1, 0)+IF(AND((W$3-$B$2)&gt;=0,(W$3-$B$2)&lt;30), 2,0)</f>
        <v>0</v>
      </c>
      <c r="X37" s="140">
        <f>IF(OR(AND($F36&lt;=X$3, $F37 &gt;= X$3), AND($F37&lt;X$3, WORKDAY($F37, 22,Holiday!$A$1:$A$30)&gt;X$3)), 1, 0)+IF(AND((X$3-$B$2)&gt;=0,(X$3-$B$2)&lt;30), 2,0)</f>
        <v>0</v>
      </c>
      <c r="Y37" s="140">
        <f>IF(OR(AND($F36&lt;=Y$3, $F37 &gt;= Y$3), AND($F37&lt;Y$3, WORKDAY($F37, 22,Holiday!$A$1:$A$30)&gt;Y$3)), 1, 0)+IF(AND((Y$3-$B$2)&gt;=0,(Y$3-$B$2)&lt;30), 2,0)</f>
        <v>0</v>
      </c>
      <c r="Z37" s="140">
        <f>IF(OR(AND($F36&lt;=Z$3, $F37 &gt;= Z$3), AND($F37&lt;Z$3, WORKDAY($F37, 22,Holiday!$A$1:$A$30)&gt;Z$3)), 1, 0)+IF(AND((Z$3-$B$2)&gt;=0,(Z$3-$B$2)&lt;30), 2,0)</f>
        <v>0</v>
      </c>
      <c r="AA37" s="140">
        <f>IF(OR(AND($F36&lt;=AA$3, $F37 &gt;= AA$3), AND($F37&lt;AA$3, WORKDAY($F37, 22,Holiday!$A$1:$A$30)&gt;AA$3)), 1, 0)+IF(AND((AA$3-$B$2)&gt;=0,(AA$3-$B$2)&lt;30), 2,0)</f>
        <v>0</v>
      </c>
      <c r="AB37" s="140">
        <f>IF(OR(AND($F36&lt;=AB$3, $F37 &gt;= AB$3), AND($F37&lt;AB$3, WORKDAY($F37, 22,Holiday!$A$1:$A$30)&gt;AB$3)), 1, 0)+IF(AND((AB$3-$B$2)&gt;=0,(AB$3-$B$2)&lt;30), 2,0)</f>
        <v>0</v>
      </c>
      <c r="AC37" s="140">
        <f>IF(OR(AND($F36&lt;=AC$3, $F37 &gt;= AC$3), AND($F37&lt;AC$3, WORKDAY($F37, 22,Holiday!$A$1:$A$30)&gt;AC$3)), 1, 0)+IF(AND((AC$3-$B$2)&gt;=0,(AC$3-$B$2)&lt;30), 2,0)</f>
        <v>0</v>
      </c>
      <c r="AD37" s="140">
        <f>IF(OR(AND($F36&lt;=AD$3, $F37 &gt;= AD$3), AND($F37&lt;AD$3, WORKDAY($F37, 22,Holiday!$A$1:$A$30)&gt;AD$3)), 1, 0)+IF(AND((AD$3-$B$2)&gt;=0,(AD$3-$B$2)&lt;30), 2,0)</f>
        <v>1</v>
      </c>
      <c r="AE37" s="140">
        <f>IF(OR(AND($F36&lt;=AE$3, $F37 &gt;= AE$3), AND($F37&lt;AE$3, WORKDAY($F37, 22,Holiday!$A$1:$A$30)&gt;AE$3)), 1, 0)+IF(AND((AE$3-$B$2)&gt;=0,(AE$3-$B$2)&lt;30), 2,0)</f>
        <v>0</v>
      </c>
      <c r="AF37" s="140">
        <f>IF(OR(AND($F36&lt;=AF$3, $F37 &gt;= AF$3), AND($F37&lt;AF$3, WORKDAY($F37, 22,Holiday!$A$1:$A$30)&gt;AF$3)), 1, 0)+IF(AND((AF$3-$B$2)&gt;=0,(AF$3-$B$2)&lt;30), 2,0)</f>
        <v>0</v>
      </c>
      <c r="AG37" s="140">
        <f>IF(OR(AND($F36&lt;=AG$3, $F37 &gt;= AG$3), AND($F37&lt;AG$3, WORKDAY($F37, 22,Holiday!$A$1:$A$30)&gt;AG$3)), 1, 0)+IF(AND((AG$3-$B$2)&gt;=0,(AG$3-$B$2)&lt;30), 2,0)</f>
        <v>0</v>
      </c>
      <c r="AH37" s="140">
        <f>IF(OR(AND($F36&lt;=AH$3, $F37 &gt;= AH$3), AND($F37&lt;AH$3, WORKDAY($F37, 22,Holiday!$A$1:$A$30)&gt;AH$3)), 1, 0)+IF(AND((AH$3-$B$2)&gt;=0,(AH$3-$B$2)&lt;30), 2,0)</f>
        <v>0</v>
      </c>
      <c r="AI37" s="140">
        <f>IF(OR(AND($F36&lt;=AI$3, $F37 &gt;= AI$3), AND($F37&lt;AI$3, WORKDAY($F37, 22,Holiday!$A$1:$A$30)&gt;AI$3)), 1, 0)+IF(AND((AI$3-$B$2)&gt;=0,(AI$3-$B$2)&lt;30), 2,0)</f>
        <v>2</v>
      </c>
      <c r="AJ37" s="140">
        <f>IF(OR(AND($F36&lt;=AJ$3, $F37 &gt;= AJ$3), AND($F37&lt;AJ$3, WORKDAY($F37, 22,Holiday!$A$1:$A$30)&gt;AJ$3)), 1, 0)+IF(AND((AJ$3-$B$2)&gt;=0,(AJ$3-$B$2)&lt;30), 2,0)</f>
        <v>0</v>
      </c>
      <c r="AK37" s="140">
        <f>IF(OR(AND($F36&lt;=AK$3, $F37 &gt;= AK$3), AND($F37&lt;AK$3, WORKDAY($F37, 22,Holiday!$A$1:$A$30)&gt;AK$3)), 1, 0)+IF(AND((AK$3-$B$2)&gt;=0,(AK$3-$B$2)&lt;30), 2,0)</f>
        <v>0</v>
      </c>
      <c r="AL37" s="140">
        <f>IF(OR(AND($F36&lt;=AL$3, $F37 &gt;= AL$3), AND($F37&lt;AL$3, WORKDAY($F37, 22,Holiday!$A$1:$A$30)&gt;AL$3)), 1, 0)+IF(AND((AL$3-$B$2)&gt;=0,(AL$3-$B$2)&lt;30), 2,0)</f>
        <v>0</v>
      </c>
      <c r="AM37" s="140">
        <f>IF(OR(AND($F36&lt;=AM$3, $F37 &gt;= AM$3), AND($F37&lt;AM$3, WORKDAY($F37, 22,Holiday!$A$1:$A$30)&gt;AM$3)), 1, 0)+IF(AND((AM$3-$B$2)&gt;=0,(AM$3-$B$2)&lt;30), 2,0)</f>
        <v>0</v>
      </c>
      <c r="AN37" s="140">
        <f>IF(OR(AND($F36&lt;=AN$3, $F37 &gt;= AN$3), AND($F37&lt;AN$3, WORKDAY($F37, 22,Holiday!$A$1:$A$30)&gt;AN$3)), 1, 0)+IF(AND((AN$3-$B$2)&gt;=0,(AN$3-$B$2)&lt;30), 2,0)</f>
        <v>0</v>
      </c>
      <c r="AO37" s="140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">
      <c r="B38" s="120" t="s">
        <v>265</v>
      </c>
      <c r="C38" s="116" t="s">
        <v>78</v>
      </c>
      <c r="D38" s="117">
        <v>8</v>
      </c>
      <c r="E38" s="135">
        <f t="shared" si="0"/>
        <v>12</v>
      </c>
      <c r="F38" s="123">
        <f>WORKDAY(F37,E38,Holiday!A34:A63)</f>
        <v>46776</v>
      </c>
      <c r="G38" s="140">
        <f>IF(OR(AND($F37&lt;=G$3, $F38 &gt;= G$3), AND($F38&lt;G$3, WORKDAY($F38, 22,Holiday!$A$1:$A$30)&gt;G$3)), 1, 0)+IF(AND((G$3-$B$2)&gt;=0,(G$3-$B$2)&lt;30), 2,0)</f>
        <v>0</v>
      </c>
      <c r="H38" s="140">
        <f>IF(OR(AND($F37&lt;=H$3, $F38 &gt;= H$3), AND($F38&lt;H$3, WORKDAY($F38, 22,Holiday!$A$1:$A$30)&gt;H$3)), 1, 0)+IF(AND((H$3-$B$2)&gt;=0,(H$3-$B$2)&lt;30), 2,0)</f>
        <v>0</v>
      </c>
      <c r="I38" s="140">
        <f>IF(OR(AND($F37&lt;=I$3, $F38 &gt;= I$3), AND($F38&lt;I$3, WORKDAY($F38, 22,Holiday!$A$1:$A$30)&gt;I$3)), 1, 0)+IF(AND((I$3-$B$2)&gt;=0,(I$3-$B$2)&lt;30), 2,0)</f>
        <v>0</v>
      </c>
      <c r="J38" s="140">
        <f>IF(OR(AND($F37&lt;=J$3, $F38 &gt;= J$3), AND($F38&lt;J$3, WORKDAY($F38, 22,Holiday!$A$1:$A$30)&gt;J$3)), 1, 0)+IF(AND((J$3-$B$2)&gt;=0,(J$3-$B$2)&lt;30), 2,0)</f>
        <v>0</v>
      </c>
      <c r="K38" s="140">
        <f>IF(OR(AND($F37&lt;=K$3, $F38 &gt;= K$3), AND($F38&lt;K$3, WORKDAY($F38, 22,Holiday!$A$1:$A$30)&gt;K$3)), 1, 0)+IF(AND((K$3-$B$2)&gt;=0,(K$3-$B$2)&lt;30), 2,0)</f>
        <v>0</v>
      </c>
      <c r="L38" s="140">
        <f>IF(OR(AND($F37&lt;=L$3, $F38 &gt;= L$3), AND($F38&lt;L$3, WORKDAY($F38, 22,Holiday!$A$1:$A$30)&gt;L$3)), 1, 0)+IF(AND((L$3-$B$2)&gt;=0,(L$3-$B$2)&lt;30), 2,0)</f>
        <v>0</v>
      </c>
      <c r="M38" s="140">
        <f>IF(OR(AND($F37&lt;=M$3, $F38 &gt;= M$3), AND($F38&lt;M$3, WORKDAY($F38, 22,Holiday!$A$1:$A$30)&gt;M$3)), 1, 0)+IF(AND((M$3-$B$2)&gt;=0,(M$3-$B$2)&lt;30), 2,0)</f>
        <v>0</v>
      </c>
      <c r="N38" s="140">
        <f>IF(OR(AND($F37&lt;=N$3, $F38 &gt;= N$3), AND($F38&lt;N$3, WORKDAY($F38, 22,Holiday!$A$1:$A$30)&gt;N$3)), 1, 0)+IF(AND((N$3-$B$2)&gt;=0,(N$3-$B$2)&lt;30), 2,0)</f>
        <v>0</v>
      </c>
      <c r="O38" s="140">
        <f>IF(OR(AND($F37&lt;=O$3, $F38 &gt;= O$3), AND($F38&lt;O$3, WORKDAY($F38, 22,Holiday!$A$1:$A$30)&gt;O$3)), 1, 0)+IF(AND((O$3-$B$2)&gt;=0,(O$3-$B$2)&lt;30), 2,0)</f>
        <v>0</v>
      </c>
      <c r="P38" s="140">
        <f>IF(OR(AND($F37&lt;=P$3, $F38 &gt;= P$3), AND($F38&lt;P$3, WORKDAY($F38, 22,Holiday!$A$1:$A$30)&gt;P$3)), 1, 0)+IF(AND((P$3-$B$2)&gt;=0,(P$3-$B$2)&lt;30), 2,0)</f>
        <v>0</v>
      </c>
      <c r="Q38" s="140">
        <f>IF(OR(AND($F37&lt;=Q$3, $F38 &gt;= Q$3), AND($F38&lt;Q$3, WORKDAY($F38, 22,Holiday!$A$1:$A$30)&gt;Q$3)), 1, 0)+IF(AND((Q$3-$B$2)&gt;=0,(Q$3-$B$2)&lt;30), 2,0)</f>
        <v>0</v>
      </c>
      <c r="R38" s="140">
        <f>IF(OR(AND($F37&lt;=R$3, $F38 &gt;= R$3), AND($F38&lt;R$3, WORKDAY($F38, 22,Holiday!$A$1:$A$30)&gt;R$3)), 1, 0)+IF(AND((R$3-$B$2)&gt;=0,(R$3-$B$2)&lt;30), 2,0)</f>
        <v>0</v>
      </c>
      <c r="S38" s="140">
        <f>IF(OR(AND($F37&lt;=S$3, $F38 &gt;= S$3), AND($F38&lt;S$3, WORKDAY($F38, 22,Holiday!$A$1:$A$30)&gt;S$3)), 1, 0)+IF(AND((S$3-$B$2)&gt;=0,(S$3-$B$2)&lt;30), 2,0)</f>
        <v>0</v>
      </c>
      <c r="T38" s="140">
        <f>IF(OR(AND($F37&lt;=T$3, $F38 &gt;= T$3), AND($F38&lt;T$3, WORKDAY($F38, 22,Holiday!$A$1:$A$30)&gt;T$3)), 1, 0)+IF(AND((T$3-$B$2)&gt;=0,(T$3-$B$2)&lt;30), 2,0)</f>
        <v>0</v>
      </c>
      <c r="U38" s="140">
        <f>IF(OR(AND($F37&lt;=U$3, $F38 &gt;= U$3), AND($F38&lt;U$3, WORKDAY($F38, 22,Holiday!$A$1:$A$30)&gt;U$3)), 1, 0)+IF(AND((U$3-$B$2)&gt;=0,(U$3-$B$2)&lt;30), 2,0)</f>
        <v>0</v>
      </c>
      <c r="V38" s="140">
        <f>IF(OR(AND($F37&lt;=V$3, $F38 &gt;= V$3), AND($F38&lt;V$3, WORKDAY($F38, 22,Holiday!$A$1:$A$30)&gt;V$3)), 1, 0)+IF(AND((V$3-$B$2)&gt;=0,(V$3-$B$2)&lt;30), 2,0)</f>
        <v>0</v>
      </c>
      <c r="W38" s="140">
        <f>IF(OR(AND($F37&lt;=W$3, $F38 &gt;= W$3), AND($F38&lt;W$3, WORKDAY($F38, 22,Holiday!$A$1:$A$30)&gt;W$3)), 1, 0)+IF(AND((W$3-$B$2)&gt;=0,(W$3-$B$2)&lt;30), 2,0)</f>
        <v>0</v>
      </c>
      <c r="X38" s="140">
        <f>IF(OR(AND($F37&lt;=X$3, $F38 &gt;= X$3), AND($F38&lt;X$3, WORKDAY($F38, 22,Holiday!$A$1:$A$30)&gt;X$3)), 1, 0)+IF(AND((X$3-$B$2)&gt;=0,(X$3-$B$2)&lt;30), 2,0)</f>
        <v>0</v>
      </c>
      <c r="Y38" s="140">
        <f>IF(OR(AND($F37&lt;=Y$3, $F38 &gt;= Y$3), AND($F38&lt;Y$3, WORKDAY($F38, 22,Holiday!$A$1:$A$30)&gt;Y$3)), 1, 0)+IF(AND((Y$3-$B$2)&gt;=0,(Y$3-$B$2)&lt;30), 2,0)</f>
        <v>0</v>
      </c>
      <c r="Z38" s="140">
        <f>IF(OR(AND($F37&lt;=Z$3, $F38 &gt;= Z$3), AND($F38&lt;Z$3, WORKDAY($F38, 22,Holiday!$A$1:$A$30)&gt;Z$3)), 1, 0)+IF(AND((Z$3-$B$2)&gt;=0,(Z$3-$B$2)&lt;30), 2,0)</f>
        <v>0</v>
      </c>
      <c r="AA38" s="140">
        <f>IF(OR(AND($F37&lt;=AA$3, $F38 &gt;= AA$3), AND($F38&lt;AA$3, WORKDAY($F38, 22,Holiday!$A$1:$A$30)&gt;AA$3)), 1, 0)+IF(AND((AA$3-$B$2)&gt;=0,(AA$3-$B$2)&lt;30), 2,0)</f>
        <v>0</v>
      </c>
      <c r="AB38" s="140">
        <f>IF(OR(AND($F37&lt;=AB$3, $F38 &gt;= AB$3), AND($F38&lt;AB$3, WORKDAY($F38, 22,Holiday!$A$1:$A$30)&gt;AB$3)), 1, 0)+IF(AND((AB$3-$B$2)&gt;=0,(AB$3-$B$2)&lt;30), 2,0)</f>
        <v>0</v>
      </c>
      <c r="AC38" s="140">
        <f>IF(OR(AND($F37&lt;=AC$3, $F38 &gt;= AC$3), AND($F38&lt;AC$3, WORKDAY($F38, 22,Holiday!$A$1:$A$30)&gt;AC$3)), 1, 0)+IF(AND((AC$3-$B$2)&gt;=0,(AC$3-$B$2)&lt;30), 2,0)</f>
        <v>0</v>
      </c>
      <c r="AD38" s="140">
        <f>IF(OR(AND($F37&lt;=AD$3, $F38 &gt;= AD$3), AND($F38&lt;AD$3, WORKDAY($F38, 22,Holiday!$A$1:$A$30)&gt;AD$3)), 1, 0)+IF(AND((AD$3-$B$2)&gt;=0,(AD$3-$B$2)&lt;30), 2,0)</f>
        <v>1</v>
      </c>
      <c r="AE38" s="140">
        <f>IF(OR(AND($F37&lt;=AE$3, $F38 &gt;= AE$3), AND($F38&lt;AE$3, WORKDAY($F38, 22,Holiday!$A$1:$A$30)&gt;AE$3)), 1, 0)+IF(AND((AE$3-$B$2)&gt;=0,(AE$3-$B$2)&lt;30), 2,0)</f>
        <v>1</v>
      </c>
      <c r="AF38" s="140">
        <f>IF(OR(AND($F37&lt;=AF$3, $F38 &gt;= AF$3), AND($F38&lt;AF$3, WORKDAY($F38, 22,Holiday!$A$1:$A$30)&gt;AF$3)), 1, 0)+IF(AND((AF$3-$B$2)&gt;=0,(AF$3-$B$2)&lt;30), 2,0)</f>
        <v>0</v>
      </c>
      <c r="AG38" s="140">
        <f>IF(OR(AND($F37&lt;=AG$3, $F38 &gt;= AG$3), AND($F38&lt;AG$3, WORKDAY($F38, 22,Holiday!$A$1:$A$30)&gt;AG$3)), 1, 0)+IF(AND((AG$3-$B$2)&gt;=0,(AG$3-$B$2)&lt;30), 2,0)</f>
        <v>0</v>
      </c>
      <c r="AH38" s="140">
        <f>IF(OR(AND($F37&lt;=AH$3, $F38 &gt;= AH$3), AND($F38&lt;AH$3, WORKDAY($F38, 22,Holiday!$A$1:$A$30)&gt;AH$3)), 1, 0)+IF(AND((AH$3-$B$2)&gt;=0,(AH$3-$B$2)&lt;30), 2,0)</f>
        <v>0</v>
      </c>
      <c r="AI38" s="140">
        <f>IF(OR(AND($F37&lt;=AI$3, $F38 &gt;= AI$3), AND($F38&lt;AI$3, WORKDAY($F38, 22,Holiday!$A$1:$A$30)&gt;AI$3)), 1, 0)+IF(AND((AI$3-$B$2)&gt;=0,(AI$3-$B$2)&lt;30), 2,0)</f>
        <v>2</v>
      </c>
      <c r="AJ38" s="140">
        <f>IF(OR(AND($F37&lt;=AJ$3, $F38 &gt;= AJ$3), AND($F38&lt;AJ$3, WORKDAY($F38, 22,Holiday!$A$1:$A$30)&gt;AJ$3)), 1, 0)+IF(AND((AJ$3-$B$2)&gt;=0,(AJ$3-$B$2)&lt;30), 2,0)</f>
        <v>0</v>
      </c>
      <c r="AK38" s="140">
        <f>IF(OR(AND($F37&lt;=AK$3, $F38 &gt;= AK$3), AND($F38&lt;AK$3, WORKDAY($F38, 22,Holiday!$A$1:$A$30)&gt;AK$3)), 1, 0)+IF(AND((AK$3-$B$2)&gt;=0,(AK$3-$B$2)&lt;30), 2,0)</f>
        <v>0</v>
      </c>
      <c r="AL38" s="140">
        <f>IF(OR(AND($F37&lt;=AL$3, $F38 &gt;= AL$3), AND($F38&lt;AL$3, WORKDAY($F38, 22,Holiday!$A$1:$A$30)&gt;AL$3)), 1, 0)+IF(AND((AL$3-$B$2)&gt;=0,(AL$3-$B$2)&lt;30), 2,0)</f>
        <v>0</v>
      </c>
      <c r="AM38" s="140">
        <f>IF(OR(AND($F37&lt;=AM$3, $F38 &gt;= AM$3), AND($F38&lt;AM$3, WORKDAY($F38, 22,Holiday!$A$1:$A$30)&gt;AM$3)), 1, 0)+IF(AND((AM$3-$B$2)&gt;=0,(AM$3-$B$2)&lt;30), 2,0)</f>
        <v>0</v>
      </c>
      <c r="AN38" s="140">
        <f>IF(OR(AND($F37&lt;=AN$3, $F38 &gt;= AN$3), AND($F38&lt;AN$3, WORKDAY($F38, 22,Holiday!$A$1:$A$30)&gt;AN$3)), 1, 0)+IF(AND((AN$3-$B$2)&gt;=0,(AN$3-$B$2)&lt;30), 2,0)</f>
        <v>0</v>
      </c>
      <c r="AO38" s="140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">
      <c r="B39" s="120" t="s">
        <v>266</v>
      </c>
      <c r="C39" s="116" t="s">
        <v>78</v>
      </c>
      <c r="D39" s="117">
        <v>10</v>
      </c>
      <c r="E39" s="135">
        <f t="shared" si="0"/>
        <v>15</v>
      </c>
      <c r="F39" s="123">
        <f>WORKDAY(F38,E39,Holiday!A35:A64)</f>
        <v>46797</v>
      </c>
      <c r="G39" s="140">
        <f>IF(OR(AND($F38&lt;=G$3, $F39 &gt;= G$3), AND($F39&lt;G$3, WORKDAY($F39, 22,Holiday!$A$1:$A$30)&gt;G$3)), 1, 0)+IF(AND((G$3-$B$2)&gt;=0,(G$3-$B$2)&lt;30), 2,0)</f>
        <v>0</v>
      </c>
      <c r="H39" s="140">
        <f>IF(OR(AND($F38&lt;=H$3, $F39 &gt;= H$3), AND($F39&lt;H$3, WORKDAY($F39, 22,Holiday!$A$1:$A$30)&gt;H$3)), 1, 0)+IF(AND((H$3-$B$2)&gt;=0,(H$3-$B$2)&lt;30), 2,0)</f>
        <v>0</v>
      </c>
      <c r="I39" s="140">
        <f>IF(OR(AND($F38&lt;=I$3, $F39 &gt;= I$3), AND($F39&lt;I$3, WORKDAY($F39, 22,Holiday!$A$1:$A$30)&gt;I$3)), 1, 0)+IF(AND((I$3-$B$2)&gt;=0,(I$3-$B$2)&lt;30), 2,0)</f>
        <v>0</v>
      </c>
      <c r="J39" s="140">
        <f>IF(OR(AND($F38&lt;=J$3, $F39 &gt;= J$3), AND($F39&lt;J$3, WORKDAY($F39, 22,Holiday!$A$1:$A$30)&gt;J$3)), 1, 0)+IF(AND((J$3-$B$2)&gt;=0,(J$3-$B$2)&lt;30), 2,0)</f>
        <v>0</v>
      </c>
      <c r="K39" s="140">
        <f>IF(OR(AND($F38&lt;=K$3, $F39 &gt;= K$3), AND($F39&lt;K$3, WORKDAY($F39, 22,Holiday!$A$1:$A$30)&gt;K$3)), 1, 0)+IF(AND((K$3-$B$2)&gt;=0,(K$3-$B$2)&lt;30), 2,0)</f>
        <v>0</v>
      </c>
      <c r="L39" s="140">
        <f>IF(OR(AND($F38&lt;=L$3, $F39 &gt;= L$3), AND($F39&lt;L$3, WORKDAY($F39, 22,Holiday!$A$1:$A$30)&gt;L$3)), 1, 0)+IF(AND((L$3-$B$2)&gt;=0,(L$3-$B$2)&lt;30), 2,0)</f>
        <v>0</v>
      </c>
      <c r="M39" s="140">
        <f>IF(OR(AND($F38&lt;=M$3, $F39 &gt;= M$3), AND($F39&lt;M$3, WORKDAY($F39, 22,Holiday!$A$1:$A$30)&gt;M$3)), 1, 0)+IF(AND((M$3-$B$2)&gt;=0,(M$3-$B$2)&lt;30), 2,0)</f>
        <v>0</v>
      </c>
      <c r="N39" s="140">
        <f>IF(OR(AND($F38&lt;=N$3, $F39 &gt;= N$3), AND($F39&lt;N$3, WORKDAY($F39, 22,Holiday!$A$1:$A$30)&gt;N$3)), 1, 0)+IF(AND((N$3-$B$2)&gt;=0,(N$3-$B$2)&lt;30), 2,0)</f>
        <v>0</v>
      </c>
      <c r="O39" s="140">
        <f>IF(OR(AND($F38&lt;=O$3, $F39 &gt;= O$3), AND($F39&lt;O$3, WORKDAY($F39, 22,Holiday!$A$1:$A$30)&gt;O$3)), 1, 0)+IF(AND((O$3-$B$2)&gt;=0,(O$3-$B$2)&lt;30), 2,0)</f>
        <v>0</v>
      </c>
      <c r="P39" s="140">
        <f>IF(OR(AND($F38&lt;=P$3, $F39 &gt;= P$3), AND($F39&lt;P$3, WORKDAY($F39, 22,Holiday!$A$1:$A$30)&gt;P$3)), 1, 0)+IF(AND((P$3-$B$2)&gt;=0,(P$3-$B$2)&lt;30), 2,0)</f>
        <v>0</v>
      </c>
      <c r="Q39" s="140">
        <f>IF(OR(AND($F38&lt;=Q$3, $F39 &gt;= Q$3), AND($F39&lt;Q$3, WORKDAY($F39, 22,Holiday!$A$1:$A$30)&gt;Q$3)), 1, 0)+IF(AND((Q$3-$B$2)&gt;=0,(Q$3-$B$2)&lt;30), 2,0)</f>
        <v>0</v>
      </c>
      <c r="R39" s="140">
        <f>IF(OR(AND($F38&lt;=R$3, $F39 &gt;= R$3), AND($F39&lt;R$3, WORKDAY($F39, 22,Holiday!$A$1:$A$30)&gt;R$3)), 1, 0)+IF(AND((R$3-$B$2)&gt;=0,(R$3-$B$2)&lt;30), 2,0)</f>
        <v>0</v>
      </c>
      <c r="S39" s="140">
        <f>IF(OR(AND($F38&lt;=S$3, $F39 &gt;= S$3), AND($F39&lt;S$3, WORKDAY($F39, 22,Holiday!$A$1:$A$30)&gt;S$3)), 1, 0)+IF(AND((S$3-$B$2)&gt;=0,(S$3-$B$2)&lt;30), 2,0)</f>
        <v>0</v>
      </c>
      <c r="T39" s="140">
        <f>IF(OR(AND($F38&lt;=T$3, $F39 &gt;= T$3), AND($F39&lt;T$3, WORKDAY($F39, 22,Holiday!$A$1:$A$30)&gt;T$3)), 1, 0)+IF(AND((T$3-$B$2)&gt;=0,(T$3-$B$2)&lt;30), 2,0)</f>
        <v>0</v>
      </c>
      <c r="U39" s="140">
        <f>IF(OR(AND($F38&lt;=U$3, $F39 &gt;= U$3), AND($F39&lt;U$3, WORKDAY($F39, 22,Holiday!$A$1:$A$30)&gt;U$3)), 1, 0)+IF(AND((U$3-$B$2)&gt;=0,(U$3-$B$2)&lt;30), 2,0)</f>
        <v>0</v>
      </c>
      <c r="V39" s="140">
        <f>IF(OR(AND($F38&lt;=V$3, $F39 &gt;= V$3), AND($F39&lt;V$3, WORKDAY($F39, 22,Holiday!$A$1:$A$30)&gt;V$3)), 1, 0)+IF(AND((V$3-$B$2)&gt;=0,(V$3-$B$2)&lt;30), 2,0)</f>
        <v>0</v>
      </c>
      <c r="W39" s="140">
        <f>IF(OR(AND($F38&lt;=W$3, $F39 &gt;= W$3), AND($F39&lt;W$3, WORKDAY($F39, 22,Holiday!$A$1:$A$30)&gt;W$3)), 1, 0)+IF(AND((W$3-$B$2)&gt;=0,(W$3-$B$2)&lt;30), 2,0)</f>
        <v>0</v>
      </c>
      <c r="X39" s="140">
        <f>IF(OR(AND($F38&lt;=X$3, $F39 &gt;= X$3), AND($F39&lt;X$3, WORKDAY($F39, 22,Holiday!$A$1:$A$30)&gt;X$3)), 1, 0)+IF(AND((X$3-$B$2)&gt;=0,(X$3-$B$2)&lt;30), 2,0)</f>
        <v>0</v>
      </c>
      <c r="Y39" s="140">
        <f>IF(OR(AND($F38&lt;=Y$3, $F39 &gt;= Y$3), AND($F39&lt;Y$3, WORKDAY($F39, 22,Holiday!$A$1:$A$30)&gt;Y$3)), 1, 0)+IF(AND((Y$3-$B$2)&gt;=0,(Y$3-$B$2)&lt;30), 2,0)</f>
        <v>0</v>
      </c>
      <c r="Z39" s="140">
        <f>IF(OR(AND($F38&lt;=Z$3, $F39 &gt;= Z$3), AND($F39&lt;Z$3, WORKDAY($F39, 22,Holiday!$A$1:$A$30)&gt;Z$3)), 1, 0)+IF(AND((Z$3-$B$2)&gt;=0,(Z$3-$B$2)&lt;30), 2,0)</f>
        <v>0</v>
      </c>
      <c r="AA39" s="140">
        <f>IF(OR(AND($F38&lt;=AA$3, $F39 &gt;= AA$3), AND($F39&lt;AA$3, WORKDAY($F39, 22,Holiday!$A$1:$A$30)&gt;AA$3)), 1, 0)+IF(AND((AA$3-$B$2)&gt;=0,(AA$3-$B$2)&lt;30), 2,0)</f>
        <v>0</v>
      </c>
      <c r="AB39" s="140">
        <f>IF(OR(AND($F38&lt;=AB$3, $F39 &gt;= AB$3), AND($F39&lt;AB$3, WORKDAY($F39, 22,Holiday!$A$1:$A$30)&gt;AB$3)), 1, 0)+IF(AND((AB$3-$B$2)&gt;=0,(AB$3-$B$2)&lt;30), 2,0)</f>
        <v>0</v>
      </c>
      <c r="AC39" s="140">
        <f>IF(OR(AND($F38&lt;=AC$3, $F39 &gt;= AC$3), AND($F39&lt;AC$3, WORKDAY($F39, 22,Holiday!$A$1:$A$30)&gt;AC$3)), 1, 0)+IF(AND((AC$3-$B$2)&gt;=0,(AC$3-$B$2)&lt;30), 2,0)</f>
        <v>0</v>
      </c>
      <c r="AD39" s="140">
        <f>IF(OR(AND($F38&lt;=AD$3, $F39 &gt;= AD$3), AND($F39&lt;AD$3, WORKDAY($F39, 22,Holiday!$A$1:$A$30)&gt;AD$3)), 1, 0)+IF(AND((AD$3-$B$2)&gt;=0,(AD$3-$B$2)&lt;30), 2,0)</f>
        <v>0</v>
      </c>
      <c r="AE39" s="140">
        <f>IF(OR(AND($F38&lt;=AE$3, $F39 &gt;= AE$3), AND($F39&lt;AE$3, WORKDAY($F39, 22,Holiday!$A$1:$A$30)&gt;AE$3)), 1, 0)+IF(AND((AE$3-$B$2)&gt;=0,(AE$3-$B$2)&lt;30), 2,0)</f>
        <v>1</v>
      </c>
      <c r="AF39" s="140">
        <f>IF(OR(AND($F38&lt;=AF$3, $F39 &gt;= AF$3), AND($F39&lt;AF$3, WORKDAY($F39, 22,Holiday!$A$1:$A$30)&gt;AF$3)), 1, 0)+IF(AND((AF$3-$B$2)&gt;=0,(AF$3-$B$2)&lt;30), 2,0)</f>
        <v>0</v>
      </c>
      <c r="AG39" s="140">
        <f>IF(OR(AND($F38&lt;=AG$3, $F39 &gt;= AG$3), AND($F39&lt;AG$3, WORKDAY($F39, 22,Holiday!$A$1:$A$30)&gt;AG$3)), 1, 0)+IF(AND((AG$3-$B$2)&gt;=0,(AG$3-$B$2)&lt;30), 2,0)</f>
        <v>0</v>
      </c>
      <c r="AH39" s="140">
        <f>IF(OR(AND($F38&lt;=AH$3, $F39 &gt;= AH$3), AND($F39&lt;AH$3, WORKDAY($F39, 22,Holiday!$A$1:$A$30)&gt;AH$3)), 1, 0)+IF(AND((AH$3-$B$2)&gt;=0,(AH$3-$B$2)&lt;30), 2,0)</f>
        <v>0</v>
      </c>
      <c r="AI39" s="140">
        <f>IF(OR(AND($F38&lt;=AI$3, $F39 &gt;= AI$3), AND($F39&lt;AI$3, WORKDAY($F39, 22,Holiday!$A$1:$A$30)&gt;AI$3)), 1, 0)+IF(AND((AI$3-$B$2)&gt;=0,(AI$3-$B$2)&lt;30), 2,0)</f>
        <v>2</v>
      </c>
      <c r="AJ39" s="140">
        <f>IF(OR(AND($F38&lt;=AJ$3, $F39 &gt;= AJ$3), AND($F39&lt;AJ$3, WORKDAY($F39, 22,Holiday!$A$1:$A$30)&gt;AJ$3)), 1, 0)+IF(AND((AJ$3-$B$2)&gt;=0,(AJ$3-$B$2)&lt;30), 2,0)</f>
        <v>0</v>
      </c>
      <c r="AK39" s="140">
        <f>IF(OR(AND($F38&lt;=AK$3, $F39 &gt;= AK$3), AND($F39&lt;AK$3, WORKDAY($F39, 22,Holiday!$A$1:$A$30)&gt;AK$3)), 1, 0)+IF(AND((AK$3-$B$2)&gt;=0,(AK$3-$B$2)&lt;30), 2,0)</f>
        <v>0</v>
      </c>
      <c r="AL39" s="140">
        <f>IF(OR(AND($F38&lt;=AL$3, $F39 &gt;= AL$3), AND($F39&lt;AL$3, WORKDAY($F39, 22,Holiday!$A$1:$A$30)&gt;AL$3)), 1, 0)+IF(AND((AL$3-$B$2)&gt;=0,(AL$3-$B$2)&lt;30), 2,0)</f>
        <v>0</v>
      </c>
      <c r="AM39" s="140">
        <f>IF(OR(AND($F38&lt;=AM$3, $F39 &gt;= AM$3), AND($F39&lt;AM$3, WORKDAY($F39, 22,Holiday!$A$1:$A$30)&gt;AM$3)), 1, 0)+IF(AND((AM$3-$B$2)&gt;=0,(AM$3-$B$2)&lt;30), 2,0)</f>
        <v>0</v>
      </c>
      <c r="AN39" s="140">
        <f>IF(OR(AND($F38&lt;=AN$3, $F39 &gt;= AN$3), AND($F39&lt;AN$3, WORKDAY($F39, 22,Holiday!$A$1:$A$30)&gt;AN$3)), 1, 0)+IF(AND((AN$3-$B$2)&gt;=0,(AN$3-$B$2)&lt;30), 2,0)</f>
        <v>0</v>
      </c>
      <c r="AO39" s="140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">
      <c r="B40" s="120" t="s">
        <v>267</v>
      </c>
      <c r="C40" s="116" t="s">
        <v>78</v>
      </c>
      <c r="D40" s="117">
        <v>8</v>
      </c>
      <c r="E40" s="135">
        <f t="shared" si="0"/>
        <v>12</v>
      </c>
      <c r="F40" s="123">
        <f>WORKDAY(F39,E40,Holiday!A36:A65)</f>
        <v>46813</v>
      </c>
      <c r="G40" s="140">
        <f>IF(OR(AND($F39&lt;=G$3, $F40 &gt;= G$3), AND($F40&lt;G$3, WORKDAY($F40, 22,Holiday!$A$1:$A$30)&gt;G$3)), 1, 0)+IF(AND((G$3-$B$2)&gt;=0,(G$3-$B$2)&lt;30), 2,0)</f>
        <v>0</v>
      </c>
      <c r="H40" s="140">
        <f>IF(OR(AND($F39&lt;=H$3, $F40 &gt;= H$3), AND($F40&lt;H$3, WORKDAY($F40, 22,Holiday!$A$1:$A$30)&gt;H$3)), 1, 0)+IF(AND((H$3-$B$2)&gt;=0,(H$3-$B$2)&lt;30), 2,0)</f>
        <v>0</v>
      </c>
      <c r="I40" s="140">
        <f>IF(OR(AND($F39&lt;=I$3, $F40 &gt;= I$3), AND($F40&lt;I$3, WORKDAY($F40, 22,Holiday!$A$1:$A$30)&gt;I$3)), 1, 0)+IF(AND((I$3-$B$2)&gt;=0,(I$3-$B$2)&lt;30), 2,0)</f>
        <v>0</v>
      </c>
      <c r="J40" s="140">
        <f>IF(OR(AND($F39&lt;=J$3, $F40 &gt;= J$3), AND($F40&lt;J$3, WORKDAY($F40, 22,Holiday!$A$1:$A$30)&gt;J$3)), 1, 0)+IF(AND((J$3-$B$2)&gt;=0,(J$3-$B$2)&lt;30), 2,0)</f>
        <v>0</v>
      </c>
      <c r="K40" s="140">
        <f>IF(OR(AND($F39&lt;=K$3, $F40 &gt;= K$3), AND($F40&lt;K$3, WORKDAY($F40, 22,Holiday!$A$1:$A$30)&gt;K$3)), 1, 0)+IF(AND((K$3-$B$2)&gt;=0,(K$3-$B$2)&lt;30), 2,0)</f>
        <v>0</v>
      </c>
      <c r="L40" s="140">
        <f>IF(OR(AND($F39&lt;=L$3, $F40 &gt;= L$3), AND($F40&lt;L$3, WORKDAY($F40, 22,Holiday!$A$1:$A$30)&gt;L$3)), 1, 0)+IF(AND((L$3-$B$2)&gt;=0,(L$3-$B$2)&lt;30), 2,0)</f>
        <v>0</v>
      </c>
      <c r="M40" s="140">
        <f>IF(OR(AND($F39&lt;=M$3, $F40 &gt;= M$3), AND($F40&lt;M$3, WORKDAY($F40, 22,Holiday!$A$1:$A$30)&gt;M$3)), 1, 0)+IF(AND((M$3-$B$2)&gt;=0,(M$3-$B$2)&lt;30), 2,0)</f>
        <v>0</v>
      </c>
      <c r="N40" s="140">
        <f>IF(OR(AND($F39&lt;=N$3, $F40 &gt;= N$3), AND($F40&lt;N$3, WORKDAY($F40, 22,Holiday!$A$1:$A$30)&gt;N$3)), 1, 0)+IF(AND((N$3-$B$2)&gt;=0,(N$3-$B$2)&lt;30), 2,0)</f>
        <v>0</v>
      </c>
      <c r="O40" s="140">
        <f>IF(OR(AND($F39&lt;=O$3, $F40 &gt;= O$3), AND($F40&lt;O$3, WORKDAY($F40, 22,Holiday!$A$1:$A$30)&gt;O$3)), 1, 0)+IF(AND((O$3-$B$2)&gt;=0,(O$3-$B$2)&lt;30), 2,0)</f>
        <v>0</v>
      </c>
      <c r="P40" s="140">
        <f>IF(OR(AND($F39&lt;=P$3, $F40 &gt;= P$3), AND($F40&lt;P$3, WORKDAY($F40, 22,Holiday!$A$1:$A$30)&gt;P$3)), 1, 0)+IF(AND((P$3-$B$2)&gt;=0,(P$3-$B$2)&lt;30), 2,0)</f>
        <v>0</v>
      </c>
      <c r="Q40" s="140">
        <f>IF(OR(AND($F39&lt;=Q$3, $F40 &gt;= Q$3), AND($F40&lt;Q$3, WORKDAY($F40, 22,Holiday!$A$1:$A$30)&gt;Q$3)), 1, 0)+IF(AND((Q$3-$B$2)&gt;=0,(Q$3-$B$2)&lt;30), 2,0)</f>
        <v>0</v>
      </c>
      <c r="R40" s="140">
        <f>IF(OR(AND($F39&lt;=R$3, $F40 &gt;= R$3), AND($F40&lt;R$3, WORKDAY($F40, 22,Holiday!$A$1:$A$30)&gt;R$3)), 1, 0)+IF(AND((R$3-$B$2)&gt;=0,(R$3-$B$2)&lt;30), 2,0)</f>
        <v>0</v>
      </c>
      <c r="S40" s="140">
        <f>IF(OR(AND($F39&lt;=S$3, $F40 &gt;= S$3), AND($F40&lt;S$3, WORKDAY($F40, 22,Holiday!$A$1:$A$30)&gt;S$3)), 1, 0)+IF(AND((S$3-$B$2)&gt;=0,(S$3-$B$2)&lt;30), 2,0)</f>
        <v>0</v>
      </c>
      <c r="T40" s="140">
        <f>IF(OR(AND($F39&lt;=T$3, $F40 &gt;= T$3), AND($F40&lt;T$3, WORKDAY($F40, 22,Holiday!$A$1:$A$30)&gt;T$3)), 1, 0)+IF(AND((T$3-$B$2)&gt;=0,(T$3-$B$2)&lt;30), 2,0)</f>
        <v>0</v>
      </c>
      <c r="U40" s="140">
        <f>IF(OR(AND($F39&lt;=U$3, $F40 &gt;= U$3), AND($F40&lt;U$3, WORKDAY($F40, 22,Holiday!$A$1:$A$30)&gt;U$3)), 1, 0)+IF(AND((U$3-$B$2)&gt;=0,(U$3-$B$2)&lt;30), 2,0)</f>
        <v>0</v>
      </c>
      <c r="V40" s="140">
        <f>IF(OR(AND($F39&lt;=V$3, $F40 &gt;= V$3), AND($F40&lt;V$3, WORKDAY($F40, 22,Holiday!$A$1:$A$30)&gt;V$3)), 1, 0)+IF(AND((V$3-$B$2)&gt;=0,(V$3-$B$2)&lt;30), 2,0)</f>
        <v>0</v>
      </c>
      <c r="W40" s="140">
        <f>IF(OR(AND($F39&lt;=W$3, $F40 &gt;= W$3), AND($F40&lt;W$3, WORKDAY($F40, 22,Holiday!$A$1:$A$30)&gt;W$3)), 1, 0)+IF(AND((W$3-$B$2)&gt;=0,(W$3-$B$2)&lt;30), 2,0)</f>
        <v>0</v>
      </c>
      <c r="X40" s="140">
        <f>IF(OR(AND($F39&lt;=X$3, $F40 &gt;= X$3), AND($F40&lt;X$3, WORKDAY($F40, 22,Holiday!$A$1:$A$30)&gt;X$3)), 1, 0)+IF(AND((X$3-$B$2)&gt;=0,(X$3-$B$2)&lt;30), 2,0)</f>
        <v>0</v>
      </c>
      <c r="Y40" s="140">
        <f>IF(OR(AND($F39&lt;=Y$3, $F40 &gt;= Y$3), AND($F40&lt;Y$3, WORKDAY($F40, 22,Holiday!$A$1:$A$30)&gt;Y$3)), 1, 0)+IF(AND((Y$3-$B$2)&gt;=0,(Y$3-$B$2)&lt;30), 2,0)</f>
        <v>0</v>
      </c>
      <c r="Z40" s="140">
        <f>IF(OR(AND($F39&lt;=Z$3, $F40 &gt;= Z$3), AND($F40&lt;Z$3, WORKDAY($F40, 22,Holiday!$A$1:$A$30)&gt;Z$3)), 1, 0)+IF(AND((Z$3-$B$2)&gt;=0,(Z$3-$B$2)&lt;30), 2,0)</f>
        <v>0</v>
      </c>
      <c r="AA40" s="140">
        <f>IF(OR(AND($F39&lt;=AA$3, $F40 &gt;= AA$3), AND($F40&lt;AA$3, WORKDAY($F40, 22,Holiday!$A$1:$A$30)&gt;AA$3)), 1, 0)+IF(AND((AA$3-$B$2)&gt;=0,(AA$3-$B$2)&lt;30), 2,0)</f>
        <v>0</v>
      </c>
      <c r="AB40" s="140">
        <f>IF(OR(AND($F39&lt;=AB$3, $F40 &gt;= AB$3), AND($F40&lt;AB$3, WORKDAY($F40, 22,Holiday!$A$1:$A$30)&gt;AB$3)), 1, 0)+IF(AND((AB$3-$B$2)&gt;=0,(AB$3-$B$2)&lt;30), 2,0)</f>
        <v>0</v>
      </c>
      <c r="AC40" s="140">
        <f>IF(OR(AND($F39&lt;=AC$3, $F40 &gt;= AC$3), AND($F40&lt;AC$3, WORKDAY($F40, 22,Holiday!$A$1:$A$30)&gt;AC$3)), 1, 0)+IF(AND((AC$3-$B$2)&gt;=0,(AC$3-$B$2)&lt;30), 2,0)</f>
        <v>0</v>
      </c>
      <c r="AD40" s="140">
        <f>IF(OR(AND($F39&lt;=AD$3, $F40 &gt;= AD$3), AND($F40&lt;AD$3, WORKDAY($F40, 22,Holiday!$A$1:$A$30)&gt;AD$3)), 1, 0)+IF(AND((AD$3-$B$2)&gt;=0,(AD$3-$B$2)&lt;30), 2,0)</f>
        <v>0</v>
      </c>
      <c r="AE40" s="140">
        <f>IF(OR(AND($F39&lt;=AE$3, $F40 &gt;= AE$3), AND($F40&lt;AE$3, WORKDAY($F40, 22,Holiday!$A$1:$A$30)&gt;AE$3)), 1, 0)+IF(AND((AE$3-$B$2)&gt;=0,(AE$3-$B$2)&lt;30), 2,0)</f>
        <v>1</v>
      </c>
      <c r="AF40" s="140">
        <f>IF(OR(AND($F39&lt;=AF$3, $F40 &gt;= AF$3), AND($F40&lt;AF$3, WORKDAY($F40, 22,Holiday!$A$1:$A$30)&gt;AF$3)), 1, 0)+IF(AND((AF$3-$B$2)&gt;=0,(AF$3-$B$2)&lt;30), 2,0)</f>
        <v>1</v>
      </c>
      <c r="AG40" s="140">
        <f>IF(OR(AND($F39&lt;=AG$3, $F40 &gt;= AG$3), AND($F40&lt;AG$3, WORKDAY($F40, 22,Holiday!$A$1:$A$30)&gt;AG$3)), 1, 0)+IF(AND((AG$3-$B$2)&gt;=0,(AG$3-$B$2)&lt;30), 2,0)</f>
        <v>0</v>
      </c>
      <c r="AH40" s="140">
        <f>IF(OR(AND($F39&lt;=AH$3, $F40 &gt;= AH$3), AND($F40&lt;AH$3, WORKDAY($F40, 22,Holiday!$A$1:$A$30)&gt;AH$3)), 1, 0)+IF(AND((AH$3-$B$2)&gt;=0,(AH$3-$B$2)&lt;30), 2,0)</f>
        <v>0</v>
      </c>
      <c r="AI40" s="140">
        <f>IF(OR(AND($F39&lt;=AI$3, $F40 &gt;= AI$3), AND($F40&lt;AI$3, WORKDAY($F40, 22,Holiday!$A$1:$A$30)&gt;AI$3)), 1, 0)+IF(AND((AI$3-$B$2)&gt;=0,(AI$3-$B$2)&lt;30), 2,0)</f>
        <v>2</v>
      </c>
      <c r="AJ40" s="140">
        <f>IF(OR(AND($F39&lt;=AJ$3, $F40 &gt;= AJ$3), AND($F40&lt;AJ$3, WORKDAY($F40, 22,Holiday!$A$1:$A$30)&gt;AJ$3)), 1, 0)+IF(AND((AJ$3-$B$2)&gt;=0,(AJ$3-$B$2)&lt;30), 2,0)</f>
        <v>0</v>
      </c>
      <c r="AK40" s="140">
        <f>IF(OR(AND($F39&lt;=AK$3, $F40 &gt;= AK$3), AND($F40&lt;AK$3, WORKDAY($F40, 22,Holiday!$A$1:$A$30)&gt;AK$3)), 1, 0)+IF(AND((AK$3-$B$2)&gt;=0,(AK$3-$B$2)&lt;30), 2,0)</f>
        <v>0</v>
      </c>
      <c r="AL40" s="140">
        <f>IF(OR(AND($F39&lt;=AL$3, $F40 &gt;= AL$3), AND($F40&lt;AL$3, WORKDAY($F40, 22,Holiday!$A$1:$A$30)&gt;AL$3)), 1, 0)+IF(AND((AL$3-$B$2)&gt;=0,(AL$3-$B$2)&lt;30), 2,0)</f>
        <v>0</v>
      </c>
      <c r="AM40" s="140">
        <f>IF(OR(AND($F39&lt;=AM$3, $F40 &gt;= AM$3), AND($F40&lt;AM$3, WORKDAY($F40, 22,Holiday!$A$1:$A$30)&gt;AM$3)), 1, 0)+IF(AND((AM$3-$B$2)&gt;=0,(AM$3-$B$2)&lt;30), 2,0)</f>
        <v>0</v>
      </c>
      <c r="AN40" s="140">
        <f>IF(OR(AND($F39&lt;=AN$3, $F40 &gt;= AN$3), AND($F40&lt;AN$3, WORKDAY($F40, 22,Holiday!$A$1:$A$30)&gt;AN$3)), 1, 0)+IF(AND((AN$3-$B$2)&gt;=0,(AN$3-$B$2)&lt;30), 2,0)</f>
        <v>0</v>
      </c>
      <c r="AO40" s="140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">
      <c r="B41" s="120" t="s">
        <v>268</v>
      </c>
      <c r="C41" s="116" t="s">
        <v>78</v>
      </c>
      <c r="D41" s="117">
        <v>10</v>
      </c>
      <c r="E41" s="135">
        <f t="shared" si="0"/>
        <v>15</v>
      </c>
      <c r="F41" s="123">
        <f>WORKDAY(F40,E41,Holiday!A37:A66)</f>
        <v>46834</v>
      </c>
      <c r="G41" s="140">
        <f>IF(OR(AND($F40&lt;=G$3, $F41 &gt;= G$3), AND($F41&lt;G$3, WORKDAY($F41, 22,Holiday!$A$1:$A$30)&gt;G$3)), 1, 0)+IF(AND((G$3-$B$2)&gt;=0,(G$3-$B$2)&lt;30), 2,0)</f>
        <v>0</v>
      </c>
      <c r="H41" s="140">
        <f>IF(OR(AND($F40&lt;=H$3, $F41 &gt;= H$3), AND($F41&lt;H$3, WORKDAY($F41, 22,Holiday!$A$1:$A$30)&gt;H$3)), 1, 0)+IF(AND((H$3-$B$2)&gt;=0,(H$3-$B$2)&lt;30), 2,0)</f>
        <v>0</v>
      </c>
      <c r="I41" s="140">
        <f>IF(OR(AND($F40&lt;=I$3, $F41 &gt;= I$3), AND($F41&lt;I$3, WORKDAY($F41, 22,Holiday!$A$1:$A$30)&gt;I$3)), 1, 0)+IF(AND((I$3-$B$2)&gt;=0,(I$3-$B$2)&lt;30), 2,0)</f>
        <v>0</v>
      </c>
      <c r="J41" s="140">
        <f>IF(OR(AND($F40&lt;=J$3, $F41 &gt;= J$3), AND($F41&lt;J$3, WORKDAY($F41, 22,Holiday!$A$1:$A$30)&gt;J$3)), 1, 0)+IF(AND((J$3-$B$2)&gt;=0,(J$3-$B$2)&lt;30), 2,0)</f>
        <v>0</v>
      </c>
      <c r="K41" s="140">
        <f>IF(OR(AND($F40&lt;=K$3, $F41 &gt;= K$3), AND($F41&lt;K$3, WORKDAY($F41, 22,Holiday!$A$1:$A$30)&gt;K$3)), 1, 0)+IF(AND((K$3-$B$2)&gt;=0,(K$3-$B$2)&lt;30), 2,0)</f>
        <v>0</v>
      </c>
      <c r="L41" s="140">
        <f>IF(OR(AND($F40&lt;=L$3, $F41 &gt;= L$3), AND($F41&lt;L$3, WORKDAY($F41, 22,Holiday!$A$1:$A$30)&gt;L$3)), 1, 0)+IF(AND((L$3-$B$2)&gt;=0,(L$3-$B$2)&lt;30), 2,0)</f>
        <v>0</v>
      </c>
      <c r="M41" s="140">
        <f>IF(OR(AND($F40&lt;=M$3, $F41 &gt;= M$3), AND($F41&lt;M$3, WORKDAY($F41, 22,Holiday!$A$1:$A$30)&gt;M$3)), 1, 0)+IF(AND((M$3-$B$2)&gt;=0,(M$3-$B$2)&lt;30), 2,0)</f>
        <v>0</v>
      </c>
      <c r="N41" s="140">
        <f>IF(OR(AND($F40&lt;=N$3, $F41 &gt;= N$3), AND($F41&lt;N$3, WORKDAY($F41, 22,Holiday!$A$1:$A$30)&gt;N$3)), 1, 0)+IF(AND((N$3-$B$2)&gt;=0,(N$3-$B$2)&lt;30), 2,0)</f>
        <v>0</v>
      </c>
      <c r="O41" s="140">
        <f>IF(OR(AND($F40&lt;=O$3, $F41 &gt;= O$3), AND($F41&lt;O$3, WORKDAY($F41, 22,Holiday!$A$1:$A$30)&gt;O$3)), 1, 0)+IF(AND((O$3-$B$2)&gt;=0,(O$3-$B$2)&lt;30), 2,0)</f>
        <v>0</v>
      </c>
      <c r="P41" s="140">
        <f>IF(OR(AND($F40&lt;=P$3, $F41 &gt;= P$3), AND($F41&lt;P$3, WORKDAY($F41, 22,Holiday!$A$1:$A$30)&gt;P$3)), 1, 0)+IF(AND((P$3-$B$2)&gt;=0,(P$3-$B$2)&lt;30), 2,0)</f>
        <v>0</v>
      </c>
      <c r="Q41" s="140">
        <f>IF(OR(AND($F40&lt;=Q$3, $F41 &gt;= Q$3), AND($F41&lt;Q$3, WORKDAY($F41, 22,Holiday!$A$1:$A$30)&gt;Q$3)), 1, 0)+IF(AND((Q$3-$B$2)&gt;=0,(Q$3-$B$2)&lt;30), 2,0)</f>
        <v>0</v>
      </c>
      <c r="R41" s="140">
        <f>IF(OR(AND($F40&lt;=R$3, $F41 &gt;= R$3), AND($F41&lt;R$3, WORKDAY($F41, 22,Holiday!$A$1:$A$30)&gt;R$3)), 1, 0)+IF(AND((R$3-$B$2)&gt;=0,(R$3-$B$2)&lt;30), 2,0)</f>
        <v>0</v>
      </c>
      <c r="S41" s="140">
        <f>IF(OR(AND($F40&lt;=S$3, $F41 &gt;= S$3), AND($F41&lt;S$3, WORKDAY($F41, 22,Holiday!$A$1:$A$30)&gt;S$3)), 1, 0)+IF(AND((S$3-$B$2)&gt;=0,(S$3-$B$2)&lt;30), 2,0)</f>
        <v>0</v>
      </c>
      <c r="T41" s="140">
        <f>IF(OR(AND($F40&lt;=T$3, $F41 &gt;= T$3), AND($F41&lt;T$3, WORKDAY($F41, 22,Holiday!$A$1:$A$30)&gt;T$3)), 1, 0)+IF(AND((T$3-$B$2)&gt;=0,(T$3-$B$2)&lt;30), 2,0)</f>
        <v>0</v>
      </c>
      <c r="U41" s="140">
        <f>IF(OR(AND($F40&lt;=U$3, $F41 &gt;= U$3), AND($F41&lt;U$3, WORKDAY($F41, 22,Holiday!$A$1:$A$30)&gt;U$3)), 1, 0)+IF(AND((U$3-$B$2)&gt;=0,(U$3-$B$2)&lt;30), 2,0)</f>
        <v>0</v>
      </c>
      <c r="V41" s="140">
        <f>IF(OR(AND($F40&lt;=V$3, $F41 &gt;= V$3), AND($F41&lt;V$3, WORKDAY($F41, 22,Holiday!$A$1:$A$30)&gt;V$3)), 1, 0)+IF(AND((V$3-$B$2)&gt;=0,(V$3-$B$2)&lt;30), 2,0)</f>
        <v>0</v>
      </c>
      <c r="W41" s="140">
        <f>IF(OR(AND($F40&lt;=W$3, $F41 &gt;= W$3), AND($F41&lt;W$3, WORKDAY($F41, 22,Holiday!$A$1:$A$30)&gt;W$3)), 1, 0)+IF(AND((W$3-$B$2)&gt;=0,(W$3-$B$2)&lt;30), 2,0)</f>
        <v>0</v>
      </c>
      <c r="X41" s="140">
        <f>IF(OR(AND($F40&lt;=X$3, $F41 &gt;= X$3), AND($F41&lt;X$3, WORKDAY($F41, 22,Holiday!$A$1:$A$30)&gt;X$3)), 1, 0)+IF(AND((X$3-$B$2)&gt;=0,(X$3-$B$2)&lt;30), 2,0)</f>
        <v>0</v>
      </c>
      <c r="Y41" s="140">
        <f>IF(OR(AND($F40&lt;=Y$3, $F41 &gt;= Y$3), AND($F41&lt;Y$3, WORKDAY($F41, 22,Holiday!$A$1:$A$30)&gt;Y$3)), 1, 0)+IF(AND((Y$3-$B$2)&gt;=0,(Y$3-$B$2)&lt;30), 2,0)</f>
        <v>0</v>
      </c>
      <c r="Z41" s="140">
        <f>IF(OR(AND($F40&lt;=Z$3, $F41 &gt;= Z$3), AND($F41&lt;Z$3, WORKDAY($F41, 22,Holiday!$A$1:$A$30)&gt;Z$3)), 1, 0)+IF(AND((Z$3-$B$2)&gt;=0,(Z$3-$B$2)&lt;30), 2,0)</f>
        <v>0</v>
      </c>
      <c r="AA41" s="140">
        <f>IF(OR(AND($F40&lt;=AA$3, $F41 &gt;= AA$3), AND($F41&lt;AA$3, WORKDAY($F41, 22,Holiday!$A$1:$A$30)&gt;AA$3)), 1, 0)+IF(AND((AA$3-$B$2)&gt;=0,(AA$3-$B$2)&lt;30), 2,0)</f>
        <v>0</v>
      </c>
      <c r="AB41" s="140">
        <f>IF(OR(AND($F40&lt;=AB$3, $F41 &gt;= AB$3), AND($F41&lt;AB$3, WORKDAY($F41, 22,Holiday!$A$1:$A$30)&gt;AB$3)), 1, 0)+IF(AND((AB$3-$B$2)&gt;=0,(AB$3-$B$2)&lt;30), 2,0)</f>
        <v>0</v>
      </c>
      <c r="AC41" s="140">
        <f>IF(OR(AND($F40&lt;=AC$3, $F41 &gt;= AC$3), AND($F41&lt;AC$3, WORKDAY($F41, 22,Holiday!$A$1:$A$30)&gt;AC$3)), 1, 0)+IF(AND((AC$3-$B$2)&gt;=0,(AC$3-$B$2)&lt;30), 2,0)</f>
        <v>0</v>
      </c>
      <c r="AD41" s="140">
        <f>IF(OR(AND($F40&lt;=AD$3, $F41 &gt;= AD$3), AND($F41&lt;AD$3, WORKDAY($F41, 22,Holiday!$A$1:$A$30)&gt;AD$3)), 1, 0)+IF(AND((AD$3-$B$2)&gt;=0,(AD$3-$B$2)&lt;30), 2,0)</f>
        <v>0</v>
      </c>
      <c r="AE41" s="140">
        <f>IF(OR(AND($F40&lt;=AE$3, $F41 &gt;= AE$3), AND($F41&lt;AE$3, WORKDAY($F41, 22,Holiday!$A$1:$A$30)&gt;AE$3)), 1, 0)+IF(AND((AE$3-$B$2)&gt;=0,(AE$3-$B$2)&lt;30), 2,0)</f>
        <v>0</v>
      </c>
      <c r="AF41" s="140">
        <f>IF(OR(AND($F40&lt;=AF$3, $F41 &gt;= AF$3), AND($F41&lt;AF$3, WORKDAY($F41, 22,Holiday!$A$1:$A$30)&gt;AF$3)), 1, 0)+IF(AND((AF$3-$B$2)&gt;=0,(AF$3-$B$2)&lt;30), 2,0)</f>
        <v>1</v>
      </c>
      <c r="AG41" s="140">
        <f>IF(OR(AND($F40&lt;=AG$3, $F41 &gt;= AG$3), AND($F41&lt;AG$3, WORKDAY($F41, 22,Holiday!$A$1:$A$30)&gt;AG$3)), 1, 0)+IF(AND((AG$3-$B$2)&gt;=0,(AG$3-$B$2)&lt;30), 2,0)</f>
        <v>1</v>
      </c>
      <c r="AH41" s="140">
        <f>IF(OR(AND($F40&lt;=AH$3, $F41 &gt;= AH$3), AND($F41&lt;AH$3, WORKDAY($F41, 22,Holiday!$A$1:$A$30)&gt;AH$3)), 1, 0)+IF(AND((AH$3-$B$2)&gt;=0,(AH$3-$B$2)&lt;30), 2,0)</f>
        <v>0</v>
      </c>
      <c r="AI41" s="140">
        <f>IF(OR(AND($F40&lt;=AI$3, $F41 &gt;= AI$3), AND($F41&lt;AI$3, WORKDAY($F41, 22,Holiday!$A$1:$A$30)&gt;AI$3)), 1, 0)+IF(AND((AI$3-$B$2)&gt;=0,(AI$3-$B$2)&lt;30), 2,0)</f>
        <v>2</v>
      </c>
      <c r="AJ41" s="140">
        <f>IF(OR(AND($F40&lt;=AJ$3, $F41 &gt;= AJ$3), AND($F41&lt;AJ$3, WORKDAY($F41, 22,Holiday!$A$1:$A$30)&gt;AJ$3)), 1, 0)+IF(AND((AJ$3-$B$2)&gt;=0,(AJ$3-$B$2)&lt;30), 2,0)</f>
        <v>0</v>
      </c>
      <c r="AK41" s="140">
        <f>IF(OR(AND($F40&lt;=AK$3, $F41 &gt;= AK$3), AND($F41&lt;AK$3, WORKDAY($F41, 22,Holiday!$A$1:$A$30)&gt;AK$3)), 1, 0)+IF(AND((AK$3-$B$2)&gt;=0,(AK$3-$B$2)&lt;30), 2,0)</f>
        <v>0</v>
      </c>
      <c r="AL41" s="140">
        <f>IF(OR(AND($F40&lt;=AL$3, $F41 &gt;= AL$3), AND($F41&lt;AL$3, WORKDAY($F41, 22,Holiday!$A$1:$A$30)&gt;AL$3)), 1, 0)+IF(AND((AL$3-$B$2)&gt;=0,(AL$3-$B$2)&lt;30), 2,0)</f>
        <v>0</v>
      </c>
      <c r="AM41" s="140">
        <f>IF(OR(AND($F40&lt;=AM$3, $F41 &gt;= AM$3), AND($F41&lt;AM$3, WORKDAY($F41, 22,Holiday!$A$1:$A$30)&gt;AM$3)), 1, 0)+IF(AND((AM$3-$B$2)&gt;=0,(AM$3-$B$2)&lt;30), 2,0)</f>
        <v>0</v>
      </c>
      <c r="AN41" s="140">
        <f>IF(OR(AND($F40&lt;=AN$3, $F41 &gt;= AN$3), AND($F41&lt;AN$3, WORKDAY($F41, 22,Holiday!$A$1:$A$30)&gt;AN$3)), 1, 0)+IF(AND((AN$3-$B$2)&gt;=0,(AN$3-$B$2)&lt;30), 2,0)</f>
        <v>0</v>
      </c>
      <c r="AO41" s="140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">
      <c r="B42" s="120" t="s">
        <v>269</v>
      </c>
      <c r="C42" s="116" t="s">
        <v>78</v>
      </c>
      <c r="D42" s="117">
        <v>10</v>
      </c>
      <c r="E42" s="135">
        <f t="shared" si="0"/>
        <v>15</v>
      </c>
      <c r="F42" s="123">
        <f>WORKDAY(F41,E42,Holiday!A38:A67)</f>
        <v>46855</v>
      </c>
      <c r="G42" s="140">
        <f>IF(OR(AND($F41&lt;=G$3, $F42 &gt;= G$3), AND($F42&lt;G$3, WORKDAY($F42, 22,Holiday!$A$1:$A$30)&gt;G$3)), 1, 0)+IF(AND((G$3-$B$2)&gt;=0,(G$3-$B$2)&lt;30), 2,0)</f>
        <v>0</v>
      </c>
      <c r="H42" s="140">
        <f>IF(OR(AND($F41&lt;=H$3, $F42 &gt;= H$3), AND($F42&lt;H$3, WORKDAY($F42, 22,Holiday!$A$1:$A$30)&gt;H$3)), 1, 0)+IF(AND((H$3-$B$2)&gt;=0,(H$3-$B$2)&lt;30), 2,0)</f>
        <v>0</v>
      </c>
      <c r="I42" s="140">
        <f>IF(OR(AND($F41&lt;=I$3, $F42 &gt;= I$3), AND($F42&lt;I$3, WORKDAY($F42, 22,Holiday!$A$1:$A$30)&gt;I$3)), 1, 0)+IF(AND((I$3-$B$2)&gt;=0,(I$3-$B$2)&lt;30), 2,0)</f>
        <v>0</v>
      </c>
      <c r="J42" s="140">
        <f>IF(OR(AND($F41&lt;=J$3, $F42 &gt;= J$3), AND($F42&lt;J$3, WORKDAY($F42, 22,Holiday!$A$1:$A$30)&gt;J$3)), 1, 0)+IF(AND((J$3-$B$2)&gt;=0,(J$3-$B$2)&lt;30), 2,0)</f>
        <v>0</v>
      </c>
      <c r="K42" s="140">
        <f>IF(OR(AND($F41&lt;=K$3, $F42 &gt;= K$3), AND($F42&lt;K$3, WORKDAY($F42, 22,Holiday!$A$1:$A$30)&gt;K$3)), 1, 0)+IF(AND((K$3-$B$2)&gt;=0,(K$3-$B$2)&lt;30), 2,0)</f>
        <v>0</v>
      </c>
      <c r="L42" s="140">
        <f>IF(OR(AND($F41&lt;=L$3, $F42 &gt;= L$3), AND($F42&lt;L$3, WORKDAY($F42, 22,Holiday!$A$1:$A$30)&gt;L$3)), 1, 0)+IF(AND((L$3-$B$2)&gt;=0,(L$3-$B$2)&lt;30), 2,0)</f>
        <v>0</v>
      </c>
      <c r="M42" s="140">
        <f>IF(OR(AND($F41&lt;=M$3, $F42 &gt;= M$3), AND($F42&lt;M$3, WORKDAY($F42, 22,Holiday!$A$1:$A$30)&gt;M$3)), 1, 0)+IF(AND((M$3-$B$2)&gt;=0,(M$3-$B$2)&lt;30), 2,0)</f>
        <v>0</v>
      </c>
      <c r="N42" s="140">
        <f>IF(OR(AND($F41&lt;=N$3, $F42 &gt;= N$3), AND($F42&lt;N$3, WORKDAY($F42, 22,Holiday!$A$1:$A$30)&gt;N$3)), 1, 0)+IF(AND((N$3-$B$2)&gt;=0,(N$3-$B$2)&lt;30), 2,0)</f>
        <v>0</v>
      </c>
      <c r="O42" s="140">
        <f>IF(OR(AND($F41&lt;=O$3, $F42 &gt;= O$3), AND($F42&lt;O$3, WORKDAY($F42, 22,Holiday!$A$1:$A$30)&gt;O$3)), 1, 0)+IF(AND((O$3-$B$2)&gt;=0,(O$3-$B$2)&lt;30), 2,0)</f>
        <v>0</v>
      </c>
      <c r="P42" s="140">
        <f>IF(OR(AND($F41&lt;=P$3, $F42 &gt;= P$3), AND($F42&lt;P$3, WORKDAY($F42, 22,Holiday!$A$1:$A$30)&gt;P$3)), 1, 0)+IF(AND((P$3-$B$2)&gt;=0,(P$3-$B$2)&lt;30), 2,0)</f>
        <v>0</v>
      </c>
      <c r="Q42" s="140">
        <f>IF(OR(AND($F41&lt;=Q$3, $F42 &gt;= Q$3), AND($F42&lt;Q$3, WORKDAY($F42, 22,Holiday!$A$1:$A$30)&gt;Q$3)), 1, 0)+IF(AND((Q$3-$B$2)&gt;=0,(Q$3-$B$2)&lt;30), 2,0)</f>
        <v>0</v>
      </c>
      <c r="R42" s="140">
        <f>IF(OR(AND($F41&lt;=R$3, $F42 &gt;= R$3), AND($F42&lt;R$3, WORKDAY($F42, 22,Holiday!$A$1:$A$30)&gt;R$3)), 1, 0)+IF(AND((R$3-$B$2)&gt;=0,(R$3-$B$2)&lt;30), 2,0)</f>
        <v>0</v>
      </c>
      <c r="S42" s="140">
        <f>IF(OR(AND($F41&lt;=S$3, $F42 &gt;= S$3), AND($F42&lt;S$3, WORKDAY($F42, 22,Holiday!$A$1:$A$30)&gt;S$3)), 1, 0)+IF(AND((S$3-$B$2)&gt;=0,(S$3-$B$2)&lt;30), 2,0)</f>
        <v>0</v>
      </c>
      <c r="T42" s="140">
        <f>IF(OR(AND($F41&lt;=T$3, $F42 &gt;= T$3), AND($F42&lt;T$3, WORKDAY($F42, 22,Holiday!$A$1:$A$30)&gt;T$3)), 1, 0)+IF(AND((T$3-$B$2)&gt;=0,(T$3-$B$2)&lt;30), 2,0)</f>
        <v>0</v>
      </c>
      <c r="U42" s="140">
        <f>IF(OR(AND($F41&lt;=U$3, $F42 &gt;= U$3), AND($F42&lt;U$3, WORKDAY($F42, 22,Holiday!$A$1:$A$30)&gt;U$3)), 1, 0)+IF(AND((U$3-$B$2)&gt;=0,(U$3-$B$2)&lt;30), 2,0)</f>
        <v>0</v>
      </c>
      <c r="V42" s="140">
        <f>IF(OR(AND($F41&lt;=V$3, $F42 &gt;= V$3), AND($F42&lt;V$3, WORKDAY($F42, 22,Holiday!$A$1:$A$30)&gt;V$3)), 1, 0)+IF(AND((V$3-$B$2)&gt;=0,(V$3-$B$2)&lt;30), 2,0)</f>
        <v>0</v>
      </c>
      <c r="W42" s="140">
        <f>IF(OR(AND($F41&lt;=W$3, $F42 &gt;= W$3), AND($F42&lt;W$3, WORKDAY($F42, 22,Holiday!$A$1:$A$30)&gt;W$3)), 1, 0)+IF(AND((W$3-$B$2)&gt;=0,(W$3-$B$2)&lt;30), 2,0)</f>
        <v>0</v>
      </c>
      <c r="X42" s="140">
        <f>IF(OR(AND($F41&lt;=X$3, $F42 &gt;= X$3), AND($F42&lt;X$3, WORKDAY($F42, 22,Holiday!$A$1:$A$30)&gt;X$3)), 1, 0)+IF(AND((X$3-$B$2)&gt;=0,(X$3-$B$2)&lt;30), 2,0)</f>
        <v>0</v>
      </c>
      <c r="Y42" s="140">
        <f>IF(OR(AND($F41&lt;=Y$3, $F42 &gt;= Y$3), AND($F42&lt;Y$3, WORKDAY($F42, 22,Holiday!$A$1:$A$30)&gt;Y$3)), 1, 0)+IF(AND((Y$3-$B$2)&gt;=0,(Y$3-$B$2)&lt;30), 2,0)</f>
        <v>0</v>
      </c>
      <c r="Z42" s="140">
        <f>IF(OR(AND($F41&lt;=Z$3, $F42 &gt;= Z$3), AND($F42&lt;Z$3, WORKDAY($F42, 22,Holiday!$A$1:$A$30)&gt;Z$3)), 1, 0)+IF(AND((Z$3-$B$2)&gt;=0,(Z$3-$B$2)&lt;30), 2,0)</f>
        <v>0</v>
      </c>
      <c r="AA42" s="140">
        <f>IF(OR(AND($F41&lt;=AA$3, $F42 &gt;= AA$3), AND($F42&lt;AA$3, WORKDAY($F42, 22,Holiday!$A$1:$A$30)&gt;AA$3)), 1, 0)+IF(AND((AA$3-$B$2)&gt;=0,(AA$3-$B$2)&lt;30), 2,0)</f>
        <v>0</v>
      </c>
      <c r="AB42" s="140">
        <f>IF(OR(AND($F41&lt;=AB$3, $F42 &gt;= AB$3), AND($F42&lt;AB$3, WORKDAY($F42, 22,Holiday!$A$1:$A$30)&gt;AB$3)), 1, 0)+IF(AND((AB$3-$B$2)&gt;=0,(AB$3-$B$2)&lt;30), 2,0)</f>
        <v>0</v>
      </c>
      <c r="AC42" s="140">
        <f>IF(OR(AND($F41&lt;=AC$3, $F42 &gt;= AC$3), AND($F42&lt;AC$3, WORKDAY($F42, 22,Holiday!$A$1:$A$30)&gt;AC$3)), 1, 0)+IF(AND((AC$3-$B$2)&gt;=0,(AC$3-$B$2)&lt;30), 2,0)</f>
        <v>0</v>
      </c>
      <c r="AD42" s="140">
        <f>IF(OR(AND($F41&lt;=AD$3, $F42 &gt;= AD$3), AND($F42&lt;AD$3, WORKDAY($F42, 22,Holiday!$A$1:$A$30)&gt;AD$3)), 1, 0)+IF(AND((AD$3-$B$2)&gt;=0,(AD$3-$B$2)&lt;30), 2,0)</f>
        <v>0</v>
      </c>
      <c r="AE42" s="140">
        <f>IF(OR(AND($F41&lt;=AE$3, $F42 &gt;= AE$3), AND($F42&lt;AE$3, WORKDAY($F42, 22,Holiday!$A$1:$A$30)&gt;AE$3)), 1, 0)+IF(AND((AE$3-$B$2)&gt;=0,(AE$3-$B$2)&lt;30), 2,0)</f>
        <v>0</v>
      </c>
      <c r="AF42" s="140">
        <f>IF(OR(AND($F41&lt;=AF$3, $F42 &gt;= AF$3), AND($F42&lt;AF$3, WORKDAY($F42, 22,Holiday!$A$1:$A$30)&gt;AF$3)), 1, 0)+IF(AND((AF$3-$B$2)&gt;=0,(AF$3-$B$2)&lt;30), 2,0)</f>
        <v>0</v>
      </c>
      <c r="AG42" s="140">
        <f>IF(OR(AND($F41&lt;=AG$3, $F42 &gt;= AG$3), AND($F42&lt;AG$3, WORKDAY($F42, 22,Holiday!$A$1:$A$30)&gt;AG$3)), 1, 0)+IF(AND((AG$3-$B$2)&gt;=0,(AG$3-$B$2)&lt;30), 2,0)</f>
        <v>1</v>
      </c>
      <c r="AH42" s="140">
        <f>IF(OR(AND($F41&lt;=AH$3, $F42 &gt;= AH$3), AND($F42&lt;AH$3, WORKDAY($F42, 22,Holiday!$A$1:$A$30)&gt;AH$3)), 1, 0)+IF(AND((AH$3-$B$2)&gt;=0,(AH$3-$B$2)&lt;30), 2,0)</f>
        <v>0</v>
      </c>
      <c r="AI42" s="140">
        <f>IF(OR(AND($F41&lt;=AI$3, $F42 &gt;= AI$3), AND($F42&lt;AI$3, WORKDAY($F42, 22,Holiday!$A$1:$A$30)&gt;AI$3)), 1, 0)+IF(AND((AI$3-$B$2)&gt;=0,(AI$3-$B$2)&lt;30), 2,0)</f>
        <v>2</v>
      </c>
      <c r="AJ42" s="140">
        <f>IF(OR(AND($F41&lt;=AJ$3, $F42 &gt;= AJ$3), AND($F42&lt;AJ$3, WORKDAY($F42, 22,Holiday!$A$1:$A$30)&gt;AJ$3)), 1, 0)+IF(AND((AJ$3-$B$2)&gt;=0,(AJ$3-$B$2)&lt;30), 2,0)</f>
        <v>0</v>
      </c>
      <c r="AK42" s="140">
        <f>IF(OR(AND($F41&lt;=AK$3, $F42 &gt;= AK$3), AND($F42&lt;AK$3, WORKDAY($F42, 22,Holiday!$A$1:$A$30)&gt;AK$3)), 1, 0)+IF(AND((AK$3-$B$2)&gt;=0,(AK$3-$B$2)&lt;30), 2,0)</f>
        <v>0</v>
      </c>
      <c r="AL42" s="140">
        <f>IF(OR(AND($F41&lt;=AL$3, $F42 &gt;= AL$3), AND($F42&lt;AL$3, WORKDAY($F42, 22,Holiday!$A$1:$A$30)&gt;AL$3)), 1, 0)+IF(AND((AL$3-$B$2)&gt;=0,(AL$3-$B$2)&lt;30), 2,0)</f>
        <v>0</v>
      </c>
      <c r="AM42" s="140">
        <f>IF(OR(AND($F41&lt;=AM$3, $F42 &gt;= AM$3), AND($F42&lt;AM$3, WORKDAY($F42, 22,Holiday!$A$1:$A$30)&gt;AM$3)), 1, 0)+IF(AND((AM$3-$B$2)&gt;=0,(AM$3-$B$2)&lt;30), 2,0)</f>
        <v>0</v>
      </c>
      <c r="AN42" s="140">
        <f>IF(OR(AND($F41&lt;=AN$3, $F42 &gt;= AN$3), AND($F42&lt;AN$3, WORKDAY($F42, 22,Holiday!$A$1:$A$30)&gt;AN$3)), 1, 0)+IF(AND((AN$3-$B$2)&gt;=0,(AN$3-$B$2)&lt;30), 2,0)</f>
        <v>0</v>
      </c>
      <c r="AO42" s="140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">
      <c r="B43" s="120" t="s">
        <v>270</v>
      </c>
      <c r="C43" s="116" t="s">
        <v>78</v>
      </c>
      <c r="D43" s="117">
        <v>8</v>
      </c>
      <c r="E43" s="135">
        <f t="shared" si="0"/>
        <v>12</v>
      </c>
      <c r="F43" s="123">
        <f>WORKDAY(F42,E43,Holiday!A39:A68)</f>
        <v>46871</v>
      </c>
      <c r="G43" s="140">
        <f>IF(OR(AND($F42&lt;=G$3, $F43 &gt;= G$3), AND($F43&lt;G$3, WORKDAY($F43, 22,Holiday!$A$1:$A$30)&gt;G$3)), 1, 0)+IF(AND((G$3-$B$2)&gt;=0,(G$3-$B$2)&lt;30), 2,0)</f>
        <v>0</v>
      </c>
      <c r="H43" s="140">
        <f>IF(OR(AND($F42&lt;=H$3, $F43 &gt;= H$3), AND($F43&lt;H$3, WORKDAY($F43, 22,Holiday!$A$1:$A$30)&gt;H$3)), 1, 0)+IF(AND((H$3-$B$2)&gt;=0,(H$3-$B$2)&lt;30), 2,0)</f>
        <v>0</v>
      </c>
      <c r="I43" s="140">
        <f>IF(OR(AND($F42&lt;=I$3, $F43 &gt;= I$3), AND($F43&lt;I$3, WORKDAY($F43, 22,Holiday!$A$1:$A$30)&gt;I$3)), 1, 0)+IF(AND((I$3-$B$2)&gt;=0,(I$3-$B$2)&lt;30), 2,0)</f>
        <v>0</v>
      </c>
      <c r="J43" s="140">
        <f>IF(OR(AND($F42&lt;=J$3, $F43 &gt;= J$3), AND($F43&lt;J$3, WORKDAY($F43, 22,Holiday!$A$1:$A$30)&gt;J$3)), 1, 0)+IF(AND((J$3-$B$2)&gt;=0,(J$3-$B$2)&lt;30), 2,0)</f>
        <v>0</v>
      </c>
      <c r="K43" s="140">
        <f>IF(OR(AND($F42&lt;=K$3, $F43 &gt;= K$3), AND($F43&lt;K$3, WORKDAY($F43, 22,Holiday!$A$1:$A$30)&gt;K$3)), 1, 0)+IF(AND((K$3-$B$2)&gt;=0,(K$3-$B$2)&lt;30), 2,0)</f>
        <v>0</v>
      </c>
      <c r="L43" s="140">
        <f>IF(OR(AND($F42&lt;=L$3, $F43 &gt;= L$3), AND($F43&lt;L$3, WORKDAY($F43, 22,Holiday!$A$1:$A$30)&gt;L$3)), 1, 0)+IF(AND((L$3-$B$2)&gt;=0,(L$3-$B$2)&lt;30), 2,0)</f>
        <v>0</v>
      </c>
      <c r="M43" s="140">
        <f>IF(OR(AND($F42&lt;=M$3, $F43 &gt;= M$3), AND($F43&lt;M$3, WORKDAY($F43, 22,Holiday!$A$1:$A$30)&gt;M$3)), 1, 0)+IF(AND((M$3-$B$2)&gt;=0,(M$3-$B$2)&lt;30), 2,0)</f>
        <v>0</v>
      </c>
      <c r="N43" s="140">
        <f>IF(OR(AND($F42&lt;=N$3, $F43 &gt;= N$3), AND($F43&lt;N$3, WORKDAY($F43, 22,Holiday!$A$1:$A$30)&gt;N$3)), 1, 0)+IF(AND((N$3-$B$2)&gt;=0,(N$3-$B$2)&lt;30), 2,0)</f>
        <v>0</v>
      </c>
      <c r="O43" s="140">
        <f>IF(OR(AND($F42&lt;=O$3, $F43 &gt;= O$3), AND($F43&lt;O$3, WORKDAY($F43, 22,Holiday!$A$1:$A$30)&gt;O$3)), 1, 0)+IF(AND((O$3-$B$2)&gt;=0,(O$3-$B$2)&lt;30), 2,0)</f>
        <v>0</v>
      </c>
      <c r="P43" s="140">
        <f>IF(OR(AND($F42&lt;=P$3, $F43 &gt;= P$3), AND($F43&lt;P$3, WORKDAY($F43, 22,Holiday!$A$1:$A$30)&gt;P$3)), 1, 0)+IF(AND((P$3-$B$2)&gt;=0,(P$3-$B$2)&lt;30), 2,0)</f>
        <v>0</v>
      </c>
      <c r="Q43" s="140">
        <f>IF(OR(AND($F42&lt;=Q$3, $F43 &gt;= Q$3), AND($F43&lt;Q$3, WORKDAY($F43, 22,Holiday!$A$1:$A$30)&gt;Q$3)), 1, 0)+IF(AND((Q$3-$B$2)&gt;=0,(Q$3-$B$2)&lt;30), 2,0)</f>
        <v>0</v>
      </c>
      <c r="R43" s="140">
        <f>IF(OR(AND($F42&lt;=R$3, $F43 &gt;= R$3), AND($F43&lt;R$3, WORKDAY($F43, 22,Holiday!$A$1:$A$30)&gt;R$3)), 1, 0)+IF(AND((R$3-$B$2)&gt;=0,(R$3-$B$2)&lt;30), 2,0)</f>
        <v>0</v>
      </c>
      <c r="S43" s="140">
        <f>IF(OR(AND($F42&lt;=S$3, $F43 &gt;= S$3), AND($F43&lt;S$3, WORKDAY($F43, 22,Holiday!$A$1:$A$30)&gt;S$3)), 1, 0)+IF(AND((S$3-$B$2)&gt;=0,(S$3-$B$2)&lt;30), 2,0)</f>
        <v>0</v>
      </c>
      <c r="T43" s="140">
        <f>IF(OR(AND($F42&lt;=T$3, $F43 &gt;= T$3), AND($F43&lt;T$3, WORKDAY($F43, 22,Holiday!$A$1:$A$30)&gt;T$3)), 1, 0)+IF(AND((T$3-$B$2)&gt;=0,(T$3-$B$2)&lt;30), 2,0)</f>
        <v>0</v>
      </c>
      <c r="U43" s="140">
        <f>IF(OR(AND($F42&lt;=U$3, $F43 &gt;= U$3), AND($F43&lt;U$3, WORKDAY($F43, 22,Holiday!$A$1:$A$30)&gt;U$3)), 1, 0)+IF(AND((U$3-$B$2)&gt;=0,(U$3-$B$2)&lt;30), 2,0)</f>
        <v>0</v>
      </c>
      <c r="V43" s="140">
        <f>IF(OR(AND($F42&lt;=V$3, $F43 &gt;= V$3), AND($F43&lt;V$3, WORKDAY($F43, 22,Holiday!$A$1:$A$30)&gt;V$3)), 1, 0)+IF(AND((V$3-$B$2)&gt;=0,(V$3-$B$2)&lt;30), 2,0)</f>
        <v>0</v>
      </c>
      <c r="W43" s="140">
        <f>IF(OR(AND($F42&lt;=W$3, $F43 &gt;= W$3), AND($F43&lt;W$3, WORKDAY($F43, 22,Holiday!$A$1:$A$30)&gt;W$3)), 1, 0)+IF(AND((W$3-$B$2)&gt;=0,(W$3-$B$2)&lt;30), 2,0)</f>
        <v>0</v>
      </c>
      <c r="X43" s="140">
        <f>IF(OR(AND($F42&lt;=X$3, $F43 &gt;= X$3), AND($F43&lt;X$3, WORKDAY($F43, 22,Holiday!$A$1:$A$30)&gt;X$3)), 1, 0)+IF(AND((X$3-$B$2)&gt;=0,(X$3-$B$2)&lt;30), 2,0)</f>
        <v>0</v>
      </c>
      <c r="Y43" s="140">
        <f>IF(OR(AND($F42&lt;=Y$3, $F43 &gt;= Y$3), AND($F43&lt;Y$3, WORKDAY($F43, 22,Holiday!$A$1:$A$30)&gt;Y$3)), 1, 0)+IF(AND((Y$3-$B$2)&gt;=0,(Y$3-$B$2)&lt;30), 2,0)</f>
        <v>0</v>
      </c>
      <c r="Z43" s="140">
        <f>IF(OR(AND($F42&lt;=Z$3, $F43 &gt;= Z$3), AND($F43&lt;Z$3, WORKDAY($F43, 22,Holiday!$A$1:$A$30)&gt;Z$3)), 1, 0)+IF(AND((Z$3-$B$2)&gt;=0,(Z$3-$B$2)&lt;30), 2,0)</f>
        <v>0</v>
      </c>
      <c r="AA43" s="140">
        <f>IF(OR(AND($F42&lt;=AA$3, $F43 &gt;= AA$3), AND($F43&lt;AA$3, WORKDAY($F43, 22,Holiday!$A$1:$A$30)&gt;AA$3)), 1, 0)+IF(AND((AA$3-$B$2)&gt;=0,(AA$3-$B$2)&lt;30), 2,0)</f>
        <v>0</v>
      </c>
      <c r="AB43" s="140">
        <f>IF(OR(AND($F42&lt;=AB$3, $F43 &gt;= AB$3), AND($F43&lt;AB$3, WORKDAY($F43, 22,Holiday!$A$1:$A$30)&gt;AB$3)), 1, 0)+IF(AND((AB$3-$B$2)&gt;=0,(AB$3-$B$2)&lt;30), 2,0)</f>
        <v>0</v>
      </c>
      <c r="AC43" s="140">
        <f>IF(OR(AND($F42&lt;=AC$3, $F43 &gt;= AC$3), AND($F43&lt;AC$3, WORKDAY($F43, 22,Holiday!$A$1:$A$30)&gt;AC$3)), 1, 0)+IF(AND((AC$3-$B$2)&gt;=0,(AC$3-$B$2)&lt;30), 2,0)</f>
        <v>0</v>
      </c>
      <c r="AD43" s="140">
        <f>IF(OR(AND($F42&lt;=AD$3, $F43 &gt;= AD$3), AND($F43&lt;AD$3, WORKDAY($F43, 22,Holiday!$A$1:$A$30)&gt;AD$3)), 1, 0)+IF(AND((AD$3-$B$2)&gt;=0,(AD$3-$B$2)&lt;30), 2,0)</f>
        <v>0</v>
      </c>
      <c r="AE43" s="140">
        <f>IF(OR(AND($F42&lt;=AE$3, $F43 &gt;= AE$3), AND($F43&lt;AE$3, WORKDAY($F43, 22,Holiday!$A$1:$A$30)&gt;AE$3)), 1, 0)+IF(AND((AE$3-$B$2)&gt;=0,(AE$3-$B$2)&lt;30), 2,0)</f>
        <v>0</v>
      </c>
      <c r="AF43" s="140">
        <f>IF(OR(AND($F42&lt;=AF$3, $F43 &gt;= AF$3), AND($F43&lt;AF$3, WORKDAY($F43, 22,Holiday!$A$1:$A$30)&gt;AF$3)), 1, 0)+IF(AND((AF$3-$B$2)&gt;=0,(AF$3-$B$2)&lt;30), 2,0)</f>
        <v>0</v>
      </c>
      <c r="AG43" s="140">
        <f>IF(OR(AND($F42&lt;=AG$3, $F43 &gt;= AG$3), AND($F43&lt;AG$3, WORKDAY($F43, 22,Holiday!$A$1:$A$30)&gt;AG$3)), 1, 0)+IF(AND((AG$3-$B$2)&gt;=0,(AG$3-$B$2)&lt;30), 2,0)</f>
        <v>1</v>
      </c>
      <c r="AH43" s="140">
        <f>IF(OR(AND($F42&lt;=AH$3, $F43 &gt;= AH$3), AND($F43&lt;AH$3, WORKDAY($F43, 22,Holiday!$A$1:$A$30)&gt;AH$3)), 1, 0)+IF(AND((AH$3-$B$2)&gt;=0,(AH$3-$B$2)&lt;30), 2,0)</f>
        <v>1</v>
      </c>
      <c r="AI43" s="140">
        <f>IF(OR(AND($F42&lt;=AI$3, $F43 &gt;= AI$3), AND($F43&lt;AI$3, WORKDAY($F43, 22,Holiday!$A$1:$A$30)&gt;AI$3)), 1, 0)+IF(AND((AI$3-$B$2)&gt;=0,(AI$3-$B$2)&lt;30), 2,0)</f>
        <v>2</v>
      </c>
      <c r="AJ43" s="140">
        <f>IF(OR(AND($F42&lt;=AJ$3, $F43 &gt;= AJ$3), AND($F43&lt;AJ$3, WORKDAY($F43, 22,Holiday!$A$1:$A$30)&gt;AJ$3)), 1, 0)+IF(AND((AJ$3-$B$2)&gt;=0,(AJ$3-$B$2)&lt;30), 2,0)</f>
        <v>0</v>
      </c>
      <c r="AK43" s="140">
        <f>IF(OR(AND($F42&lt;=AK$3, $F43 &gt;= AK$3), AND($F43&lt;AK$3, WORKDAY($F43, 22,Holiday!$A$1:$A$30)&gt;AK$3)), 1, 0)+IF(AND((AK$3-$B$2)&gt;=0,(AK$3-$B$2)&lt;30), 2,0)</f>
        <v>0</v>
      </c>
      <c r="AL43" s="140">
        <f>IF(OR(AND($F42&lt;=AL$3, $F43 &gt;= AL$3), AND($F43&lt;AL$3, WORKDAY($F43, 22,Holiday!$A$1:$A$30)&gt;AL$3)), 1, 0)+IF(AND((AL$3-$B$2)&gt;=0,(AL$3-$B$2)&lt;30), 2,0)</f>
        <v>0</v>
      </c>
      <c r="AM43" s="140">
        <f>IF(OR(AND($F42&lt;=AM$3, $F43 &gt;= AM$3), AND($F43&lt;AM$3, WORKDAY($F43, 22,Holiday!$A$1:$A$30)&gt;AM$3)), 1, 0)+IF(AND((AM$3-$B$2)&gt;=0,(AM$3-$B$2)&lt;30), 2,0)</f>
        <v>0</v>
      </c>
      <c r="AN43" s="140">
        <f>IF(OR(AND($F42&lt;=AN$3, $F43 &gt;= AN$3), AND($F43&lt;AN$3, WORKDAY($F43, 22,Holiday!$A$1:$A$30)&gt;AN$3)), 1, 0)+IF(AND((AN$3-$B$2)&gt;=0,(AN$3-$B$2)&lt;30), 2,0)</f>
        <v>0</v>
      </c>
      <c r="AO43" s="140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">
      <c r="B44" s="120" t="s">
        <v>271</v>
      </c>
      <c r="C44" s="116" t="s">
        <v>78</v>
      </c>
      <c r="D44" s="117">
        <v>5</v>
      </c>
      <c r="E44" s="135">
        <f t="shared" si="0"/>
        <v>8</v>
      </c>
      <c r="F44" s="123">
        <f>WORKDAY(F43,E44,Holiday!A40:A69)</f>
        <v>46883</v>
      </c>
      <c r="G44" s="140">
        <f>IF(OR(AND($F43&lt;=G$3, $F44 &gt;= G$3), AND($F44&lt;G$3, WORKDAY($F44, 22,Holiday!$A$1:$A$30)&gt;G$3)), 1, 0)+IF(AND((G$3-$B$2)&gt;=0,(G$3-$B$2)&lt;30), 2,0)</f>
        <v>0</v>
      </c>
      <c r="H44" s="140">
        <f>IF(OR(AND($F43&lt;=H$3, $F44 &gt;= H$3), AND($F44&lt;H$3, WORKDAY($F44, 22,Holiday!$A$1:$A$30)&gt;H$3)), 1, 0)+IF(AND((H$3-$B$2)&gt;=0,(H$3-$B$2)&lt;30), 2,0)</f>
        <v>0</v>
      </c>
      <c r="I44" s="140">
        <f>IF(OR(AND($F43&lt;=I$3, $F44 &gt;= I$3), AND($F44&lt;I$3, WORKDAY($F44, 22,Holiday!$A$1:$A$30)&gt;I$3)), 1, 0)+IF(AND((I$3-$B$2)&gt;=0,(I$3-$B$2)&lt;30), 2,0)</f>
        <v>0</v>
      </c>
      <c r="J44" s="140">
        <f>IF(OR(AND($F43&lt;=J$3, $F44 &gt;= J$3), AND($F44&lt;J$3, WORKDAY($F44, 22,Holiday!$A$1:$A$30)&gt;J$3)), 1, 0)+IF(AND((J$3-$B$2)&gt;=0,(J$3-$B$2)&lt;30), 2,0)</f>
        <v>0</v>
      </c>
      <c r="K44" s="140">
        <f>IF(OR(AND($F43&lt;=K$3, $F44 &gt;= K$3), AND($F44&lt;K$3, WORKDAY($F44, 22,Holiday!$A$1:$A$30)&gt;K$3)), 1, 0)+IF(AND((K$3-$B$2)&gt;=0,(K$3-$B$2)&lt;30), 2,0)</f>
        <v>0</v>
      </c>
      <c r="L44" s="140">
        <f>IF(OR(AND($F43&lt;=L$3, $F44 &gt;= L$3), AND($F44&lt;L$3, WORKDAY($F44, 22,Holiday!$A$1:$A$30)&gt;L$3)), 1, 0)+IF(AND((L$3-$B$2)&gt;=0,(L$3-$B$2)&lt;30), 2,0)</f>
        <v>0</v>
      </c>
      <c r="M44" s="140">
        <f>IF(OR(AND($F43&lt;=M$3, $F44 &gt;= M$3), AND($F44&lt;M$3, WORKDAY($F44, 22,Holiday!$A$1:$A$30)&gt;M$3)), 1, 0)+IF(AND((M$3-$B$2)&gt;=0,(M$3-$B$2)&lt;30), 2,0)</f>
        <v>0</v>
      </c>
      <c r="N44" s="140">
        <f>IF(OR(AND($F43&lt;=N$3, $F44 &gt;= N$3), AND($F44&lt;N$3, WORKDAY($F44, 22,Holiday!$A$1:$A$30)&gt;N$3)), 1, 0)+IF(AND((N$3-$B$2)&gt;=0,(N$3-$B$2)&lt;30), 2,0)</f>
        <v>0</v>
      </c>
      <c r="O44" s="140">
        <f>IF(OR(AND($F43&lt;=O$3, $F44 &gt;= O$3), AND($F44&lt;O$3, WORKDAY($F44, 22,Holiday!$A$1:$A$30)&gt;O$3)), 1, 0)+IF(AND((O$3-$B$2)&gt;=0,(O$3-$B$2)&lt;30), 2,0)</f>
        <v>0</v>
      </c>
      <c r="P44" s="140">
        <f>IF(OR(AND($F43&lt;=P$3, $F44 &gt;= P$3), AND($F44&lt;P$3, WORKDAY($F44, 22,Holiday!$A$1:$A$30)&gt;P$3)), 1, 0)+IF(AND((P$3-$B$2)&gt;=0,(P$3-$B$2)&lt;30), 2,0)</f>
        <v>0</v>
      </c>
      <c r="Q44" s="140">
        <f>IF(OR(AND($F43&lt;=Q$3, $F44 &gt;= Q$3), AND($F44&lt;Q$3, WORKDAY($F44, 22,Holiday!$A$1:$A$30)&gt;Q$3)), 1, 0)+IF(AND((Q$3-$B$2)&gt;=0,(Q$3-$B$2)&lt;30), 2,0)</f>
        <v>0</v>
      </c>
      <c r="R44" s="140">
        <f>IF(OR(AND($F43&lt;=R$3, $F44 &gt;= R$3), AND($F44&lt;R$3, WORKDAY($F44, 22,Holiday!$A$1:$A$30)&gt;R$3)), 1, 0)+IF(AND((R$3-$B$2)&gt;=0,(R$3-$B$2)&lt;30), 2,0)</f>
        <v>0</v>
      </c>
      <c r="S44" s="140">
        <f>IF(OR(AND($F43&lt;=S$3, $F44 &gt;= S$3), AND($F44&lt;S$3, WORKDAY($F44, 22,Holiday!$A$1:$A$30)&gt;S$3)), 1, 0)+IF(AND((S$3-$B$2)&gt;=0,(S$3-$B$2)&lt;30), 2,0)</f>
        <v>0</v>
      </c>
      <c r="T44" s="140">
        <f>IF(OR(AND($F43&lt;=T$3, $F44 &gt;= T$3), AND($F44&lt;T$3, WORKDAY($F44, 22,Holiday!$A$1:$A$30)&gt;T$3)), 1, 0)+IF(AND((T$3-$B$2)&gt;=0,(T$3-$B$2)&lt;30), 2,0)</f>
        <v>0</v>
      </c>
      <c r="U44" s="140">
        <f>IF(OR(AND($F43&lt;=U$3, $F44 &gt;= U$3), AND($F44&lt;U$3, WORKDAY($F44, 22,Holiday!$A$1:$A$30)&gt;U$3)), 1, 0)+IF(AND((U$3-$B$2)&gt;=0,(U$3-$B$2)&lt;30), 2,0)</f>
        <v>0</v>
      </c>
      <c r="V44" s="140">
        <f>IF(OR(AND($F43&lt;=V$3, $F44 &gt;= V$3), AND($F44&lt;V$3, WORKDAY($F44, 22,Holiday!$A$1:$A$30)&gt;V$3)), 1, 0)+IF(AND((V$3-$B$2)&gt;=0,(V$3-$B$2)&lt;30), 2,0)</f>
        <v>0</v>
      </c>
      <c r="W44" s="140">
        <f>IF(OR(AND($F43&lt;=W$3, $F44 &gt;= W$3), AND($F44&lt;W$3, WORKDAY($F44, 22,Holiday!$A$1:$A$30)&gt;W$3)), 1, 0)+IF(AND((W$3-$B$2)&gt;=0,(W$3-$B$2)&lt;30), 2,0)</f>
        <v>0</v>
      </c>
      <c r="X44" s="140">
        <f>IF(OR(AND($F43&lt;=X$3, $F44 &gt;= X$3), AND($F44&lt;X$3, WORKDAY($F44, 22,Holiday!$A$1:$A$30)&gt;X$3)), 1, 0)+IF(AND((X$3-$B$2)&gt;=0,(X$3-$B$2)&lt;30), 2,0)</f>
        <v>0</v>
      </c>
      <c r="Y44" s="140">
        <f>IF(OR(AND($F43&lt;=Y$3, $F44 &gt;= Y$3), AND($F44&lt;Y$3, WORKDAY($F44, 22,Holiday!$A$1:$A$30)&gt;Y$3)), 1, 0)+IF(AND((Y$3-$B$2)&gt;=0,(Y$3-$B$2)&lt;30), 2,0)</f>
        <v>0</v>
      </c>
      <c r="Z44" s="140">
        <f>IF(OR(AND($F43&lt;=Z$3, $F44 &gt;= Z$3), AND($F44&lt;Z$3, WORKDAY($F44, 22,Holiday!$A$1:$A$30)&gt;Z$3)), 1, 0)+IF(AND((Z$3-$B$2)&gt;=0,(Z$3-$B$2)&lt;30), 2,0)</f>
        <v>0</v>
      </c>
      <c r="AA44" s="140">
        <f>IF(OR(AND($F43&lt;=AA$3, $F44 &gt;= AA$3), AND($F44&lt;AA$3, WORKDAY($F44, 22,Holiday!$A$1:$A$30)&gt;AA$3)), 1, 0)+IF(AND((AA$3-$B$2)&gt;=0,(AA$3-$B$2)&lt;30), 2,0)</f>
        <v>0</v>
      </c>
      <c r="AB44" s="140">
        <f>IF(OR(AND($F43&lt;=AB$3, $F44 &gt;= AB$3), AND($F44&lt;AB$3, WORKDAY($F44, 22,Holiday!$A$1:$A$30)&gt;AB$3)), 1, 0)+IF(AND((AB$3-$B$2)&gt;=0,(AB$3-$B$2)&lt;30), 2,0)</f>
        <v>0</v>
      </c>
      <c r="AC44" s="140">
        <f>IF(OR(AND($F43&lt;=AC$3, $F44 &gt;= AC$3), AND($F44&lt;AC$3, WORKDAY($F44, 22,Holiday!$A$1:$A$30)&gt;AC$3)), 1, 0)+IF(AND((AC$3-$B$2)&gt;=0,(AC$3-$B$2)&lt;30), 2,0)</f>
        <v>0</v>
      </c>
      <c r="AD44" s="140">
        <f>IF(OR(AND($F43&lt;=AD$3, $F44 &gt;= AD$3), AND($F44&lt;AD$3, WORKDAY($F44, 22,Holiday!$A$1:$A$30)&gt;AD$3)), 1, 0)+IF(AND((AD$3-$B$2)&gt;=0,(AD$3-$B$2)&lt;30), 2,0)</f>
        <v>0</v>
      </c>
      <c r="AE44" s="140">
        <f>IF(OR(AND($F43&lt;=AE$3, $F44 &gt;= AE$3), AND($F44&lt;AE$3, WORKDAY($F44, 22,Holiday!$A$1:$A$30)&gt;AE$3)), 1, 0)+IF(AND((AE$3-$B$2)&gt;=0,(AE$3-$B$2)&lt;30), 2,0)</f>
        <v>0</v>
      </c>
      <c r="AF44" s="140">
        <f>IF(OR(AND($F43&lt;=AF$3, $F44 &gt;= AF$3), AND($F44&lt;AF$3, WORKDAY($F44, 22,Holiday!$A$1:$A$30)&gt;AF$3)), 1, 0)+IF(AND((AF$3-$B$2)&gt;=0,(AF$3-$B$2)&lt;30), 2,0)</f>
        <v>0</v>
      </c>
      <c r="AG44" s="140">
        <f>IF(OR(AND($F43&lt;=AG$3, $F44 &gt;= AG$3), AND($F44&lt;AG$3, WORKDAY($F44, 22,Holiday!$A$1:$A$30)&gt;AG$3)), 1, 0)+IF(AND((AG$3-$B$2)&gt;=0,(AG$3-$B$2)&lt;30), 2,0)</f>
        <v>0</v>
      </c>
      <c r="AH44" s="140">
        <f>IF(OR(AND($F43&lt;=AH$3, $F44 &gt;= AH$3), AND($F44&lt;AH$3, WORKDAY($F44, 22,Holiday!$A$1:$A$30)&gt;AH$3)), 1, 0)+IF(AND((AH$3-$B$2)&gt;=0,(AH$3-$B$2)&lt;30), 2,0)</f>
        <v>1</v>
      </c>
      <c r="AI44" s="140">
        <f>IF(OR(AND($F43&lt;=AI$3, $F44 &gt;= AI$3), AND($F44&lt;AI$3, WORKDAY($F44, 22,Holiday!$A$1:$A$30)&gt;AI$3)), 1, 0)+IF(AND((AI$3-$B$2)&gt;=0,(AI$3-$B$2)&lt;30), 2,0)</f>
        <v>2</v>
      </c>
      <c r="AJ44" s="140">
        <f>IF(OR(AND($F43&lt;=AJ$3, $F44 &gt;= AJ$3), AND($F44&lt;AJ$3, WORKDAY($F44, 22,Holiday!$A$1:$A$30)&gt;AJ$3)), 1, 0)+IF(AND((AJ$3-$B$2)&gt;=0,(AJ$3-$B$2)&lt;30), 2,0)</f>
        <v>0</v>
      </c>
      <c r="AK44" s="140">
        <f>IF(OR(AND($F43&lt;=AK$3, $F44 &gt;= AK$3), AND($F44&lt;AK$3, WORKDAY($F44, 22,Holiday!$A$1:$A$30)&gt;AK$3)), 1, 0)+IF(AND((AK$3-$B$2)&gt;=0,(AK$3-$B$2)&lt;30), 2,0)</f>
        <v>0</v>
      </c>
      <c r="AL44" s="140">
        <f>IF(OR(AND($F43&lt;=AL$3, $F44 &gt;= AL$3), AND($F44&lt;AL$3, WORKDAY($F44, 22,Holiday!$A$1:$A$30)&gt;AL$3)), 1, 0)+IF(AND((AL$3-$B$2)&gt;=0,(AL$3-$B$2)&lt;30), 2,0)</f>
        <v>0</v>
      </c>
      <c r="AM44" s="140">
        <f>IF(OR(AND($F43&lt;=AM$3, $F44 &gt;= AM$3), AND($F44&lt;AM$3, WORKDAY($F44, 22,Holiday!$A$1:$A$30)&gt;AM$3)), 1, 0)+IF(AND((AM$3-$B$2)&gt;=0,(AM$3-$B$2)&lt;30), 2,0)</f>
        <v>0</v>
      </c>
      <c r="AN44" s="140">
        <f>IF(OR(AND($F43&lt;=AN$3, $F44 &gt;= AN$3), AND($F44&lt;AN$3, WORKDAY($F44, 22,Holiday!$A$1:$A$30)&gt;AN$3)), 1, 0)+IF(AND((AN$3-$B$2)&gt;=0,(AN$3-$B$2)&lt;30), 2,0)</f>
        <v>0</v>
      </c>
      <c r="AO44" s="140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">
      <c r="B45" s="120" t="s">
        <v>272</v>
      </c>
      <c r="C45" s="116" t="s">
        <v>78</v>
      </c>
      <c r="D45" s="117">
        <v>13</v>
      </c>
      <c r="E45" s="135">
        <f t="shared" si="0"/>
        <v>20</v>
      </c>
      <c r="F45" s="123">
        <f>WORKDAY(F44,E45,Holiday!A41:A70)</f>
        <v>46911</v>
      </c>
      <c r="G45" s="140">
        <f>IF(OR(AND($F44&lt;=G$3, $F45 &gt;= G$3), AND($F45&lt;G$3, WORKDAY($F45, 22,Holiday!$A$1:$A$30)&gt;G$3)), 1, 0)+IF(AND((G$3-$B$2)&gt;=0,(G$3-$B$2)&lt;30), 2,0)</f>
        <v>0</v>
      </c>
      <c r="H45" s="140">
        <f>IF(OR(AND($F44&lt;=H$3, $F45 &gt;= H$3), AND($F45&lt;H$3, WORKDAY($F45, 22,Holiday!$A$1:$A$30)&gt;H$3)), 1, 0)+IF(AND((H$3-$B$2)&gt;=0,(H$3-$B$2)&lt;30), 2,0)</f>
        <v>0</v>
      </c>
      <c r="I45" s="140">
        <f>IF(OR(AND($F44&lt;=I$3, $F45 &gt;= I$3), AND($F45&lt;I$3, WORKDAY($F45, 22,Holiday!$A$1:$A$30)&gt;I$3)), 1, 0)+IF(AND((I$3-$B$2)&gt;=0,(I$3-$B$2)&lt;30), 2,0)</f>
        <v>0</v>
      </c>
      <c r="J45" s="140">
        <f>IF(OR(AND($F44&lt;=J$3, $F45 &gt;= J$3), AND($F45&lt;J$3, WORKDAY($F45, 22,Holiday!$A$1:$A$30)&gt;J$3)), 1, 0)+IF(AND((J$3-$B$2)&gt;=0,(J$3-$B$2)&lt;30), 2,0)</f>
        <v>0</v>
      </c>
      <c r="K45" s="140">
        <f>IF(OR(AND($F44&lt;=K$3, $F45 &gt;= K$3), AND($F45&lt;K$3, WORKDAY($F45, 22,Holiday!$A$1:$A$30)&gt;K$3)), 1, 0)+IF(AND((K$3-$B$2)&gt;=0,(K$3-$B$2)&lt;30), 2,0)</f>
        <v>0</v>
      </c>
      <c r="L45" s="140">
        <f>IF(OR(AND($F44&lt;=L$3, $F45 &gt;= L$3), AND($F45&lt;L$3, WORKDAY($F45, 22,Holiday!$A$1:$A$30)&gt;L$3)), 1, 0)+IF(AND((L$3-$B$2)&gt;=0,(L$3-$B$2)&lt;30), 2,0)</f>
        <v>0</v>
      </c>
      <c r="M45" s="140">
        <f>IF(OR(AND($F44&lt;=M$3, $F45 &gt;= M$3), AND($F45&lt;M$3, WORKDAY($F45, 22,Holiday!$A$1:$A$30)&gt;M$3)), 1, 0)+IF(AND((M$3-$B$2)&gt;=0,(M$3-$B$2)&lt;30), 2,0)</f>
        <v>0</v>
      </c>
      <c r="N45" s="140">
        <f>IF(OR(AND($F44&lt;=N$3, $F45 &gt;= N$3), AND($F45&lt;N$3, WORKDAY($F45, 22,Holiday!$A$1:$A$30)&gt;N$3)), 1, 0)+IF(AND((N$3-$B$2)&gt;=0,(N$3-$B$2)&lt;30), 2,0)</f>
        <v>0</v>
      </c>
      <c r="O45" s="140">
        <f>IF(OR(AND($F44&lt;=O$3, $F45 &gt;= O$3), AND($F45&lt;O$3, WORKDAY($F45, 22,Holiday!$A$1:$A$30)&gt;O$3)), 1, 0)+IF(AND((O$3-$B$2)&gt;=0,(O$3-$B$2)&lt;30), 2,0)</f>
        <v>0</v>
      </c>
      <c r="P45" s="140">
        <f>IF(OR(AND($F44&lt;=P$3, $F45 &gt;= P$3), AND($F45&lt;P$3, WORKDAY($F45, 22,Holiday!$A$1:$A$30)&gt;P$3)), 1, 0)+IF(AND((P$3-$B$2)&gt;=0,(P$3-$B$2)&lt;30), 2,0)</f>
        <v>0</v>
      </c>
      <c r="Q45" s="140">
        <f>IF(OR(AND($F44&lt;=Q$3, $F45 &gt;= Q$3), AND($F45&lt;Q$3, WORKDAY($F45, 22,Holiday!$A$1:$A$30)&gt;Q$3)), 1, 0)+IF(AND((Q$3-$B$2)&gt;=0,(Q$3-$B$2)&lt;30), 2,0)</f>
        <v>0</v>
      </c>
      <c r="R45" s="140">
        <f>IF(OR(AND($F44&lt;=R$3, $F45 &gt;= R$3), AND($F45&lt;R$3, WORKDAY($F45, 22,Holiday!$A$1:$A$30)&gt;R$3)), 1, 0)+IF(AND((R$3-$B$2)&gt;=0,(R$3-$B$2)&lt;30), 2,0)</f>
        <v>0</v>
      </c>
      <c r="S45" s="140">
        <f>IF(OR(AND($F44&lt;=S$3, $F45 &gt;= S$3), AND($F45&lt;S$3, WORKDAY($F45, 22,Holiday!$A$1:$A$30)&gt;S$3)), 1, 0)+IF(AND((S$3-$B$2)&gt;=0,(S$3-$B$2)&lt;30), 2,0)</f>
        <v>0</v>
      </c>
      <c r="T45" s="140">
        <f>IF(OR(AND($F44&lt;=T$3, $F45 &gt;= T$3), AND($F45&lt;T$3, WORKDAY($F45, 22,Holiday!$A$1:$A$30)&gt;T$3)), 1, 0)+IF(AND((T$3-$B$2)&gt;=0,(T$3-$B$2)&lt;30), 2,0)</f>
        <v>0</v>
      </c>
      <c r="U45" s="140">
        <f>IF(OR(AND($F44&lt;=U$3, $F45 &gt;= U$3), AND($F45&lt;U$3, WORKDAY($F45, 22,Holiday!$A$1:$A$30)&gt;U$3)), 1, 0)+IF(AND((U$3-$B$2)&gt;=0,(U$3-$B$2)&lt;30), 2,0)</f>
        <v>0</v>
      </c>
      <c r="V45" s="140">
        <f>IF(OR(AND($F44&lt;=V$3, $F45 &gt;= V$3), AND($F45&lt;V$3, WORKDAY($F45, 22,Holiday!$A$1:$A$30)&gt;V$3)), 1, 0)+IF(AND((V$3-$B$2)&gt;=0,(V$3-$B$2)&lt;30), 2,0)</f>
        <v>0</v>
      </c>
      <c r="W45" s="140">
        <f>IF(OR(AND($F44&lt;=W$3, $F45 &gt;= W$3), AND($F45&lt;W$3, WORKDAY($F45, 22,Holiday!$A$1:$A$30)&gt;W$3)), 1, 0)+IF(AND((W$3-$B$2)&gt;=0,(W$3-$B$2)&lt;30), 2,0)</f>
        <v>0</v>
      </c>
      <c r="X45" s="140">
        <f>IF(OR(AND($F44&lt;=X$3, $F45 &gt;= X$3), AND($F45&lt;X$3, WORKDAY($F45, 22,Holiday!$A$1:$A$30)&gt;X$3)), 1, 0)+IF(AND((X$3-$B$2)&gt;=0,(X$3-$B$2)&lt;30), 2,0)</f>
        <v>0</v>
      </c>
      <c r="Y45" s="140">
        <f>IF(OR(AND($F44&lt;=Y$3, $F45 &gt;= Y$3), AND($F45&lt;Y$3, WORKDAY($F45, 22,Holiday!$A$1:$A$30)&gt;Y$3)), 1, 0)+IF(AND((Y$3-$B$2)&gt;=0,(Y$3-$B$2)&lt;30), 2,0)</f>
        <v>0</v>
      </c>
      <c r="Z45" s="140">
        <f>IF(OR(AND($F44&lt;=Z$3, $F45 &gt;= Z$3), AND($F45&lt;Z$3, WORKDAY($F45, 22,Holiday!$A$1:$A$30)&gt;Z$3)), 1, 0)+IF(AND((Z$3-$B$2)&gt;=0,(Z$3-$B$2)&lt;30), 2,0)</f>
        <v>0</v>
      </c>
      <c r="AA45" s="140">
        <f>IF(OR(AND($F44&lt;=AA$3, $F45 &gt;= AA$3), AND($F45&lt;AA$3, WORKDAY($F45, 22,Holiday!$A$1:$A$30)&gt;AA$3)), 1, 0)+IF(AND((AA$3-$B$2)&gt;=0,(AA$3-$B$2)&lt;30), 2,0)</f>
        <v>0</v>
      </c>
      <c r="AB45" s="140">
        <f>IF(OR(AND($F44&lt;=AB$3, $F45 &gt;= AB$3), AND($F45&lt;AB$3, WORKDAY($F45, 22,Holiday!$A$1:$A$30)&gt;AB$3)), 1, 0)+IF(AND((AB$3-$B$2)&gt;=0,(AB$3-$B$2)&lt;30), 2,0)</f>
        <v>0</v>
      </c>
      <c r="AC45" s="140">
        <f>IF(OR(AND($F44&lt;=AC$3, $F45 &gt;= AC$3), AND($F45&lt;AC$3, WORKDAY($F45, 22,Holiday!$A$1:$A$30)&gt;AC$3)), 1, 0)+IF(AND((AC$3-$B$2)&gt;=0,(AC$3-$B$2)&lt;30), 2,0)</f>
        <v>0</v>
      </c>
      <c r="AD45" s="140">
        <f>IF(OR(AND($F44&lt;=AD$3, $F45 &gt;= AD$3), AND($F45&lt;AD$3, WORKDAY($F45, 22,Holiday!$A$1:$A$30)&gt;AD$3)), 1, 0)+IF(AND((AD$3-$B$2)&gt;=0,(AD$3-$B$2)&lt;30), 2,0)</f>
        <v>0</v>
      </c>
      <c r="AE45" s="140">
        <f>IF(OR(AND($F44&lt;=AE$3, $F45 &gt;= AE$3), AND($F45&lt;AE$3, WORKDAY($F45, 22,Holiday!$A$1:$A$30)&gt;AE$3)), 1, 0)+IF(AND((AE$3-$B$2)&gt;=0,(AE$3-$B$2)&lt;30), 2,0)</f>
        <v>0</v>
      </c>
      <c r="AF45" s="140">
        <f>IF(OR(AND($F44&lt;=AF$3, $F45 &gt;= AF$3), AND($F45&lt;AF$3, WORKDAY($F45, 22,Holiday!$A$1:$A$30)&gt;AF$3)), 1, 0)+IF(AND((AF$3-$B$2)&gt;=0,(AF$3-$B$2)&lt;30), 2,0)</f>
        <v>0</v>
      </c>
      <c r="AG45" s="140">
        <f>IF(OR(AND($F44&lt;=AG$3, $F45 &gt;= AG$3), AND($F45&lt;AG$3, WORKDAY($F45, 22,Holiday!$A$1:$A$30)&gt;AG$3)), 1, 0)+IF(AND((AG$3-$B$2)&gt;=0,(AG$3-$B$2)&lt;30), 2,0)</f>
        <v>0</v>
      </c>
      <c r="AH45" s="140">
        <f>IF(OR(AND($F44&lt;=AH$3, $F45 &gt;= AH$3), AND($F45&lt;AH$3, WORKDAY($F45, 22,Holiday!$A$1:$A$30)&gt;AH$3)), 1, 0)+IF(AND((AH$3-$B$2)&gt;=0,(AH$3-$B$2)&lt;30), 2,0)</f>
        <v>1</v>
      </c>
      <c r="AI45" s="140">
        <f>IF(OR(AND($F44&lt;=AI$3, $F45 &gt;= AI$3), AND($F45&lt;AI$3, WORKDAY($F45, 22,Holiday!$A$1:$A$30)&gt;AI$3)), 1, 0)+IF(AND((AI$3-$B$2)&gt;=0,(AI$3-$B$2)&lt;30), 2,0)</f>
        <v>3</v>
      </c>
      <c r="AJ45" s="140">
        <f>IF(OR(AND($F44&lt;=AJ$3, $F45 &gt;= AJ$3), AND($F45&lt;AJ$3, WORKDAY($F45, 22,Holiday!$A$1:$A$30)&gt;AJ$3)), 1, 0)+IF(AND((AJ$3-$B$2)&gt;=0,(AJ$3-$B$2)&lt;30), 2,0)</f>
        <v>0</v>
      </c>
      <c r="AK45" s="140">
        <f>IF(OR(AND($F44&lt;=AK$3, $F45 &gt;= AK$3), AND($F45&lt;AK$3, WORKDAY($F45, 22,Holiday!$A$1:$A$30)&gt;AK$3)), 1, 0)+IF(AND((AK$3-$B$2)&gt;=0,(AK$3-$B$2)&lt;30), 2,0)</f>
        <v>0</v>
      </c>
      <c r="AL45" s="140">
        <f>IF(OR(AND($F44&lt;=AL$3, $F45 &gt;= AL$3), AND($F45&lt;AL$3, WORKDAY($F45, 22,Holiday!$A$1:$A$30)&gt;AL$3)), 1, 0)+IF(AND((AL$3-$B$2)&gt;=0,(AL$3-$B$2)&lt;30), 2,0)</f>
        <v>0</v>
      </c>
      <c r="AM45" s="140">
        <f>IF(OR(AND($F44&lt;=AM$3, $F45 &gt;= AM$3), AND($F45&lt;AM$3, WORKDAY($F45, 22,Holiday!$A$1:$A$30)&gt;AM$3)), 1, 0)+IF(AND((AM$3-$B$2)&gt;=0,(AM$3-$B$2)&lt;30), 2,0)</f>
        <v>0</v>
      </c>
      <c r="AN45" s="140">
        <f>IF(OR(AND($F44&lt;=AN$3, $F45 &gt;= AN$3), AND($F45&lt;AN$3, WORKDAY($F45, 22,Holiday!$A$1:$A$30)&gt;AN$3)), 1, 0)+IF(AND((AN$3-$B$2)&gt;=0,(AN$3-$B$2)&lt;30), 2,0)</f>
        <v>0</v>
      </c>
      <c r="AO45" s="140">
        <f>IF(OR(AND($F44&lt;=AO$3, $F45 &gt;= AO$3), AND($F45&lt;AO$3, WORKDAY($F45, 22,Holiday!$A$1:$A$30)&gt;AO$3)), 1, 0)+IF(AND((AO$3-$B$2)&gt;=0,(AO$3-$B$2)&lt;30), 2,0)</f>
        <v>0</v>
      </c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39" type="noConversion"/>
  <conditionalFormatting sqref="G3:AO3">
    <cfRule type="expression" dxfId="23" priority="1">
      <formula>G$4&gt;1</formula>
    </cfRule>
  </conditionalFormatting>
  <conditionalFormatting sqref="G4:AO45">
    <cfRule type="cellIs" dxfId="22" priority="2" operator="greaterThan">
      <formula>1</formula>
    </cfRule>
    <cfRule type="cellIs" dxfId="21" priority="3" operator="equal">
      <formula>0</formula>
    </cfRule>
    <cfRule type="cellIs" dxfId="20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170C-F169-431B-B7FA-6BE235A2C9EB}">
  <sheetPr>
    <tabColor rgb="FF3D85C6"/>
    <outlinePr summaryBelow="0" summaryRight="0"/>
  </sheetPr>
  <dimension ref="A1:AO45"/>
  <sheetViews>
    <sheetView showGridLines="0" topLeftCell="A18" zoomScale="89" workbookViewId="0">
      <pane xSplit="6" topLeftCell="G1" activePane="topRight" state="frozen"/>
      <selection activeCell="F41" sqref="F41"/>
      <selection pane="topRight" activeCell="F41" sqref="F41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46485</v>
      </c>
      <c r="C2" s="129">
        <v>2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SUM(E4:E45)</f>
        <v>634</v>
      </c>
      <c r="F3" s="126">
        <f>Setting!$C$2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41"/>
      <c r="B4" s="116" t="s">
        <v>79</v>
      </c>
      <c r="C4" s="116" t="s">
        <v>78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2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s="116" t="s">
        <v>80</v>
      </c>
      <c r="C5" s="116" t="s">
        <v>78</v>
      </c>
      <c r="D5" s="118">
        <v>15</v>
      </c>
      <c r="E5" s="134">
        <f>ROUNDUP(D5*(1+$D$2),0)</f>
        <v>23</v>
      </c>
      <c r="F5" s="123">
        <f>WORKDAY(F4,E5,Holiday!A1:A30)</f>
        <v>46084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2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s="116" t="s">
        <v>81</v>
      </c>
      <c r="C6" s="116" t="s">
        <v>78</v>
      </c>
      <c r="D6" s="118">
        <v>3</v>
      </c>
      <c r="E6" s="134">
        <f t="shared" ref="E6:E45" si="0">ROUNDUP(D6*(1+$D$2),0)</f>
        <v>5</v>
      </c>
      <c r="F6" s="123">
        <f>WORKDAY(F5,E6,Holiday!A2:A31)</f>
        <v>46091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2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s="116" t="s">
        <v>82</v>
      </c>
      <c r="C7" s="116" t="s">
        <v>78</v>
      </c>
      <c r="D7" s="118">
        <v>15</v>
      </c>
      <c r="E7" s="134">
        <f t="shared" si="0"/>
        <v>23</v>
      </c>
      <c r="F7" s="123">
        <f>WORKDAY(F6,E7,Holiday!A3:A32)</f>
        <v>46122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1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2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s="116" t="s">
        <v>83</v>
      </c>
      <c r="C8" s="116" t="s">
        <v>78</v>
      </c>
      <c r="D8" s="118">
        <v>3</v>
      </c>
      <c r="E8" s="134">
        <f t="shared" si="0"/>
        <v>5</v>
      </c>
      <c r="F8" s="123">
        <f>WORKDAY(F7,E8,Holiday!A4:A33)</f>
        <v>46129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0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2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s="116" t="s">
        <v>84</v>
      </c>
      <c r="C9" s="116" t="s">
        <v>78</v>
      </c>
      <c r="D9" s="118">
        <v>5</v>
      </c>
      <c r="E9" s="134">
        <f t="shared" si="0"/>
        <v>8</v>
      </c>
      <c r="F9" s="123">
        <f>WORKDAY(F8,E9,Holiday!A5:A34)</f>
        <v>46141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0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2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s="116" t="s">
        <v>85</v>
      </c>
      <c r="C10" s="116" t="s">
        <v>78</v>
      </c>
      <c r="D10" s="118">
        <v>8</v>
      </c>
      <c r="E10" s="134">
        <f t="shared" si="0"/>
        <v>12</v>
      </c>
      <c r="F10" s="123">
        <f>WORKDAY(F9,E10,Holiday!A6:A35)</f>
        <v>46157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1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2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s="116" t="s">
        <v>86</v>
      </c>
      <c r="C11" s="116" t="s">
        <v>78</v>
      </c>
      <c r="D11" s="118">
        <v>13</v>
      </c>
      <c r="E11" s="134">
        <f t="shared" si="0"/>
        <v>20</v>
      </c>
      <c r="F11" s="123">
        <f>WORKDAY(F10,E11,Holiday!A7:A36)</f>
        <v>46185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2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s="116" t="s">
        <v>87</v>
      </c>
      <c r="C12" s="116" t="s">
        <v>78</v>
      </c>
      <c r="D12" s="118">
        <v>13</v>
      </c>
      <c r="E12" s="134">
        <f t="shared" si="0"/>
        <v>20</v>
      </c>
      <c r="F12" s="123">
        <f>WORKDAY(F11,E12,Holiday!A8:A37)</f>
        <v>46213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2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s="116" t="s">
        <v>88</v>
      </c>
      <c r="C13" s="116" t="s">
        <v>78</v>
      </c>
      <c r="D13" s="118">
        <v>15</v>
      </c>
      <c r="E13" s="134">
        <f t="shared" si="0"/>
        <v>23</v>
      </c>
      <c r="F13" s="123">
        <f>WORKDAY(F12,E13,Holiday!A9:A38)</f>
        <v>46246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1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2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s="116" t="s">
        <v>89</v>
      </c>
      <c r="C14" s="116" t="s">
        <v>78</v>
      </c>
      <c r="D14" s="118">
        <v>15</v>
      </c>
      <c r="E14" s="134">
        <f t="shared" si="0"/>
        <v>23</v>
      </c>
      <c r="F14" s="123">
        <f>WORKDAY(F13,E14,Holiday!A10:A39)</f>
        <v>46279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0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1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2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s="116" t="s">
        <v>90</v>
      </c>
      <c r="C15" s="116" t="s">
        <v>78</v>
      </c>
      <c r="D15" s="118">
        <v>13</v>
      </c>
      <c r="E15" s="134">
        <f t="shared" si="0"/>
        <v>20</v>
      </c>
      <c r="F15" s="123">
        <f>WORKDAY(F14,E15,Holiday!A11:A40)</f>
        <v>46307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0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1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2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s="116" t="s">
        <v>91</v>
      </c>
      <c r="C16" s="116" t="s">
        <v>78</v>
      </c>
      <c r="D16" s="118">
        <v>3</v>
      </c>
      <c r="E16" s="134">
        <f t="shared" si="0"/>
        <v>5</v>
      </c>
      <c r="F16" s="123">
        <f>WORKDAY(F15,E16,Holiday!A12:A41)</f>
        <v>46314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1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2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s="116" t="s">
        <v>92</v>
      </c>
      <c r="C17" s="116" t="s">
        <v>78</v>
      </c>
      <c r="D17" s="118">
        <v>13</v>
      </c>
      <c r="E17" s="134">
        <f t="shared" si="0"/>
        <v>20</v>
      </c>
      <c r="F17" s="123">
        <f>WORKDAY(F16,E17,Holiday!A13:A42)</f>
        <v>46342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1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2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s="116" t="s">
        <v>93</v>
      </c>
      <c r="C18" s="116" t="s">
        <v>78</v>
      </c>
      <c r="D18" s="118">
        <v>5</v>
      </c>
      <c r="E18" s="134">
        <f t="shared" si="0"/>
        <v>8</v>
      </c>
      <c r="F18" s="123">
        <f>WORKDAY(F17,E18,Holiday!A14:A43)</f>
        <v>46352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1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2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s="116" t="s">
        <v>94</v>
      </c>
      <c r="C19" s="116" t="s">
        <v>78</v>
      </c>
      <c r="D19" s="118">
        <v>8</v>
      </c>
      <c r="E19" s="134">
        <f t="shared" si="0"/>
        <v>12</v>
      </c>
      <c r="F19" s="123">
        <f>WORKDAY(F18,E19,Holiday!A15:A44)</f>
        <v>46370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1</v>
      </c>
      <c r="R19" s="113">
        <f>IF(OR(AND($F18&lt;=R$3, $F19 &gt;= R$3), AND($F19&lt;R$3, WORKDAY($F19, 22,Holiday!$A$1:$A$30)&gt;R$3)), 1, 0)+IF(AND((R$3-$B$2)&gt;=0,(R$3-$B$2)&lt;30), 2,0)</f>
        <v>1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2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s="116" t="s">
        <v>95</v>
      </c>
      <c r="C20" s="116" t="s">
        <v>78</v>
      </c>
      <c r="D20" s="118">
        <v>8</v>
      </c>
      <c r="E20" s="134">
        <f t="shared" si="0"/>
        <v>12</v>
      </c>
      <c r="F20" s="123">
        <f>WORKDAY(F19,E20,Holiday!A16:A45)</f>
        <v>46386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1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2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s="116" t="s">
        <v>96</v>
      </c>
      <c r="C21" s="116" t="s">
        <v>78</v>
      </c>
      <c r="D21" s="118">
        <v>8</v>
      </c>
      <c r="E21" s="134">
        <f t="shared" si="0"/>
        <v>12</v>
      </c>
      <c r="F21" s="123">
        <f>WORKDAY(F20,E21,Holiday!A17:A46)</f>
        <v>46402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1</v>
      </c>
      <c r="S21" s="113">
        <f>IF(OR(AND($F20&lt;=S$3, $F21 &gt;= S$3), AND($F21&lt;S$3, WORKDAY($F21, 22,Holiday!$A$1:$A$30)&gt;S$3)), 1, 0)+IF(AND((S$3-$B$2)&gt;=0,(S$3-$B$2)&lt;30), 2,0)</f>
        <v>1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2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s="116" t="s">
        <v>97</v>
      </c>
      <c r="C22" s="116" t="s">
        <v>78</v>
      </c>
      <c r="D22" s="118">
        <v>5</v>
      </c>
      <c r="E22" s="134">
        <f t="shared" si="0"/>
        <v>8</v>
      </c>
      <c r="F22" s="123">
        <f>WORKDAY(F21,E22,Holiday!A18:A47)</f>
        <v>46414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1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2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s="116" t="s">
        <v>98</v>
      </c>
      <c r="C23" s="116" t="s">
        <v>78</v>
      </c>
      <c r="D23" s="118">
        <v>8</v>
      </c>
      <c r="E23" s="134">
        <f t="shared" si="0"/>
        <v>12</v>
      </c>
      <c r="F23" s="123">
        <f>WORKDAY(F22,E23,Holiday!A19:A48)</f>
        <v>46430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1</v>
      </c>
      <c r="T23" s="113">
        <f>IF(OR(AND($F22&lt;=T$3, $F23 &gt;= T$3), AND($F23&lt;T$3, WORKDAY($F23, 22,Holiday!$A$1:$A$30)&gt;T$3)), 1, 0)+IF(AND((T$3-$B$2)&gt;=0,(T$3-$B$2)&lt;30), 2,0)</f>
        <v>1</v>
      </c>
      <c r="U23" s="113">
        <f>IF(OR(AND($F22&lt;=U$3, $F23 &gt;= U$3), AND($F23&lt;U$3, WORKDAY($F23, 22,Holiday!$A$1:$A$30)&gt;U$3)), 1, 0)+IF(AND((U$3-$B$2)&gt;=0,(U$3-$B$2)&lt;30), 2,0)</f>
        <v>2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s="116" t="s">
        <v>99</v>
      </c>
      <c r="C24" s="116" t="s">
        <v>78</v>
      </c>
      <c r="D24" s="118">
        <v>8</v>
      </c>
      <c r="E24" s="134">
        <f t="shared" si="0"/>
        <v>12</v>
      </c>
      <c r="F24" s="123">
        <f>WORKDAY(F23,E24,Holiday!A20:A49)</f>
        <v>46448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1</v>
      </c>
      <c r="U24" s="113">
        <f>IF(OR(AND($F23&lt;=U$3, $F24 &gt;= U$3), AND($F24&lt;U$3, WORKDAY($F24, 22,Holiday!$A$1:$A$30)&gt;U$3)), 1, 0)+IF(AND((U$3-$B$2)&gt;=0,(U$3-$B$2)&lt;30), 2,0)</f>
        <v>2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s="116" t="s">
        <v>100</v>
      </c>
      <c r="C25" s="116" t="s">
        <v>78</v>
      </c>
      <c r="D25" s="118">
        <v>3</v>
      </c>
      <c r="E25" s="134">
        <f t="shared" si="0"/>
        <v>5</v>
      </c>
      <c r="F25" s="123">
        <f>WORKDAY(F24,E25,Holiday!A21:A50)</f>
        <v>46455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1</v>
      </c>
      <c r="U25" s="113">
        <f>IF(OR(AND($F24&lt;=U$3, $F25 &gt;= U$3), AND($F25&lt;U$3, WORKDAY($F25, 22,Holiday!$A$1:$A$30)&gt;U$3)), 1, 0)+IF(AND((U$3-$B$2)&gt;=0,(U$3-$B$2)&lt;30), 2,0)</f>
        <v>2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s="116" t="s">
        <v>101</v>
      </c>
      <c r="C26" s="116" t="s">
        <v>78</v>
      </c>
      <c r="D26" s="117">
        <v>10</v>
      </c>
      <c r="E26" s="134">
        <f t="shared" si="0"/>
        <v>15</v>
      </c>
      <c r="F26" s="123">
        <f>WORKDAY(F25,E26,Holiday!A22:A51)</f>
        <v>46476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1</v>
      </c>
      <c r="U26" s="113">
        <f>IF(OR(AND($F25&lt;=U$3, $F26 &gt;= U$3), AND($F26&lt;U$3, WORKDAY($F26, 22,Holiday!$A$1:$A$30)&gt;U$3)), 1, 0)+IF(AND((U$3-$B$2)&gt;=0,(U$3-$B$2)&lt;30), 2,0)</f>
        <v>3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s="116" t="s">
        <v>102</v>
      </c>
      <c r="C27" s="116" t="s">
        <v>112</v>
      </c>
      <c r="D27" s="117">
        <v>10</v>
      </c>
      <c r="E27" s="134">
        <f t="shared" si="0"/>
        <v>15</v>
      </c>
      <c r="F27" s="123">
        <f>WORKDAY(F4,E27,Holiday!A23:A52)</f>
        <v>46072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1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2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s="116" t="s">
        <v>103</v>
      </c>
      <c r="C28" s="116" t="s">
        <v>112</v>
      </c>
      <c r="D28" s="117">
        <v>10</v>
      </c>
      <c r="E28" s="134">
        <f t="shared" si="0"/>
        <v>15</v>
      </c>
      <c r="F28" s="123">
        <f>WORKDAY(F27,E28,Holiday!A24:A53)</f>
        <v>46093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1</v>
      </c>
      <c r="I28" s="113">
        <f>IF(OR(AND($F27&lt;=I$3, $F28 &gt;= I$3), AND($F28&lt;I$3, WORKDAY($F28, 22,Holiday!$A$1:$A$30)&gt;I$3)), 1, 0)+IF(AND((I$3-$B$2)&gt;=0,(I$3-$B$2)&lt;30), 2,0)</f>
        <v>1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2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s="116" t="s">
        <v>104</v>
      </c>
      <c r="C29" s="116" t="s">
        <v>112</v>
      </c>
      <c r="D29" s="117">
        <v>20</v>
      </c>
      <c r="E29" s="134">
        <f t="shared" si="0"/>
        <v>30</v>
      </c>
      <c r="F29" s="123">
        <f>WORKDAY(F28,E29,Holiday!A25:A54)</f>
        <v>46135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1</v>
      </c>
      <c r="J29" s="113">
        <f>IF(OR(AND($F28&lt;=J$3, $F29 &gt;= J$3), AND($F29&lt;J$3, WORKDAY($F29, 22,Holiday!$A$1:$A$30)&gt;J$3)), 1, 0)+IF(AND((J$3-$B$2)&gt;=0,(J$3-$B$2)&lt;30), 2,0)</f>
        <v>1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2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s="116" t="s">
        <v>105</v>
      </c>
      <c r="C30" s="116" t="s">
        <v>112</v>
      </c>
      <c r="D30" s="117">
        <v>20</v>
      </c>
      <c r="E30" s="134">
        <f t="shared" si="0"/>
        <v>30</v>
      </c>
      <c r="F30" s="123">
        <f>WORKDAY(F29,E30,Holiday!A26:A55)</f>
        <v>46177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1</v>
      </c>
      <c r="K30" s="113">
        <f>IF(OR(AND($F29&lt;=K$3, $F30 &gt;= K$3), AND($F30&lt;K$3, WORKDAY($F30, 22,Holiday!$A$1:$A$30)&gt;K$3)), 1, 0)+IF(AND((K$3-$B$2)&gt;=0,(K$3-$B$2)&lt;30), 2,0)</f>
        <v>1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2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s="116" t="s">
        <v>106</v>
      </c>
      <c r="C31" s="116" t="s">
        <v>112</v>
      </c>
      <c r="D31" s="117">
        <v>20</v>
      </c>
      <c r="E31" s="134">
        <f t="shared" si="0"/>
        <v>30</v>
      </c>
      <c r="F31" s="123">
        <f>WORKDAY(F30,E31,Holiday!A27:A56)</f>
        <v>46219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1</v>
      </c>
      <c r="L31" s="113">
        <f>IF(OR(AND($F30&lt;=L$3, $F31 &gt;= L$3), AND($F31&lt;L$3, WORKDAY($F31, 22,Holiday!$A$1:$A$30)&gt;L$3)), 1, 0)+IF(AND((L$3-$B$2)&gt;=0,(L$3-$B$2)&lt;30), 2,0)</f>
        <v>1</v>
      </c>
      <c r="M31" s="113">
        <f>IF(OR(AND($F30&lt;=M$3, $F31 &gt;= M$3), AND($F31&lt;M$3, WORKDAY($F31, 22,Holiday!$A$1:$A$30)&gt;M$3)), 1, 0)+IF(AND((M$3-$B$2)&gt;=0,(M$3-$B$2)&lt;30), 2,0)</f>
        <v>1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2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s="116" t="s">
        <v>107</v>
      </c>
      <c r="C32" s="116" t="s">
        <v>112</v>
      </c>
      <c r="D32" s="117">
        <v>20</v>
      </c>
      <c r="E32" s="134">
        <f t="shared" si="0"/>
        <v>30</v>
      </c>
      <c r="F32" s="123">
        <f>WORKDAY(F31,E32,Holiday!A28:A57)</f>
        <v>46261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1</v>
      </c>
      <c r="N32" s="113">
        <f>IF(OR(AND($F31&lt;=N$3, $F32 &gt;= N$3), AND($F32&lt;N$3, WORKDAY($F32, 22,Holiday!$A$1:$A$30)&gt;N$3)), 1, 0)+IF(AND((N$3-$B$2)&gt;=0,(N$3-$B$2)&lt;30), 2,0)</f>
        <v>1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2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s="116" t="s">
        <v>260</v>
      </c>
      <c r="C33" s="116" t="s">
        <v>112</v>
      </c>
      <c r="D33" s="117">
        <v>3</v>
      </c>
      <c r="E33" s="134">
        <f t="shared" si="0"/>
        <v>5</v>
      </c>
      <c r="F33" s="123">
        <f>WORKDAY(F32,E33,Holiday!A29:A58)</f>
        <v>46268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1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2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.75" customHeight="1" x14ac:dyDescent="0.2">
      <c r="B34" s="116" t="s">
        <v>261</v>
      </c>
      <c r="C34" s="116" t="s">
        <v>112</v>
      </c>
      <c r="D34" s="117">
        <v>5</v>
      </c>
      <c r="E34" s="134">
        <f t="shared" si="0"/>
        <v>8</v>
      </c>
      <c r="F34" s="123">
        <f>WORKDAY(F33,E34,Holiday!A30:A59)</f>
        <v>46280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1</v>
      </c>
      <c r="O34" s="113">
        <f>IF(OR(AND($F33&lt;=O$3, $F34 &gt;= O$3), AND($F34&lt;O$3, WORKDAY($F34, 22,Holiday!$A$1:$A$30)&gt;O$3)), 1, 0)+IF(AND((O$3-$B$2)&gt;=0,(O$3-$B$2)&lt;30), 2,0)</f>
        <v>1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2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">
      <c r="B35" s="120" t="s">
        <v>262</v>
      </c>
      <c r="C35" s="116" t="s">
        <v>112</v>
      </c>
      <c r="D35" s="117">
        <v>8</v>
      </c>
      <c r="E35" s="134">
        <f t="shared" si="0"/>
        <v>12</v>
      </c>
      <c r="F35" s="123">
        <f>WORKDAY(F34,E35,Holiday!A31:A60)</f>
        <v>46296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1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2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">
      <c r="B36" s="120" t="s">
        <v>263</v>
      </c>
      <c r="C36" s="116" t="s">
        <v>112</v>
      </c>
      <c r="D36" s="117">
        <v>8</v>
      </c>
      <c r="E36" s="134">
        <f t="shared" si="0"/>
        <v>12</v>
      </c>
      <c r="F36" s="123">
        <f>WORKDAY(F35,E36,Holiday!A32:A61)</f>
        <v>46314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1</v>
      </c>
      <c r="P36" s="113">
        <f>IF(OR(AND($F35&lt;=P$3, $F36 &gt;= P$3), AND($F36&lt;P$3, WORKDAY($F36, 22,Holiday!$A$1:$A$30)&gt;P$3)), 1, 0)+IF(AND((P$3-$B$2)&gt;=0,(P$3-$B$2)&lt;30), 2,0)</f>
        <v>1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2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">
      <c r="B37" s="116" t="s">
        <v>264</v>
      </c>
      <c r="C37" s="116" t="s">
        <v>112</v>
      </c>
      <c r="D37" s="117">
        <v>10</v>
      </c>
      <c r="E37" s="134">
        <f t="shared" si="0"/>
        <v>15</v>
      </c>
      <c r="F37" s="123">
        <f>WORKDAY(F36,E37,Holiday!A33:A62)</f>
        <v>46335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1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2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">
      <c r="B38" s="120" t="s">
        <v>265</v>
      </c>
      <c r="C38" s="116" t="s">
        <v>112</v>
      </c>
      <c r="D38" s="117">
        <v>8</v>
      </c>
      <c r="E38" s="134">
        <f t="shared" si="0"/>
        <v>12</v>
      </c>
      <c r="F38" s="123">
        <f>WORKDAY(F37,E38,Holiday!A34:A63)</f>
        <v>46351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1</v>
      </c>
      <c r="Q38" s="113">
        <f>IF(OR(AND($F37&lt;=Q$3, $F38 &gt;= Q$3), AND($F38&lt;Q$3, WORKDAY($F38, 22,Holiday!$A$1:$A$30)&gt;Q$3)), 1, 0)+IF(AND((Q$3-$B$2)&gt;=0,(Q$3-$B$2)&lt;30), 2,0)</f>
        <v>1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2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">
      <c r="B39" s="120" t="s">
        <v>266</v>
      </c>
      <c r="C39" s="116" t="s">
        <v>112</v>
      </c>
      <c r="D39" s="117">
        <v>10</v>
      </c>
      <c r="E39" s="134">
        <f t="shared" si="0"/>
        <v>15</v>
      </c>
      <c r="F39" s="123">
        <f>WORKDAY(F38,E39,Holiday!A35:A64)</f>
        <v>46372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1</v>
      </c>
      <c r="R39" s="113">
        <f>IF(OR(AND($F38&lt;=R$3, $F39 &gt;= R$3), AND($F39&lt;R$3, WORKDAY($F39, 22,Holiday!$A$1:$A$30)&gt;R$3)), 1, 0)+IF(AND((R$3-$B$2)&gt;=0,(R$3-$B$2)&lt;30), 2,0)</f>
        <v>1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2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">
      <c r="B40" s="120" t="s">
        <v>267</v>
      </c>
      <c r="C40" s="116" t="s">
        <v>112</v>
      </c>
      <c r="D40" s="117">
        <v>8</v>
      </c>
      <c r="E40" s="134">
        <f t="shared" si="0"/>
        <v>12</v>
      </c>
      <c r="F40" s="123">
        <f>WORKDAY(F39,E40,Holiday!A36:A65)</f>
        <v>46388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1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2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">
      <c r="B41" s="120" t="s">
        <v>268</v>
      </c>
      <c r="C41" s="116" t="s">
        <v>112</v>
      </c>
      <c r="D41" s="117">
        <v>10</v>
      </c>
      <c r="E41" s="134">
        <f t="shared" si="0"/>
        <v>15</v>
      </c>
      <c r="F41" s="123">
        <f>WORKDAY(F40,E41,Holiday!A37:A66)</f>
        <v>46409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1</v>
      </c>
      <c r="S41" s="113">
        <f>IF(OR(AND($F40&lt;=S$3, $F41 &gt;= S$3), AND($F41&lt;S$3, WORKDAY($F41, 22,Holiday!$A$1:$A$30)&gt;S$3)), 1, 0)+IF(AND((S$3-$B$2)&gt;=0,(S$3-$B$2)&lt;30), 2,0)</f>
        <v>1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2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">
      <c r="B42" s="120" t="s">
        <v>269</v>
      </c>
      <c r="C42" s="116" t="s">
        <v>112</v>
      </c>
      <c r="D42" s="117">
        <v>10</v>
      </c>
      <c r="E42" s="134">
        <f t="shared" si="0"/>
        <v>15</v>
      </c>
      <c r="F42" s="123">
        <f>WORKDAY(F41,E42,Holiday!A38:A67)</f>
        <v>46430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1</v>
      </c>
      <c r="T42" s="113">
        <f>IF(OR(AND($F41&lt;=T$3, $F42 &gt;= T$3), AND($F42&lt;T$3, WORKDAY($F42, 22,Holiday!$A$1:$A$30)&gt;T$3)), 1, 0)+IF(AND((T$3-$B$2)&gt;=0,(T$3-$B$2)&lt;30), 2,0)</f>
        <v>1</v>
      </c>
      <c r="U42" s="113">
        <f>IF(OR(AND($F41&lt;=U$3, $F42 &gt;= U$3), AND($F42&lt;U$3, WORKDAY($F42, 22,Holiday!$A$1:$A$30)&gt;U$3)), 1, 0)+IF(AND((U$3-$B$2)&gt;=0,(U$3-$B$2)&lt;30), 2,0)</f>
        <v>2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">
      <c r="B43" s="120" t="s">
        <v>270</v>
      </c>
      <c r="C43" s="116" t="s">
        <v>112</v>
      </c>
      <c r="D43" s="117">
        <v>8</v>
      </c>
      <c r="E43" s="134">
        <f t="shared" si="0"/>
        <v>12</v>
      </c>
      <c r="F43" s="123">
        <f>WORKDAY(F42,E43,Holiday!A39:A68)</f>
        <v>46448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1</v>
      </c>
      <c r="U43" s="113">
        <f>IF(OR(AND($F42&lt;=U$3, $F43 &gt;= U$3), AND($F43&lt;U$3, WORKDAY($F43, 22,Holiday!$A$1:$A$30)&gt;U$3)), 1, 0)+IF(AND((U$3-$B$2)&gt;=0,(U$3-$B$2)&lt;30), 2,0)</f>
        <v>2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">
      <c r="B44" s="120" t="s">
        <v>271</v>
      </c>
      <c r="C44" s="116" t="s">
        <v>112</v>
      </c>
      <c r="D44" s="117">
        <v>5</v>
      </c>
      <c r="E44" s="134">
        <f t="shared" si="0"/>
        <v>8</v>
      </c>
      <c r="F44" s="123">
        <f>WORKDAY(F43,E44,Holiday!A40:A69)</f>
        <v>46458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1</v>
      </c>
      <c r="U44" s="113">
        <f>IF(OR(AND($F43&lt;=U$3, $F44 &gt;= U$3), AND($F44&lt;U$3, WORKDAY($F44, 22,Holiday!$A$1:$A$30)&gt;U$3)), 1, 0)+IF(AND((U$3-$B$2)&gt;=0,(U$3-$B$2)&lt;30), 2,0)</f>
        <v>2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">
      <c r="B45" s="120" t="s">
        <v>272</v>
      </c>
      <c r="C45" s="116" t="s">
        <v>112</v>
      </c>
      <c r="D45" s="117">
        <v>13</v>
      </c>
      <c r="E45" s="134">
        <f t="shared" si="0"/>
        <v>20</v>
      </c>
      <c r="F45" s="123">
        <f>WORKDAY(F44,E45,Holiday!A41:A70)</f>
        <v>46486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1</v>
      </c>
      <c r="U45" s="113">
        <f>IF(OR(AND($F44&lt;=U$3, $F45 &gt;= U$3), AND($F45&lt;U$3, WORKDAY($F45, 22,Holiday!$A$1:$A$30)&gt;U$3)), 1, 0)+IF(AND((U$3-$B$2)&gt;=0,(U$3-$B$2)&lt;30), 2,0)</f>
        <v>3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39" type="noConversion"/>
  <conditionalFormatting sqref="G3:AO3">
    <cfRule type="expression" dxfId="19" priority="1">
      <formula>G$4&gt;1</formula>
    </cfRule>
  </conditionalFormatting>
  <conditionalFormatting sqref="G4:AO45">
    <cfRule type="cellIs" dxfId="18" priority="2" operator="greaterThan">
      <formula>1</formula>
    </cfRule>
    <cfRule type="cellIs" dxfId="17" priority="3" operator="equal">
      <formula>0</formula>
    </cfRule>
    <cfRule type="cellIs" dxfId="16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B016-65AC-4C29-9CB8-1D5336840105}">
  <sheetPr>
    <tabColor rgb="FF3D85C6"/>
    <outlinePr summaryBelow="0" summaryRight="0"/>
  </sheetPr>
  <dimension ref="A1:AO45"/>
  <sheetViews>
    <sheetView showGridLines="0" topLeftCell="A18" zoomScale="89" workbookViewId="0">
      <pane xSplit="6" topLeftCell="G1" activePane="topRight" state="frozen"/>
      <selection activeCell="F41" sqref="F41"/>
      <selection pane="topRight" activeCell="F41" sqref="F41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46343</v>
      </c>
      <c r="C2" s="129">
        <v>3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SUM(E4:E45)</f>
        <v>634</v>
      </c>
      <c r="F3" s="126">
        <f>Setting!$C$2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41"/>
      <c r="B4" s="116" t="s">
        <v>79</v>
      </c>
      <c r="C4" s="116" t="s">
        <v>78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2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s="116" t="s">
        <v>80</v>
      </c>
      <c r="C5" s="116" t="s">
        <v>78</v>
      </c>
      <c r="D5" s="118">
        <v>15</v>
      </c>
      <c r="E5" s="134">
        <f>ROUNDUP(D5*(1+$D$2),0)</f>
        <v>23</v>
      </c>
      <c r="F5" s="123">
        <f>WORKDAY(F4,E5,Holiday!A1:A30)</f>
        <v>46084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2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s="116" t="s">
        <v>81</v>
      </c>
      <c r="C6" s="116" t="s">
        <v>78</v>
      </c>
      <c r="D6" s="118">
        <v>3</v>
      </c>
      <c r="E6" s="134">
        <f t="shared" ref="E6:E45" si="0">ROUNDUP(D6*(1+$D$2),0)</f>
        <v>5</v>
      </c>
      <c r="F6" s="123">
        <f>WORKDAY(F5,E6,Holiday!A2:A31)</f>
        <v>46091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2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s="116" t="s">
        <v>82</v>
      </c>
      <c r="C7" s="116" t="s">
        <v>78</v>
      </c>
      <c r="D7" s="118">
        <v>15</v>
      </c>
      <c r="E7" s="134">
        <f t="shared" si="0"/>
        <v>23</v>
      </c>
      <c r="F7" s="123">
        <f>WORKDAY(F6,E7,Holiday!A3:A32)</f>
        <v>46122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1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2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s="116" t="s">
        <v>83</v>
      </c>
      <c r="C8" s="116" t="s">
        <v>78</v>
      </c>
      <c r="D8" s="118">
        <v>3</v>
      </c>
      <c r="E8" s="134">
        <f t="shared" si="0"/>
        <v>5</v>
      </c>
      <c r="F8" s="123">
        <f>WORKDAY(F7,E8,Holiday!A4:A33)</f>
        <v>46129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0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2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s="116" t="s">
        <v>84</v>
      </c>
      <c r="C9" s="116" t="s">
        <v>78</v>
      </c>
      <c r="D9" s="118">
        <v>5</v>
      </c>
      <c r="E9" s="134">
        <f t="shared" si="0"/>
        <v>8</v>
      </c>
      <c r="F9" s="123">
        <f>WORKDAY(F8,E9,Holiday!A5:A34)</f>
        <v>46141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0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2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s="116" t="s">
        <v>85</v>
      </c>
      <c r="C10" s="116" t="s">
        <v>78</v>
      </c>
      <c r="D10" s="118">
        <v>8</v>
      </c>
      <c r="E10" s="134">
        <f t="shared" si="0"/>
        <v>12</v>
      </c>
      <c r="F10" s="123">
        <f>WORKDAY(F9,E10,Holiday!A6:A35)</f>
        <v>46157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1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2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s="116" t="s">
        <v>86</v>
      </c>
      <c r="C11" s="116" t="s">
        <v>78</v>
      </c>
      <c r="D11" s="118">
        <v>13</v>
      </c>
      <c r="E11" s="134">
        <f t="shared" si="0"/>
        <v>20</v>
      </c>
      <c r="F11" s="123">
        <f>WORKDAY(F10,E11,Holiday!A7:A36)</f>
        <v>46185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2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s="116" t="s">
        <v>87</v>
      </c>
      <c r="C12" s="116" t="s">
        <v>78</v>
      </c>
      <c r="D12" s="118">
        <v>13</v>
      </c>
      <c r="E12" s="134">
        <f t="shared" si="0"/>
        <v>20</v>
      </c>
      <c r="F12" s="123">
        <f>WORKDAY(F11,E12,Holiday!A8:A37)</f>
        <v>46213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2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s="116" t="s">
        <v>88</v>
      </c>
      <c r="C13" s="116" t="s">
        <v>78</v>
      </c>
      <c r="D13" s="118">
        <v>15</v>
      </c>
      <c r="E13" s="134">
        <f t="shared" si="0"/>
        <v>23</v>
      </c>
      <c r="F13" s="123">
        <f>WORKDAY(F12,E13,Holiday!A9:A38)</f>
        <v>46246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1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2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s="116" t="s">
        <v>89</v>
      </c>
      <c r="C14" s="116" t="s">
        <v>78</v>
      </c>
      <c r="D14" s="118">
        <v>15</v>
      </c>
      <c r="E14" s="134">
        <f t="shared" si="0"/>
        <v>23</v>
      </c>
      <c r="F14" s="123">
        <f>WORKDAY(F13,E14,Holiday!A10:A39)</f>
        <v>46279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0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1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2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s="116" t="s">
        <v>90</v>
      </c>
      <c r="C15" s="116" t="s">
        <v>78</v>
      </c>
      <c r="D15" s="118">
        <v>13</v>
      </c>
      <c r="E15" s="134">
        <f t="shared" si="0"/>
        <v>20</v>
      </c>
      <c r="F15" s="123">
        <f>WORKDAY(F14,E15,Holiday!A11:A40)</f>
        <v>46307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0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1</v>
      </c>
      <c r="Q15" s="113">
        <f>IF(OR(AND($F14&lt;=Q$3, $F15 &gt;= Q$3), AND($F15&lt;Q$3, WORKDAY($F15, 22,Holiday!$A$1:$A$30)&gt;Q$3)), 1, 0)+IF(AND((Q$3-$B$2)&gt;=0,(Q$3-$B$2)&lt;30), 2,0)</f>
        <v>2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s="116" t="s">
        <v>91</v>
      </c>
      <c r="C16" s="116" t="s">
        <v>78</v>
      </c>
      <c r="D16" s="118">
        <v>3</v>
      </c>
      <c r="E16" s="134">
        <f t="shared" si="0"/>
        <v>5</v>
      </c>
      <c r="F16" s="123">
        <f>WORKDAY(F15,E16,Holiday!A12:A41)</f>
        <v>46314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1</v>
      </c>
      <c r="Q16" s="113">
        <f>IF(OR(AND($F15&lt;=Q$3, $F16 &gt;= Q$3), AND($F16&lt;Q$3, WORKDAY($F16, 22,Holiday!$A$1:$A$30)&gt;Q$3)), 1, 0)+IF(AND((Q$3-$B$2)&gt;=0,(Q$3-$B$2)&lt;30), 2,0)</f>
        <v>2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s="116" t="s">
        <v>92</v>
      </c>
      <c r="C17" s="116" t="s">
        <v>78</v>
      </c>
      <c r="D17" s="118">
        <v>13</v>
      </c>
      <c r="E17" s="134">
        <f t="shared" si="0"/>
        <v>20</v>
      </c>
      <c r="F17" s="123">
        <f>WORKDAY(F16,E17,Holiday!A13:A42)</f>
        <v>46342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1</v>
      </c>
      <c r="Q17" s="113">
        <f>IF(OR(AND($F16&lt;=Q$3, $F17 &gt;= Q$3), AND($F17&lt;Q$3, WORKDAY($F17, 22,Holiday!$A$1:$A$30)&gt;Q$3)), 1, 0)+IF(AND((Q$3-$B$2)&gt;=0,(Q$3-$B$2)&lt;30), 2,0)</f>
        <v>3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s="116" t="s">
        <v>93</v>
      </c>
      <c r="C18" s="116" t="s">
        <v>78</v>
      </c>
      <c r="D18" s="118">
        <v>5</v>
      </c>
      <c r="E18" s="134">
        <f t="shared" si="0"/>
        <v>8</v>
      </c>
      <c r="F18" s="123">
        <f>WORKDAY(F17,E18,Holiday!A14:A43)</f>
        <v>46352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3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s="116" t="s">
        <v>94</v>
      </c>
      <c r="C19" s="116" t="s">
        <v>112</v>
      </c>
      <c r="D19" s="118">
        <v>8</v>
      </c>
      <c r="E19" s="134">
        <f t="shared" si="0"/>
        <v>12</v>
      </c>
      <c r="F19" s="123">
        <f>WORKDAY(F4,E19,Holiday!A15:A44)</f>
        <v>46069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1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2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s="116" t="s">
        <v>95</v>
      </c>
      <c r="C20" s="116" t="s">
        <v>112</v>
      </c>
      <c r="D20" s="118">
        <v>8</v>
      </c>
      <c r="E20" s="134">
        <f t="shared" si="0"/>
        <v>12</v>
      </c>
      <c r="F20" s="123">
        <f>WORKDAY(F19,E20,Holiday!A16:A45)</f>
        <v>46085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1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2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s="116" t="s">
        <v>96</v>
      </c>
      <c r="C21" s="116" t="s">
        <v>112</v>
      </c>
      <c r="D21" s="118">
        <v>8</v>
      </c>
      <c r="E21" s="134">
        <f t="shared" si="0"/>
        <v>12</v>
      </c>
      <c r="F21" s="123">
        <f>WORKDAY(F20,E21,Holiday!A17:A46)</f>
        <v>46101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1</v>
      </c>
      <c r="I21" s="113">
        <f>IF(OR(AND($F20&lt;=I$3, $F21 &gt;= I$3), AND($F21&lt;I$3, WORKDAY($F21, 22,Holiday!$A$1:$A$30)&gt;I$3)), 1, 0)+IF(AND((I$3-$B$2)&gt;=0,(I$3-$B$2)&lt;30), 2,0)</f>
        <v>1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0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2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s="116" t="s">
        <v>97</v>
      </c>
      <c r="C22" s="116" t="s">
        <v>112</v>
      </c>
      <c r="D22" s="118">
        <v>5</v>
      </c>
      <c r="E22" s="134">
        <f t="shared" si="0"/>
        <v>8</v>
      </c>
      <c r="F22" s="123">
        <f>WORKDAY(F21,E22,Holiday!A18:A47)</f>
        <v>46113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1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0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2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s="116" t="s">
        <v>98</v>
      </c>
      <c r="C23" s="116" t="s">
        <v>112</v>
      </c>
      <c r="D23" s="118">
        <v>8</v>
      </c>
      <c r="E23" s="134">
        <f t="shared" si="0"/>
        <v>12</v>
      </c>
      <c r="F23" s="123">
        <f>WORKDAY(F22,E23,Holiday!A19:A48)</f>
        <v>46129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1</v>
      </c>
      <c r="J23" s="113">
        <f>IF(OR(AND($F22&lt;=J$3, $F23 &gt;= J$3), AND($F23&lt;J$3, WORKDAY($F23, 22,Holiday!$A$1:$A$30)&gt;J$3)), 1, 0)+IF(AND((J$3-$B$2)&gt;=0,(J$3-$B$2)&lt;30), 2,0)</f>
        <v>1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2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s="116" t="s">
        <v>99</v>
      </c>
      <c r="C24" s="116" t="s">
        <v>112</v>
      </c>
      <c r="D24" s="118">
        <v>8</v>
      </c>
      <c r="E24" s="134">
        <f t="shared" si="0"/>
        <v>12</v>
      </c>
      <c r="F24" s="123">
        <f>WORKDAY(F23,E24,Holiday!A20:A49)</f>
        <v>46147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1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2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s="116" t="s">
        <v>100</v>
      </c>
      <c r="C25" s="116" t="s">
        <v>112</v>
      </c>
      <c r="D25" s="118">
        <v>3</v>
      </c>
      <c r="E25" s="134">
        <f t="shared" si="0"/>
        <v>5</v>
      </c>
      <c r="F25" s="123">
        <f>WORKDAY(F24,E25,Holiday!A21:A50)</f>
        <v>46154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1</v>
      </c>
      <c r="K25" s="113">
        <f>IF(OR(AND($F24&lt;=K$3, $F25 &gt;= K$3), AND($F25&lt;K$3, WORKDAY($F25, 22,Holiday!$A$1:$A$30)&gt;K$3)), 1, 0)+IF(AND((K$3-$B$2)&gt;=0,(K$3-$B$2)&lt;30), 2,0)</f>
        <v>1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2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s="116" t="s">
        <v>101</v>
      </c>
      <c r="C26" s="116" t="s">
        <v>112</v>
      </c>
      <c r="D26" s="117">
        <v>10</v>
      </c>
      <c r="E26" s="134">
        <f t="shared" si="0"/>
        <v>15</v>
      </c>
      <c r="F26" s="123">
        <f>WORKDAY(F25,E26,Holiday!A22:A51)</f>
        <v>46175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1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2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s="116" t="s">
        <v>102</v>
      </c>
      <c r="C27" s="116" t="s">
        <v>112</v>
      </c>
      <c r="D27" s="117">
        <v>10</v>
      </c>
      <c r="E27" s="134">
        <f t="shared" si="0"/>
        <v>15</v>
      </c>
      <c r="F27" s="123">
        <f>WORKDAY(F26,E27,Holiday!A23:A52)</f>
        <v>46196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1</v>
      </c>
      <c r="L27" s="113">
        <f>IF(OR(AND($F26&lt;=L$3, $F27 &gt;= L$3), AND($F27&lt;L$3, WORKDAY($F27, 22,Holiday!$A$1:$A$30)&gt;L$3)), 1, 0)+IF(AND((L$3-$B$2)&gt;=0,(L$3-$B$2)&lt;30), 2,0)</f>
        <v>1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2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s="116" t="s">
        <v>103</v>
      </c>
      <c r="C28" s="116" t="s">
        <v>112</v>
      </c>
      <c r="D28" s="117">
        <v>10</v>
      </c>
      <c r="E28" s="134">
        <f t="shared" si="0"/>
        <v>15</v>
      </c>
      <c r="F28" s="123">
        <f>WORKDAY(F27,E28,Holiday!A24:A53)</f>
        <v>46217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1</v>
      </c>
      <c r="M28" s="113">
        <f>IF(OR(AND($F27&lt;=M$3, $F28 &gt;= M$3), AND($F28&lt;M$3, WORKDAY($F28, 22,Holiday!$A$1:$A$30)&gt;M$3)), 1, 0)+IF(AND((M$3-$B$2)&gt;=0,(M$3-$B$2)&lt;30), 2,0)</f>
        <v>1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2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s="116" t="s">
        <v>104</v>
      </c>
      <c r="C29" s="116" t="s">
        <v>112</v>
      </c>
      <c r="D29" s="117">
        <v>20</v>
      </c>
      <c r="E29" s="134">
        <f t="shared" si="0"/>
        <v>30</v>
      </c>
      <c r="F29" s="123">
        <f>WORKDAY(F28,E29,Holiday!A25:A54)</f>
        <v>46259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1</v>
      </c>
      <c r="N29" s="113">
        <f>IF(OR(AND($F28&lt;=N$3, $F29 &gt;= N$3), AND($F29&lt;N$3, WORKDAY($F29, 22,Holiday!$A$1:$A$30)&gt;N$3)), 1, 0)+IF(AND((N$3-$B$2)&gt;=0,(N$3-$B$2)&lt;30), 2,0)</f>
        <v>1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2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s="116" t="s">
        <v>105</v>
      </c>
      <c r="C30" s="116" t="s">
        <v>112</v>
      </c>
      <c r="D30" s="117">
        <v>20</v>
      </c>
      <c r="E30" s="134">
        <f t="shared" si="0"/>
        <v>30</v>
      </c>
      <c r="F30" s="123">
        <f>WORKDAY(F29,E30,Holiday!A26:A55)</f>
        <v>46301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0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1</v>
      </c>
      <c r="O30" s="113">
        <f>IF(OR(AND($F29&lt;=O$3, $F30 &gt;= O$3), AND($F30&lt;O$3, WORKDAY($F30, 22,Holiday!$A$1:$A$30)&gt;O$3)), 1, 0)+IF(AND((O$3-$B$2)&gt;=0,(O$3-$B$2)&lt;30), 2,0)</f>
        <v>1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2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s="116" t="s">
        <v>106</v>
      </c>
      <c r="C31" s="116" t="s">
        <v>112</v>
      </c>
      <c r="D31" s="117">
        <v>20</v>
      </c>
      <c r="E31" s="134">
        <f t="shared" si="0"/>
        <v>30</v>
      </c>
      <c r="F31" s="123">
        <f>WORKDAY(F30,E31,Holiday!A27:A56)</f>
        <v>46343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1</v>
      </c>
      <c r="P31" s="113">
        <f>IF(OR(AND($F30&lt;=P$3, $F31 &gt;= P$3), AND($F31&lt;P$3, WORKDAY($F31, 22,Holiday!$A$1:$A$30)&gt;P$3)), 1, 0)+IF(AND((P$3-$B$2)&gt;=0,(P$3-$B$2)&lt;30), 2,0)</f>
        <v>1</v>
      </c>
      <c r="Q31" s="113">
        <f>IF(OR(AND($F30&lt;=Q$3, $F31 &gt;= Q$3), AND($F31&lt;Q$3, WORKDAY($F31, 22,Holiday!$A$1:$A$30)&gt;Q$3)), 1, 0)+IF(AND((Q$3-$B$2)&gt;=0,(Q$3-$B$2)&lt;30), 2,0)</f>
        <v>3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s="116" t="s">
        <v>107</v>
      </c>
      <c r="C32" s="116" t="s">
        <v>113</v>
      </c>
      <c r="D32" s="117">
        <v>20</v>
      </c>
      <c r="E32" s="134">
        <f t="shared" si="0"/>
        <v>30</v>
      </c>
      <c r="F32" s="123">
        <f>WORKDAY(F4,E32,Holiday!A28:A57)</f>
        <v>46093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1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2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s="116" t="s">
        <v>260</v>
      </c>
      <c r="C33" s="116" t="s">
        <v>113</v>
      </c>
      <c r="D33" s="117">
        <v>3</v>
      </c>
      <c r="E33" s="134">
        <f t="shared" si="0"/>
        <v>5</v>
      </c>
      <c r="F33" s="123">
        <f>WORKDAY(F32,E33,Holiday!A29:A58)</f>
        <v>46100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1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2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.75" customHeight="1" x14ac:dyDescent="0.2">
      <c r="B34" s="116" t="s">
        <v>261</v>
      </c>
      <c r="C34" s="116" t="s">
        <v>113</v>
      </c>
      <c r="D34" s="117">
        <v>5</v>
      </c>
      <c r="E34" s="134">
        <f t="shared" si="0"/>
        <v>8</v>
      </c>
      <c r="F34" s="123">
        <f>WORKDAY(F33,E34,Holiday!A30:A59)</f>
        <v>46112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1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2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">
      <c r="B35" s="120" t="s">
        <v>262</v>
      </c>
      <c r="C35" s="116" t="s">
        <v>113</v>
      </c>
      <c r="D35" s="117">
        <v>8</v>
      </c>
      <c r="E35" s="134">
        <f t="shared" si="0"/>
        <v>12</v>
      </c>
      <c r="F35" s="123">
        <f>WORKDAY(F34,E35,Holiday!A31:A60)</f>
        <v>46128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1</v>
      </c>
      <c r="J35" s="113">
        <f>IF(OR(AND($F34&lt;=J$3, $F35 &gt;= J$3), AND($F35&lt;J$3, WORKDAY($F35, 22,Holiday!$A$1:$A$30)&gt;J$3)), 1, 0)+IF(AND((J$3-$B$2)&gt;=0,(J$3-$B$2)&lt;30), 2,0)</f>
        <v>1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2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">
      <c r="B36" s="120" t="s">
        <v>263</v>
      </c>
      <c r="C36" s="116" t="s">
        <v>113</v>
      </c>
      <c r="D36" s="117">
        <v>8</v>
      </c>
      <c r="E36" s="134">
        <f t="shared" si="0"/>
        <v>12</v>
      </c>
      <c r="F36" s="123">
        <f>WORKDAY(F35,E36,Holiday!A32:A61)</f>
        <v>46146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1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2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">
      <c r="B37" s="116" t="s">
        <v>264</v>
      </c>
      <c r="C37" s="116" t="s">
        <v>113</v>
      </c>
      <c r="D37" s="117">
        <v>10</v>
      </c>
      <c r="E37" s="134">
        <f t="shared" si="0"/>
        <v>15</v>
      </c>
      <c r="F37" s="123">
        <f>WORKDAY(F36,E37,Holiday!A33:A62)</f>
        <v>46167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1</v>
      </c>
      <c r="K37" s="113">
        <f>IF(OR(AND($F36&lt;=K$3, $F37 &gt;= K$3), AND($F37&lt;K$3, WORKDAY($F37, 22,Holiday!$A$1:$A$30)&gt;K$3)), 1, 0)+IF(AND((K$3-$B$2)&gt;=0,(K$3-$B$2)&lt;30), 2,0)</f>
        <v>1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2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">
      <c r="B38" s="120" t="s">
        <v>265</v>
      </c>
      <c r="C38" s="116" t="s">
        <v>113</v>
      </c>
      <c r="D38" s="117">
        <v>8</v>
      </c>
      <c r="E38" s="134">
        <f t="shared" si="0"/>
        <v>12</v>
      </c>
      <c r="F38" s="123">
        <f>WORKDAY(F37,E38,Holiday!A34:A63)</f>
        <v>46183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1</v>
      </c>
      <c r="L38" s="113">
        <f>IF(OR(AND($F37&lt;=L$3, $F38 &gt;= L$3), AND($F38&lt;L$3, WORKDAY($F38, 22,Holiday!$A$1:$A$30)&gt;L$3)), 1, 0)+IF(AND((L$3-$B$2)&gt;=0,(L$3-$B$2)&lt;30), 2,0)</f>
        <v>1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2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">
      <c r="B39" s="120" t="s">
        <v>266</v>
      </c>
      <c r="C39" s="116" t="s">
        <v>113</v>
      </c>
      <c r="D39" s="117">
        <v>10</v>
      </c>
      <c r="E39" s="134">
        <f t="shared" si="0"/>
        <v>15</v>
      </c>
      <c r="F39" s="123">
        <f>WORKDAY(F38,E39,Holiday!A35:A64)</f>
        <v>46204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1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2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">
      <c r="B40" s="120" t="s">
        <v>267</v>
      </c>
      <c r="C40" s="116" t="s">
        <v>113</v>
      </c>
      <c r="D40" s="117">
        <v>8</v>
      </c>
      <c r="E40" s="134">
        <f t="shared" si="0"/>
        <v>12</v>
      </c>
      <c r="F40" s="123">
        <f>WORKDAY(F39,E40,Holiday!A36:A65)</f>
        <v>46220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1</v>
      </c>
      <c r="M40" s="113">
        <f>IF(OR(AND($F39&lt;=M$3, $F40 &gt;= M$3), AND($F40&lt;M$3, WORKDAY($F40, 22,Holiday!$A$1:$A$30)&gt;M$3)), 1, 0)+IF(AND((M$3-$B$2)&gt;=0,(M$3-$B$2)&lt;30), 2,0)</f>
        <v>1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2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">
      <c r="B41" s="120" t="s">
        <v>268</v>
      </c>
      <c r="C41" s="116" t="s">
        <v>113</v>
      </c>
      <c r="D41" s="117">
        <v>10</v>
      </c>
      <c r="E41" s="134">
        <f t="shared" si="0"/>
        <v>15</v>
      </c>
      <c r="F41" s="123">
        <f>WORKDAY(F40,E41,Holiday!A37:A66)</f>
        <v>46241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1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2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">
      <c r="B42" s="120" t="s">
        <v>269</v>
      </c>
      <c r="C42" s="116" t="s">
        <v>113</v>
      </c>
      <c r="D42" s="117">
        <v>10</v>
      </c>
      <c r="E42" s="134">
        <f t="shared" si="0"/>
        <v>15</v>
      </c>
      <c r="F42" s="123">
        <f>WORKDAY(F41,E42,Holiday!A38:A67)</f>
        <v>46262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1</v>
      </c>
      <c r="N42" s="113">
        <f>IF(OR(AND($F41&lt;=N$3, $F42 &gt;= N$3), AND($F42&lt;N$3, WORKDAY($F42, 22,Holiday!$A$1:$A$30)&gt;N$3)), 1, 0)+IF(AND((N$3-$B$2)&gt;=0,(N$3-$B$2)&lt;30), 2,0)</f>
        <v>1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2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">
      <c r="B43" s="120" t="s">
        <v>270</v>
      </c>
      <c r="C43" s="116" t="s">
        <v>113</v>
      </c>
      <c r="D43" s="117">
        <v>8</v>
      </c>
      <c r="E43" s="134">
        <f t="shared" si="0"/>
        <v>12</v>
      </c>
      <c r="F43" s="123">
        <f>WORKDAY(F42,E43,Holiday!A39:A68)</f>
        <v>46280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1</v>
      </c>
      <c r="O43" s="113">
        <f>IF(OR(AND($F42&lt;=O$3, $F43 &gt;= O$3), AND($F43&lt;O$3, WORKDAY($F43, 22,Holiday!$A$1:$A$30)&gt;O$3)), 1, 0)+IF(AND((O$3-$B$2)&gt;=0,(O$3-$B$2)&lt;30), 2,0)</f>
        <v>1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2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">
      <c r="B44" s="120" t="s">
        <v>271</v>
      </c>
      <c r="C44" s="116" t="s">
        <v>113</v>
      </c>
      <c r="D44" s="117">
        <v>5</v>
      </c>
      <c r="E44" s="134">
        <f t="shared" si="0"/>
        <v>8</v>
      </c>
      <c r="F44" s="123">
        <f>WORKDAY(F43,E44,Holiday!A40:A69)</f>
        <v>46290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1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2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">
      <c r="B45" s="120" t="s">
        <v>272</v>
      </c>
      <c r="C45" s="116" t="s">
        <v>113</v>
      </c>
      <c r="D45" s="117">
        <v>13</v>
      </c>
      <c r="E45" s="134">
        <f t="shared" si="0"/>
        <v>20</v>
      </c>
      <c r="F45" s="123">
        <f>WORKDAY(F44,E45,Holiday!A41:A70)</f>
        <v>46318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1</v>
      </c>
      <c r="P45" s="113">
        <f>IF(OR(AND($F44&lt;=P$3, $F45 &gt;= P$3), AND($F45&lt;P$3, WORKDAY($F45, 22,Holiday!$A$1:$A$30)&gt;P$3)), 1, 0)+IF(AND((P$3-$B$2)&gt;=0,(P$3-$B$2)&lt;30), 2,0)</f>
        <v>1</v>
      </c>
      <c r="Q45" s="113">
        <f>IF(OR(AND($F44&lt;=Q$3, $F45 &gt;= Q$3), AND($F45&lt;Q$3, WORKDAY($F45, 22,Holiday!$A$1:$A$30)&gt;Q$3)), 1, 0)+IF(AND((Q$3-$B$2)&gt;=0,(Q$3-$B$2)&lt;30), 2,0)</f>
        <v>2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39" type="noConversion"/>
  <conditionalFormatting sqref="G3:AO3">
    <cfRule type="expression" dxfId="15" priority="1">
      <formula>G$4&gt;1</formula>
    </cfRule>
  </conditionalFormatting>
  <conditionalFormatting sqref="G4:AO45">
    <cfRule type="cellIs" dxfId="14" priority="2" operator="greaterThan">
      <formula>1</formula>
    </cfRule>
    <cfRule type="cellIs" dxfId="13" priority="3" operator="equal">
      <formula>0</formula>
    </cfRule>
    <cfRule type="cellIs" dxfId="12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06C1-A746-4E69-A3C1-DC29E4A4FA96}">
  <sheetPr>
    <tabColor rgb="FF3D85C6"/>
    <outlinePr summaryBelow="0" summaryRight="0"/>
  </sheetPr>
  <dimension ref="A1:AO45"/>
  <sheetViews>
    <sheetView showGridLines="0" zoomScale="89" workbookViewId="0">
      <pane xSplit="6" topLeftCell="G1" activePane="topRight" state="frozen"/>
      <selection activeCell="F41" sqref="F41"/>
      <selection pane="topRight" activeCell="N1" sqref="N1:N1048576"/>
    </sheetView>
  </sheetViews>
  <sheetFormatPr defaultColWidth="12.85546875" defaultRowHeight="15.75" customHeight="1" x14ac:dyDescent="0.2"/>
  <cols>
    <col min="1" max="1" width="2.140625" bestFit="1" customWidth="1"/>
    <col min="2" max="2" width="58.7109375" bestFit="1" customWidth="1"/>
    <col min="3" max="3" width="6.42578125" bestFit="1" customWidth="1"/>
    <col min="4" max="4" width="7.5703125" bestFit="1" customWidth="1"/>
    <col min="5" max="5" width="7.140625" style="111" bestFit="1" customWidth="1"/>
    <col min="6" max="6" width="10.85546875" style="111" bestFit="1" customWidth="1"/>
    <col min="7" max="24" width="3.28515625" bestFit="1" customWidth="1"/>
    <col min="25" max="27" width="3.7109375" bestFit="1" customWidth="1"/>
    <col min="28" max="28" width="3.28515625" customWidth="1"/>
    <col min="29" max="29" width="3.7109375" bestFit="1" customWidth="1"/>
    <col min="30" max="35" width="3.28515625" bestFit="1" customWidth="1"/>
    <col min="36" max="36" width="3.28515625" customWidth="1"/>
    <col min="37" max="41" width="3.28515625" bestFit="1" customWidth="1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46272</v>
      </c>
      <c r="C2" s="129">
        <v>4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SUM(E4:E45)</f>
        <v>634</v>
      </c>
      <c r="F3" s="126">
        <f>Setting!$C$2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41"/>
      <c r="B4" s="116" t="s">
        <v>79</v>
      </c>
      <c r="C4" s="116" t="s">
        <v>78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0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2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s="116" t="s">
        <v>80</v>
      </c>
      <c r="C5" s="116" t="s">
        <v>78</v>
      </c>
      <c r="D5" s="118">
        <v>15</v>
      </c>
      <c r="E5" s="134">
        <f>ROUNDUP(D5*(1+$D$2),0)</f>
        <v>23</v>
      </c>
      <c r="F5" s="123">
        <f>WORKDAY(F4,E5,Holiday!A1:A30)</f>
        <v>46084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0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2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s="116" t="s">
        <v>81</v>
      </c>
      <c r="C6" s="116" t="s">
        <v>78</v>
      </c>
      <c r="D6" s="118">
        <v>3</v>
      </c>
      <c r="E6" s="134">
        <f t="shared" ref="E6:E45" si="0">ROUNDUP(D6*(1+$D$2),0)</f>
        <v>5</v>
      </c>
      <c r="F6" s="123">
        <f>WORKDAY(F5,E6,Holiday!A2:A31)</f>
        <v>46091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2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s="116" t="s">
        <v>82</v>
      </c>
      <c r="C7" s="116" t="s">
        <v>78</v>
      </c>
      <c r="D7" s="118">
        <v>15</v>
      </c>
      <c r="E7" s="134">
        <f t="shared" si="0"/>
        <v>23</v>
      </c>
      <c r="F7" s="123">
        <f>WORKDAY(F6,E7,Holiday!$A$1:$A$30)</f>
        <v>46122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1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2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s="116" t="s">
        <v>83</v>
      </c>
      <c r="C8" s="116" t="s">
        <v>78</v>
      </c>
      <c r="D8" s="118">
        <v>3</v>
      </c>
      <c r="E8" s="134">
        <f t="shared" si="0"/>
        <v>5</v>
      </c>
      <c r="F8" s="123">
        <f>WORKDAY(F7,E8,Holiday!A4:A33)</f>
        <v>46129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0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2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s="116" t="s">
        <v>84</v>
      </c>
      <c r="C9" s="116" t="s">
        <v>78</v>
      </c>
      <c r="D9" s="118">
        <v>5</v>
      </c>
      <c r="E9" s="134">
        <f t="shared" si="0"/>
        <v>8</v>
      </c>
      <c r="F9" s="123">
        <f>WORKDAY(F8,E9,Holiday!A5:A34)</f>
        <v>46141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0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2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s="116" t="s">
        <v>85</v>
      </c>
      <c r="C10" s="116" t="s">
        <v>78</v>
      </c>
      <c r="D10" s="118">
        <v>8</v>
      </c>
      <c r="E10" s="134">
        <f t="shared" si="0"/>
        <v>12</v>
      </c>
      <c r="F10" s="123">
        <f>WORKDAY(F9,E10,Holiday!$A$1:$A$30)</f>
        <v>46161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1</v>
      </c>
      <c r="K10" s="113">
        <f>IF(OR(AND($F9&lt;=K$3, $F10 &gt;= K$3), AND($F10&lt;K$3, WORKDAY($F10, 22,Holiday!$A$1:$A$30)&gt;K$3)), 1, 0)+IF(AND((K$3-$B$2)&gt;=0,(K$3-$B$2)&lt;30), 2,0)</f>
        <v>1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2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s="116" t="s">
        <v>86</v>
      </c>
      <c r="C11" s="116" t="s">
        <v>78</v>
      </c>
      <c r="D11" s="118">
        <v>13</v>
      </c>
      <c r="E11" s="134">
        <f t="shared" si="0"/>
        <v>20</v>
      </c>
      <c r="F11" s="123">
        <f>WORKDAY(F10,E11,Holiday!A7:A36)</f>
        <v>46189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1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2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s="116" t="s">
        <v>87</v>
      </c>
      <c r="C12" s="116" t="s">
        <v>78</v>
      </c>
      <c r="D12" s="118">
        <v>13</v>
      </c>
      <c r="E12" s="134">
        <f t="shared" si="0"/>
        <v>20</v>
      </c>
      <c r="F12" s="123">
        <f>WORKDAY(F11,E12,Holiday!A8:A37)</f>
        <v>46217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0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1</v>
      </c>
      <c r="N12" s="113">
        <f>IF(OR(AND($F11&lt;=N$3, $F12 &gt;= N$3), AND($F12&lt;N$3, WORKDAY($F12, 22,Holiday!$A$1:$A$30)&gt;N$3)), 1, 0)+IF(AND((N$3-$B$2)&gt;=0,(N$3-$B$2)&lt;30), 2,0)</f>
        <v>2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s="116" t="s">
        <v>88</v>
      </c>
      <c r="C13" s="116" t="s">
        <v>78</v>
      </c>
      <c r="D13" s="118">
        <v>15</v>
      </c>
      <c r="E13" s="134">
        <f t="shared" si="0"/>
        <v>23</v>
      </c>
      <c r="F13" s="123">
        <f>WORKDAY(F12,E13,Holiday!$A$1:$A$30)</f>
        <v>46248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3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s="116" t="s">
        <v>89</v>
      </c>
      <c r="C14" s="116" t="s">
        <v>78</v>
      </c>
      <c r="D14" s="118">
        <v>15</v>
      </c>
      <c r="E14" s="134">
        <f t="shared" si="0"/>
        <v>23</v>
      </c>
      <c r="F14" s="123">
        <f>WORKDAY(F13,E14,Holiday!A10:A39)</f>
        <v>46281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0</v>
      </c>
      <c r="N14" s="113">
        <f>IF(OR(AND($F13&lt;=N$3, $F14 &gt;= N$3), AND($F14&lt;N$3, WORKDAY($F14, 22,Holiday!$A$1:$A$30)&gt;N$3)), 1, 0)+IF(AND((N$3-$B$2)&gt;=0,(N$3-$B$2)&lt;30), 2,0)</f>
        <v>3</v>
      </c>
      <c r="O14" s="113">
        <f>IF(OR(AND($F13&lt;=O$3, $F14 &gt;= O$3), AND($F14&lt;O$3, WORKDAY($F14, 22,Holiday!$A$1:$A$30)&gt;O$3)), 1, 0)+IF(AND((O$3-$B$2)&gt;=0,(O$3-$B$2)&lt;30), 2,0)</f>
        <v>1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s="116" t="s">
        <v>90</v>
      </c>
      <c r="C15" s="116" t="s">
        <v>112</v>
      </c>
      <c r="D15" s="118">
        <v>13</v>
      </c>
      <c r="E15" s="134">
        <f t="shared" si="0"/>
        <v>20</v>
      </c>
      <c r="F15" s="123">
        <f>WORKDAY(F4,E15,Holiday!A11:A40)</f>
        <v>46079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1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2</v>
      </c>
      <c r="O15" s="113">
        <f>IF(OR(AND($F14&lt;=O$3, $F15 &gt;= O$3), AND($F15&lt;O$3, WORKDAY($F15, 22,Holiday!$A$1:$A$30)&gt;O$3)), 1, 0)+IF(AND((O$3-$B$2)&gt;=0,(O$3-$B$2)&lt;30), 2,0)</f>
        <v>0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s="116" t="s">
        <v>91</v>
      </c>
      <c r="C16" s="116" t="s">
        <v>112</v>
      </c>
      <c r="D16" s="118">
        <v>3</v>
      </c>
      <c r="E16" s="134">
        <f t="shared" si="0"/>
        <v>5</v>
      </c>
      <c r="F16" s="123">
        <f>WORKDAY(F15,E16,Holiday!$A$1:$A$30)</f>
        <v>46086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1</v>
      </c>
      <c r="I16" s="113">
        <f>IF(OR(AND($F15&lt;=I$3, $F16 &gt;= I$3), AND($F16&lt;I$3, WORKDAY($F16, 22,Holiday!$A$1:$A$30)&gt;I$3)), 1, 0)+IF(AND((I$3-$B$2)&gt;=0,(I$3-$B$2)&lt;30), 2,0)</f>
        <v>1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2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s="116" t="s">
        <v>92</v>
      </c>
      <c r="C17" s="116" t="s">
        <v>112</v>
      </c>
      <c r="D17" s="118">
        <v>13</v>
      </c>
      <c r="E17" s="134">
        <f t="shared" si="0"/>
        <v>20</v>
      </c>
      <c r="F17" s="123">
        <f>WORKDAY(F16,E17,Holiday!A13:A42)</f>
        <v>46114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1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2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0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s="116" t="s">
        <v>93</v>
      </c>
      <c r="C18" s="116" t="s">
        <v>112</v>
      </c>
      <c r="D18" s="118">
        <v>5</v>
      </c>
      <c r="E18" s="134">
        <f t="shared" si="0"/>
        <v>8</v>
      </c>
      <c r="F18" s="123">
        <f>WORKDAY(F17,E18,Holiday!A14:A43)</f>
        <v>46126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1</v>
      </c>
      <c r="J18" s="113">
        <f>IF(OR(AND($F17&lt;=J$3, $F18 &gt;= J$3), AND($F18&lt;J$3, WORKDAY($F18, 22,Holiday!$A$1:$A$30)&gt;J$3)), 1, 0)+IF(AND((J$3-$B$2)&gt;=0,(J$3-$B$2)&lt;30), 2,0)</f>
        <v>1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2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0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s="116" t="s">
        <v>94</v>
      </c>
      <c r="C19" s="116" t="s">
        <v>112</v>
      </c>
      <c r="D19" s="118">
        <v>8</v>
      </c>
      <c r="E19" s="134">
        <f t="shared" si="0"/>
        <v>12</v>
      </c>
      <c r="F19" s="123">
        <f>WORKDAY(F18,E19,Holiday!$A$1:$A$30)</f>
        <v>46146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1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2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0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s="116" t="s">
        <v>95</v>
      </c>
      <c r="C20" s="116" t="s">
        <v>112</v>
      </c>
      <c r="D20" s="118">
        <v>8</v>
      </c>
      <c r="E20" s="134">
        <f t="shared" si="0"/>
        <v>12</v>
      </c>
      <c r="F20" s="123">
        <f>WORKDAY(F19,E20,Holiday!A16:A45)</f>
        <v>46162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1</v>
      </c>
      <c r="K20" s="113">
        <f>IF(OR(AND($F19&lt;=K$3, $F20 &gt;= K$3), AND($F20&lt;K$3, WORKDAY($F20, 22,Holiday!$A$1:$A$30)&gt;K$3)), 1, 0)+IF(AND((K$3-$B$2)&gt;=0,(K$3-$B$2)&lt;30), 2,0)</f>
        <v>1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2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s="116" t="s">
        <v>96</v>
      </c>
      <c r="C21" s="116" t="s">
        <v>112</v>
      </c>
      <c r="D21" s="118">
        <v>8</v>
      </c>
      <c r="E21" s="134">
        <f t="shared" si="0"/>
        <v>12</v>
      </c>
      <c r="F21" s="123">
        <f>WORKDAY(F20,E21,Holiday!A17:A46)</f>
        <v>46178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1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2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s="116" t="s">
        <v>97</v>
      </c>
      <c r="C22" s="116" t="s">
        <v>112</v>
      </c>
      <c r="D22" s="118">
        <v>5</v>
      </c>
      <c r="E22" s="134">
        <f t="shared" si="0"/>
        <v>8</v>
      </c>
      <c r="F22" s="123">
        <f>WORKDAY(F21,E22,Holiday!$A$1:$A$30)</f>
        <v>46190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1</v>
      </c>
      <c r="L22" s="113">
        <f>IF(OR(AND($F21&lt;=L$3, $F22 &gt;= L$3), AND($F22&lt;L$3, WORKDAY($F22, 22,Holiday!$A$1:$A$30)&gt;L$3)), 1, 0)+IF(AND((L$3-$B$2)&gt;=0,(L$3-$B$2)&lt;30), 2,0)</f>
        <v>1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2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s="116" t="s">
        <v>98</v>
      </c>
      <c r="C23" s="116" t="s">
        <v>112</v>
      </c>
      <c r="D23" s="118">
        <v>8</v>
      </c>
      <c r="E23" s="134">
        <f t="shared" si="0"/>
        <v>12</v>
      </c>
      <c r="F23" s="123">
        <f>WORKDAY(F22,E23,Holiday!A19:A48)</f>
        <v>46206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0</v>
      </c>
      <c r="L23" s="113">
        <f>IF(OR(AND($F22&lt;=L$3, $F23 &gt;= L$3), AND($F23&lt;L$3, WORKDAY($F23, 22,Holiday!$A$1:$A$30)&gt;L$3)), 1, 0)+IF(AND((L$3-$B$2)&gt;=0,(L$3-$B$2)&lt;30), 2,0)</f>
        <v>1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2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s="116" t="s">
        <v>99</v>
      </c>
      <c r="C24" s="116" t="s">
        <v>112</v>
      </c>
      <c r="D24" s="118">
        <v>8</v>
      </c>
      <c r="E24" s="134">
        <f t="shared" si="0"/>
        <v>12</v>
      </c>
      <c r="F24" s="123">
        <f>WORKDAY(F23,E24,Holiday!A20:A49)</f>
        <v>46224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1</v>
      </c>
      <c r="M24" s="113">
        <f>IF(OR(AND($F23&lt;=M$3, $F24 &gt;= M$3), AND($F24&lt;M$3, WORKDAY($F24, 22,Holiday!$A$1:$A$30)&gt;M$3)), 1, 0)+IF(AND((M$3-$B$2)&gt;=0,(M$3-$B$2)&lt;30), 2,0)</f>
        <v>1</v>
      </c>
      <c r="N24" s="113">
        <f>IF(OR(AND($F23&lt;=N$3, $F24 &gt;= N$3), AND($F24&lt;N$3, WORKDAY($F24, 22,Holiday!$A$1:$A$30)&gt;N$3)), 1, 0)+IF(AND((N$3-$B$2)&gt;=0,(N$3-$B$2)&lt;30), 2,0)</f>
        <v>2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s="116" t="s">
        <v>100</v>
      </c>
      <c r="C25" s="116" t="s">
        <v>112</v>
      </c>
      <c r="D25" s="118">
        <v>3</v>
      </c>
      <c r="E25" s="134">
        <f t="shared" si="0"/>
        <v>5</v>
      </c>
      <c r="F25" s="123">
        <f>WORKDAY(F24,E25,Holiday!$A$1:$A$30)</f>
        <v>46231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1</v>
      </c>
      <c r="N25" s="113">
        <f>IF(OR(AND($F24&lt;=N$3, $F25 &gt;= N$3), AND($F25&lt;N$3, WORKDAY($F25, 22,Holiday!$A$1:$A$30)&gt;N$3)), 1, 0)+IF(AND((N$3-$B$2)&gt;=0,(N$3-$B$2)&lt;30), 2,0)</f>
        <v>2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s="116" t="s">
        <v>101</v>
      </c>
      <c r="C26" s="116" t="s">
        <v>112</v>
      </c>
      <c r="D26" s="117">
        <v>10</v>
      </c>
      <c r="E26" s="134">
        <f t="shared" si="0"/>
        <v>15</v>
      </c>
      <c r="F26" s="123">
        <f>WORKDAY(F25,E26,Holiday!A22:A51)</f>
        <v>46252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1</v>
      </c>
      <c r="N26" s="113">
        <f>IF(OR(AND($F25&lt;=N$3, $F26 &gt;= N$3), AND($F26&lt;N$3, WORKDAY($F26, 22,Holiday!$A$1:$A$30)&gt;N$3)), 1, 0)+IF(AND((N$3-$B$2)&gt;=0,(N$3-$B$2)&lt;30), 2,0)</f>
        <v>3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s="116" t="s">
        <v>102</v>
      </c>
      <c r="C27" s="116" t="s">
        <v>112</v>
      </c>
      <c r="D27" s="117">
        <v>10</v>
      </c>
      <c r="E27" s="134">
        <f t="shared" si="0"/>
        <v>15</v>
      </c>
      <c r="F27" s="123">
        <f>WORKDAY(F26,E27,Holiday!A23:A52)</f>
        <v>46273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3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s="116" t="s">
        <v>103</v>
      </c>
      <c r="C28" s="116" t="s">
        <v>113</v>
      </c>
      <c r="D28" s="117">
        <v>10</v>
      </c>
      <c r="E28" s="134">
        <f t="shared" si="0"/>
        <v>15</v>
      </c>
      <c r="F28" s="123">
        <f>WORKDAY(F4,E28,Holiday!$A$1:$A$30)</f>
        <v>46072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1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2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s="116" t="s">
        <v>104</v>
      </c>
      <c r="C29" s="116" t="s">
        <v>113</v>
      </c>
      <c r="D29" s="117">
        <v>20</v>
      </c>
      <c r="E29" s="134">
        <f t="shared" si="0"/>
        <v>30</v>
      </c>
      <c r="F29" s="123">
        <f>WORKDAY(F28,E29,Holiday!A25:A54)</f>
        <v>46114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1</v>
      </c>
      <c r="I29" s="113">
        <f>IF(OR(AND($F28&lt;=I$3, $F29 &gt;= I$3), AND($F29&lt;I$3, WORKDAY($F29, 22,Holiday!$A$1:$A$30)&gt;I$3)), 1, 0)+IF(AND((I$3-$B$2)&gt;=0,(I$3-$B$2)&lt;30), 2,0)</f>
        <v>1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2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s="116" t="s">
        <v>105</v>
      </c>
      <c r="C30" s="116" t="s">
        <v>113</v>
      </c>
      <c r="D30" s="117">
        <v>20</v>
      </c>
      <c r="E30" s="134">
        <f t="shared" si="0"/>
        <v>30</v>
      </c>
      <c r="F30" s="123">
        <f>WORKDAY(F29,E30,Holiday!A26:A55)</f>
        <v>46156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1</v>
      </c>
      <c r="J30" s="113">
        <f>IF(OR(AND($F29&lt;=J$3, $F30 &gt;= J$3), AND($F30&lt;J$3, WORKDAY($F30, 22,Holiday!$A$1:$A$30)&gt;J$3)), 1, 0)+IF(AND((J$3-$B$2)&gt;=0,(J$3-$B$2)&lt;30), 2,0)</f>
        <v>1</v>
      </c>
      <c r="K30" s="113">
        <f>IF(OR(AND($F29&lt;=K$3, $F30 &gt;= K$3), AND($F30&lt;K$3, WORKDAY($F30, 22,Holiday!$A$1:$A$30)&gt;K$3)), 1, 0)+IF(AND((K$3-$B$2)&gt;=0,(K$3-$B$2)&lt;30), 2,0)</f>
        <v>1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2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s="116" t="s">
        <v>106</v>
      </c>
      <c r="C31" s="116" t="s">
        <v>113</v>
      </c>
      <c r="D31" s="117">
        <v>20</v>
      </c>
      <c r="E31" s="134">
        <f t="shared" si="0"/>
        <v>30</v>
      </c>
      <c r="F31" s="123">
        <f>WORKDAY(F30,E31,Holiday!$A$1:$A$30)</f>
        <v>46198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0</v>
      </c>
      <c r="J31" s="113">
        <f>IF(OR(AND($F30&lt;=J$3, $F31 &gt;= J$3), AND($F31&lt;J$3, WORKDAY($F31, 22,Holiday!$A$1:$A$30)&gt;J$3)), 1, 0)+IF(AND((J$3-$B$2)&gt;=0,(J$3-$B$2)&lt;30), 2,0)</f>
        <v>0</v>
      </c>
      <c r="K31" s="113">
        <f>IF(OR(AND($F30&lt;=K$3, $F31 &gt;= K$3), AND($F31&lt;K$3, WORKDAY($F31, 22,Holiday!$A$1:$A$30)&gt;K$3)), 1, 0)+IF(AND((K$3-$B$2)&gt;=0,(K$3-$B$2)&lt;30), 2,0)</f>
        <v>1</v>
      </c>
      <c r="L31" s="113">
        <f>IF(OR(AND($F30&lt;=L$3, $F31 &gt;= L$3), AND($F31&lt;L$3, WORKDAY($F31, 22,Holiday!$A$1:$A$30)&gt;L$3)), 1, 0)+IF(AND((L$3-$B$2)&gt;=0,(L$3-$B$2)&lt;30), 2,0)</f>
        <v>1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2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s="116" t="s">
        <v>107</v>
      </c>
      <c r="C32" s="116" t="s">
        <v>113</v>
      </c>
      <c r="D32" s="117">
        <v>20</v>
      </c>
      <c r="E32" s="134">
        <f t="shared" si="0"/>
        <v>30</v>
      </c>
      <c r="F32" s="123">
        <f>WORKDAY(F31,E32,Holiday!A28:A57)</f>
        <v>46240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0</v>
      </c>
      <c r="K32" s="113">
        <f>IF(OR(AND($F31&lt;=K$3, $F32 &gt;= K$3), AND($F32&lt;K$3, WORKDAY($F32, 22,Holiday!$A$1:$A$30)&gt;K$3)), 1, 0)+IF(AND((K$3-$B$2)&gt;=0,(K$3-$B$2)&lt;30), 2,0)</f>
        <v>0</v>
      </c>
      <c r="L32" s="113">
        <f>IF(OR(AND($F31&lt;=L$3, $F32 &gt;= L$3), AND($F32&lt;L$3, WORKDAY($F32, 22,Holiday!$A$1:$A$30)&gt;L$3)), 1, 0)+IF(AND((L$3-$B$2)&gt;=0,(L$3-$B$2)&lt;30), 2,0)</f>
        <v>1</v>
      </c>
      <c r="M32" s="113">
        <f>IF(OR(AND($F31&lt;=M$3, $F32 &gt;= M$3), AND($F32&lt;M$3, WORKDAY($F32, 22,Holiday!$A$1:$A$30)&gt;M$3)), 1, 0)+IF(AND((M$3-$B$2)&gt;=0,(M$3-$B$2)&lt;30), 2,0)</f>
        <v>1</v>
      </c>
      <c r="N32" s="113">
        <f>IF(OR(AND($F31&lt;=N$3, $F32 &gt;= N$3), AND($F32&lt;N$3, WORKDAY($F32, 22,Holiday!$A$1:$A$30)&gt;N$3)), 1, 0)+IF(AND((N$3-$B$2)&gt;=0,(N$3-$B$2)&lt;30), 2,0)</f>
        <v>2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s="116" t="s">
        <v>260</v>
      </c>
      <c r="C33" s="116" t="s">
        <v>113</v>
      </c>
      <c r="D33" s="117">
        <v>3</v>
      </c>
      <c r="E33" s="134">
        <f t="shared" si="0"/>
        <v>5</v>
      </c>
      <c r="F33" s="123">
        <f>WORKDAY(F32,E33,Holiday!$A$1:$A$30)</f>
        <v>46247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0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1</v>
      </c>
      <c r="N33" s="113">
        <f>IF(OR(AND($F32&lt;=N$3, $F33 &gt;= N$3), AND($F33&lt;N$3, WORKDAY($F33, 22,Holiday!$A$1:$A$30)&gt;N$3)), 1, 0)+IF(AND((N$3-$B$2)&gt;=0,(N$3-$B$2)&lt;30), 2,0)</f>
        <v>3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.75" customHeight="1" x14ac:dyDescent="0.2">
      <c r="B34" s="116" t="s">
        <v>261</v>
      </c>
      <c r="C34" s="116" t="s">
        <v>113</v>
      </c>
      <c r="D34" s="117">
        <v>5</v>
      </c>
      <c r="E34" s="134">
        <f t="shared" si="0"/>
        <v>8</v>
      </c>
      <c r="F34" s="123">
        <f>WORKDAY(F33,E34,Holiday!A30:A59)</f>
        <v>46259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3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">
      <c r="B35" s="120" t="s">
        <v>262</v>
      </c>
      <c r="C35" s="116" t="s">
        <v>214</v>
      </c>
      <c r="D35" s="117">
        <v>8</v>
      </c>
      <c r="E35" s="134">
        <f t="shared" si="0"/>
        <v>12</v>
      </c>
      <c r="F35" s="123">
        <f>WORKDAY(F4,E35,Holiday!A31:A60)</f>
        <v>46069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1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2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">
      <c r="B36" s="120" t="s">
        <v>263</v>
      </c>
      <c r="C36" s="116" t="s">
        <v>214</v>
      </c>
      <c r="D36" s="117">
        <v>8</v>
      </c>
      <c r="E36" s="134">
        <f t="shared" si="0"/>
        <v>12</v>
      </c>
      <c r="F36" s="123">
        <f>WORKDAY(F35,E36,Holiday!$A$1:$A$30)</f>
        <v>46085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1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2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">
      <c r="B37" s="116" t="s">
        <v>264</v>
      </c>
      <c r="C37" s="116" t="s">
        <v>214</v>
      </c>
      <c r="D37" s="117">
        <v>10</v>
      </c>
      <c r="E37" s="134">
        <f t="shared" si="0"/>
        <v>15</v>
      </c>
      <c r="F37" s="123">
        <f>WORKDAY(F36,E37,Holiday!A33:A62)</f>
        <v>46106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1</v>
      </c>
      <c r="I37" s="113">
        <f>IF(OR(AND($F36&lt;=I$3, $F37 &gt;= I$3), AND($F37&lt;I$3, WORKDAY($F37, 22,Holiday!$A$1:$A$30)&gt;I$3)), 1, 0)+IF(AND((I$3-$B$2)&gt;=0,(I$3-$B$2)&lt;30), 2,0)</f>
        <v>1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2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">
      <c r="B38" s="120" t="s">
        <v>265</v>
      </c>
      <c r="C38" s="116" t="s">
        <v>214</v>
      </c>
      <c r="D38" s="117">
        <v>8</v>
      </c>
      <c r="E38" s="134">
        <f t="shared" si="0"/>
        <v>12</v>
      </c>
      <c r="F38" s="123">
        <f>WORKDAY(F37,E38,Holiday!A34:A63)</f>
        <v>46122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1</v>
      </c>
      <c r="J38" s="113">
        <f>IF(OR(AND($F37&lt;=J$3, $F38 &gt;= J$3), AND($F38&lt;J$3, WORKDAY($F38, 22,Holiday!$A$1:$A$30)&gt;J$3)), 1, 0)+IF(AND((J$3-$B$2)&gt;=0,(J$3-$B$2)&lt;30), 2,0)</f>
        <v>1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2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">
      <c r="B39" s="120" t="s">
        <v>266</v>
      </c>
      <c r="C39" s="116" t="s">
        <v>214</v>
      </c>
      <c r="D39" s="117">
        <v>10</v>
      </c>
      <c r="E39" s="134">
        <f t="shared" si="0"/>
        <v>15</v>
      </c>
      <c r="F39" s="123">
        <f>WORKDAY(F38,E39,Holiday!$A$1:$A$30)</f>
        <v>46147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1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2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">
      <c r="B40" s="120" t="s">
        <v>267</v>
      </c>
      <c r="C40" s="116" t="s">
        <v>214</v>
      </c>
      <c r="D40" s="117">
        <v>8</v>
      </c>
      <c r="E40" s="134">
        <f t="shared" si="0"/>
        <v>12</v>
      </c>
      <c r="F40" s="123">
        <f>WORKDAY(F39,E40,Holiday!A36:A65)</f>
        <v>46163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0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1</v>
      </c>
      <c r="K40" s="113">
        <f>IF(OR(AND($F39&lt;=K$3, $F40 &gt;= K$3), AND($F40&lt;K$3, WORKDAY($F40, 22,Holiday!$A$1:$A$30)&gt;K$3)), 1, 0)+IF(AND((K$3-$B$2)&gt;=0,(K$3-$B$2)&lt;30), 2,0)</f>
        <v>1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2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">
      <c r="B41" s="120" t="s">
        <v>268</v>
      </c>
      <c r="C41" s="116" t="s">
        <v>214</v>
      </c>
      <c r="D41" s="117">
        <v>10</v>
      </c>
      <c r="E41" s="134">
        <f t="shared" si="0"/>
        <v>15</v>
      </c>
      <c r="F41" s="123">
        <f>WORKDAY(F40,E41,Holiday!A37:A66)</f>
        <v>46184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0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1</v>
      </c>
      <c r="L41" s="113">
        <f>IF(OR(AND($F40&lt;=L$3, $F41 &gt;= L$3), AND($F41&lt;L$3, WORKDAY($F41, 22,Holiday!$A$1:$A$30)&gt;L$3)), 1, 0)+IF(AND((L$3-$B$2)&gt;=0,(L$3-$B$2)&lt;30), 2,0)</f>
        <v>1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2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">
      <c r="B42" s="120" t="s">
        <v>269</v>
      </c>
      <c r="C42" s="116" t="s">
        <v>214</v>
      </c>
      <c r="D42" s="117">
        <v>10</v>
      </c>
      <c r="E42" s="134">
        <f t="shared" si="0"/>
        <v>15</v>
      </c>
      <c r="F42" s="123">
        <f>WORKDAY(F41,E42,Holiday!$A$1:$A$30)</f>
        <v>46205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0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1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2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">
      <c r="B43" s="120" t="s">
        <v>270</v>
      </c>
      <c r="C43" s="116" t="s">
        <v>214</v>
      </c>
      <c r="D43" s="117">
        <v>8</v>
      </c>
      <c r="E43" s="134">
        <f t="shared" si="0"/>
        <v>12</v>
      </c>
      <c r="F43" s="123">
        <f>WORKDAY(F42,E43,Holiday!A39:A68)</f>
        <v>46223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0</v>
      </c>
      <c r="K43" s="113">
        <f>IF(OR(AND($F42&lt;=K$3, $F43 &gt;= K$3), AND($F43&lt;K$3, WORKDAY($F43, 22,Holiday!$A$1:$A$30)&gt;K$3)), 1, 0)+IF(AND((K$3-$B$2)&gt;=0,(K$3-$B$2)&lt;30), 2,0)</f>
        <v>0</v>
      </c>
      <c r="L43" s="113">
        <f>IF(OR(AND($F42&lt;=L$3, $F43 &gt;= L$3), AND($F43&lt;L$3, WORKDAY($F43, 22,Holiday!$A$1:$A$30)&gt;L$3)), 1, 0)+IF(AND((L$3-$B$2)&gt;=0,(L$3-$B$2)&lt;30), 2,0)</f>
        <v>1</v>
      </c>
      <c r="M43" s="113">
        <f>IF(OR(AND($F42&lt;=M$3, $F43 &gt;= M$3), AND($F43&lt;M$3, WORKDAY($F43, 22,Holiday!$A$1:$A$30)&gt;M$3)), 1, 0)+IF(AND((M$3-$B$2)&gt;=0,(M$3-$B$2)&lt;30), 2,0)</f>
        <v>1</v>
      </c>
      <c r="N43" s="113">
        <f>IF(OR(AND($F42&lt;=N$3, $F43 &gt;= N$3), AND($F43&lt;N$3, WORKDAY($F43, 22,Holiday!$A$1:$A$30)&gt;N$3)), 1, 0)+IF(AND((N$3-$B$2)&gt;=0,(N$3-$B$2)&lt;30), 2,0)</f>
        <v>2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">
      <c r="B44" s="120" t="s">
        <v>271</v>
      </c>
      <c r="C44" s="116" t="s">
        <v>214</v>
      </c>
      <c r="D44" s="117">
        <v>5</v>
      </c>
      <c r="E44" s="134">
        <f t="shared" si="0"/>
        <v>8</v>
      </c>
      <c r="F44" s="123">
        <f>WORKDAY(F43,E44,Holiday!A40:A69)</f>
        <v>46233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0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1</v>
      </c>
      <c r="N44" s="113">
        <f>IF(OR(AND($F43&lt;=N$3, $F44 &gt;= N$3), AND($F44&lt;N$3, WORKDAY($F44, 22,Holiday!$A$1:$A$30)&gt;N$3)), 1, 0)+IF(AND((N$3-$B$2)&gt;=0,(N$3-$B$2)&lt;30), 2,0)</f>
        <v>2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">
      <c r="B45" s="120" t="s">
        <v>272</v>
      </c>
      <c r="C45" s="116" t="s">
        <v>214</v>
      </c>
      <c r="D45" s="117">
        <v>13</v>
      </c>
      <c r="E45" s="134">
        <f t="shared" si="0"/>
        <v>20</v>
      </c>
      <c r="F45" s="123">
        <f>WORKDAY(F44,E45,Holiday!$A$1:$A$30)</f>
        <v>46261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0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1</v>
      </c>
      <c r="N45" s="113">
        <f>IF(OR(AND($F44&lt;=N$3, $F45 &gt;= N$3), AND($F45&lt;N$3, WORKDAY($F45, 22,Holiday!$A$1:$A$30)&gt;N$3)), 1, 0)+IF(AND((N$3-$B$2)&gt;=0,(N$3-$B$2)&lt;30), 2,0)</f>
        <v>3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39" type="noConversion"/>
  <conditionalFormatting sqref="G3:AO3">
    <cfRule type="expression" dxfId="11" priority="1">
      <formula>G$4&gt;1</formula>
    </cfRule>
  </conditionalFormatting>
  <conditionalFormatting sqref="G4:AO45">
    <cfRule type="cellIs" dxfId="10" priority="2" operator="greaterThan">
      <formula>1</formula>
    </cfRule>
    <cfRule type="cellIs" dxfId="9" priority="3" operator="equal">
      <formula>0</formula>
    </cfRule>
    <cfRule type="cellIs" dxfId="8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8371-D05A-4718-96A4-32A5CEFE47FB}">
  <sheetPr>
    <tabColor rgb="FF3D85C6"/>
    <outlinePr summaryBelow="0" summaryRight="0"/>
  </sheetPr>
  <dimension ref="A1:AO45"/>
  <sheetViews>
    <sheetView showGridLines="0" zoomScale="89" workbookViewId="0">
      <pane xSplit="6" topLeftCell="G1" activePane="topRight" state="frozen"/>
      <selection activeCell="F41" sqref="F41"/>
      <selection pane="topRight" activeCell="C8" sqref="C8:C13"/>
    </sheetView>
  </sheetViews>
  <sheetFormatPr defaultColWidth="12.85546875" defaultRowHeight="15.75" customHeight="1" x14ac:dyDescent="0.2"/>
  <cols>
    <col min="1" max="1" width="2.140625" style="142" bestFit="1" customWidth="1"/>
    <col min="2" max="2" width="58.7109375" style="142" bestFit="1" customWidth="1"/>
    <col min="3" max="3" width="6.42578125" style="142" bestFit="1" customWidth="1"/>
    <col min="4" max="4" width="7.5703125" style="142" bestFit="1" customWidth="1"/>
    <col min="5" max="5" width="7.140625" style="111" bestFit="1" customWidth="1"/>
    <col min="6" max="6" width="10.85546875" style="111" bestFit="1" customWidth="1"/>
    <col min="7" max="24" width="3.28515625" style="142" bestFit="1" customWidth="1"/>
    <col min="25" max="27" width="3.7109375" style="142" bestFit="1" customWidth="1"/>
    <col min="28" max="28" width="3.28515625" style="142" customWidth="1"/>
    <col min="29" max="29" width="3.7109375" style="142" bestFit="1" customWidth="1"/>
    <col min="30" max="35" width="3.28515625" style="142" bestFit="1" customWidth="1"/>
    <col min="36" max="36" width="3.28515625" style="142" customWidth="1"/>
    <col min="37" max="41" width="3.28515625" style="142" bestFit="1" customWidth="1"/>
    <col min="42" max="16384" width="12.85546875" style="142"/>
  </cols>
  <sheetData>
    <row r="1" spans="1:41" ht="25.5" x14ac:dyDescent="0.2">
      <c r="A1" s="193" t="s">
        <v>108</v>
      </c>
      <c r="B1" s="127" t="s">
        <v>253</v>
      </c>
      <c r="C1" s="127" t="s">
        <v>254</v>
      </c>
      <c r="D1" s="127" t="s">
        <v>257</v>
      </c>
      <c r="E1" s="193" t="s">
        <v>111</v>
      </c>
      <c r="F1" s="195" t="s">
        <v>114</v>
      </c>
      <c r="G1" s="191" t="s">
        <v>218</v>
      </c>
      <c r="H1" s="191" t="s">
        <v>219</v>
      </c>
      <c r="I1" s="191" t="s">
        <v>220</v>
      </c>
      <c r="J1" s="191" t="s">
        <v>221</v>
      </c>
      <c r="K1" s="191" t="s">
        <v>222</v>
      </c>
      <c r="L1" s="191" t="s">
        <v>223</v>
      </c>
      <c r="M1" s="191" t="s">
        <v>224</v>
      </c>
      <c r="N1" s="191" t="s">
        <v>225</v>
      </c>
      <c r="O1" s="191" t="s">
        <v>226</v>
      </c>
      <c r="P1" s="191" t="s">
        <v>227</v>
      </c>
      <c r="Q1" s="191" t="s">
        <v>228</v>
      </c>
      <c r="R1" s="191" t="s">
        <v>229</v>
      </c>
      <c r="S1" s="191" t="s">
        <v>230</v>
      </c>
      <c r="T1" s="191" t="s">
        <v>231</v>
      </c>
      <c r="U1" s="191" t="s">
        <v>232</v>
      </c>
      <c r="V1" s="191" t="s">
        <v>233</v>
      </c>
      <c r="W1" s="191" t="s">
        <v>234</v>
      </c>
      <c r="X1" s="191" t="s">
        <v>235</v>
      </c>
      <c r="Y1" s="191" t="s">
        <v>236</v>
      </c>
      <c r="Z1" s="191" t="s">
        <v>237</v>
      </c>
      <c r="AA1" s="191" t="s">
        <v>238</v>
      </c>
      <c r="AB1" s="191" t="s">
        <v>239</v>
      </c>
      <c r="AC1" s="191" t="s">
        <v>240</v>
      </c>
      <c r="AD1" s="191" t="s">
        <v>241</v>
      </c>
      <c r="AE1" s="191" t="s">
        <v>242</v>
      </c>
      <c r="AF1" s="191" t="s">
        <v>243</v>
      </c>
      <c r="AG1" s="191" t="s">
        <v>244</v>
      </c>
      <c r="AH1" s="191" t="s">
        <v>245</v>
      </c>
      <c r="AI1" s="191" t="s">
        <v>246</v>
      </c>
      <c r="AJ1" s="191" t="s">
        <v>247</v>
      </c>
      <c r="AK1" s="191" t="s">
        <v>248</v>
      </c>
      <c r="AL1" s="191" t="s">
        <v>249</v>
      </c>
      <c r="AM1" s="191" t="s">
        <v>250</v>
      </c>
      <c r="AN1" s="191" t="s">
        <v>251</v>
      </c>
      <c r="AO1" s="191" t="s">
        <v>252</v>
      </c>
    </row>
    <row r="2" spans="1:41" ht="31.5" customHeight="1" x14ac:dyDescent="0.2">
      <c r="A2" s="194"/>
      <c r="B2" s="128">
        <f>WORKDAY($F$3,ROUNDUP(($E$3-$E$4)/$C$2,0)+$E$4,Holiday!$A$1:$A$30)</f>
        <v>46162</v>
      </c>
      <c r="C2" s="129">
        <v>8</v>
      </c>
      <c r="D2" s="130">
        <f>Setting!$A$2</f>
        <v>0.5</v>
      </c>
      <c r="E2" s="194"/>
      <c r="F2" s="196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</row>
    <row r="3" spans="1:41" ht="60" customHeight="1" x14ac:dyDescent="0.2">
      <c r="A3" s="124"/>
      <c r="B3" s="124" t="s">
        <v>109</v>
      </c>
      <c r="C3" s="124" t="s">
        <v>110</v>
      </c>
      <c r="D3" s="124" t="s">
        <v>256</v>
      </c>
      <c r="E3" s="124">
        <f>SUM(E4:E45)</f>
        <v>634</v>
      </c>
      <c r="F3" s="126">
        <f>Setting!$C$2</f>
        <v>46023</v>
      </c>
      <c r="G3" s="125">
        <f>WORKDAY(F3,22,Holiday!$A$1:$A$30)</f>
        <v>46055</v>
      </c>
      <c r="H3" s="125">
        <f>WORKDAY(G3,22,Holiday!$A$1:$A$30)</f>
        <v>46085</v>
      </c>
      <c r="I3" s="125">
        <f>WORKDAY(H3,22,Holiday!$A$1:$A$30)</f>
        <v>46115</v>
      </c>
      <c r="J3" s="125">
        <f>WORKDAY(I3,22,Holiday!$A$1:$A$30)</f>
        <v>46149</v>
      </c>
      <c r="K3" s="125">
        <f>WORKDAY(J3,22,Holiday!$A$1:$A$30)</f>
        <v>46181</v>
      </c>
      <c r="L3" s="125">
        <f>WORKDAY(K3,22,Holiday!$A$1:$A$30)</f>
        <v>46211</v>
      </c>
      <c r="M3" s="125">
        <f>WORKDAY(L3,22,Holiday!$A$1:$A$30)</f>
        <v>46241</v>
      </c>
      <c r="N3" s="125">
        <f>WORKDAY(M3,22,Holiday!$A$1:$A$30)</f>
        <v>46274</v>
      </c>
      <c r="O3" s="125">
        <f>WORKDAY(N3,22,Holiday!$A$1:$A$30)</f>
        <v>46304</v>
      </c>
      <c r="P3" s="125">
        <f>WORKDAY(O3,22,Holiday!$A$1:$A$30)</f>
        <v>46336</v>
      </c>
      <c r="Q3" s="125">
        <f>WORKDAY(P3,22,Holiday!$A$1:$A$30)</f>
        <v>46366</v>
      </c>
      <c r="R3" s="125">
        <f>WORKDAY(Q3,22,Holiday!$A$1:$A$30)</f>
        <v>46398</v>
      </c>
      <c r="S3" s="125">
        <f>WORKDAY(R3,22,Holiday!$A$1:$A$30)</f>
        <v>46428</v>
      </c>
      <c r="T3" s="125">
        <f>WORKDAY(S3,22,Holiday!$A$1:$A$30)</f>
        <v>46458</v>
      </c>
      <c r="U3" s="125">
        <f>WORKDAY(T3,22,Holiday!$A$1:$A$30)</f>
        <v>46490</v>
      </c>
      <c r="V3" s="125">
        <f>WORKDAY(U3,22,Holiday!$A$1:$A$30)</f>
        <v>46520</v>
      </c>
      <c r="W3" s="125">
        <f>WORKDAY(V3,22,Holiday!$A$1:$A$30)</f>
        <v>46552</v>
      </c>
      <c r="X3" s="125">
        <f>WORKDAY(W3,22,Holiday!$A$1:$A$30)</f>
        <v>46582</v>
      </c>
      <c r="Y3" s="125">
        <f>WORKDAY(X3,22,Holiday!$A$1:$A$30)</f>
        <v>46612</v>
      </c>
      <c r="Z3" s="125">
        <f>WORKDAY(Y3,22,Holiday!$A$1:$A$30)</f>
        <v>46644</v>
      </c>
      <c r="AA3" s="125">
        <f>WORKDAY(Z3,22,Holiday!$A$1:$A$30)</f>
        <v>46674</v>
      </c>
      <c r="AB3" s="125">
        <f>WORKDAY(AA3,22,Holiday!$A$1:$A$30)</f>
        <v>46706</v>
      </c>
      <c r="AC3" s="125">
        <f>WORKDAY(AB3,22,Holiday!$A$1:$A$30)</f>
        <v>46736</v>
      </c>
      <c r="AD3" s="125">
        <f>WORKDAY(AC3,22,Holiday!$A$1:$A$30)</f>
        <v>46766</v>
      </c>
      <c r="AE3" s="125">
        <f>WORKDAY(AD3,22,Holiday!$A$1:$A$30)</f>
        <v>46798</v>
      </c>
      <c r="AF3" s="125">
        <f>WORKDAY(AE3,22,Holiday!$A$1:$A$30)</f>
        <v>46828</v>
      </c>
      <c r="AG3" s="125">
        <f>WORKDAY(AF3,22,Holiday!$A$1:$A$30)</f>
        <v>46860</v>
      </c>
      <c r="AH3" s="125">
        <f>WORKDAY(AG3,22,Holiday!$A$1:$A$30)</f>
        <v>46890</v>
      </c>
      <c r="AI3" s="125">
        <f>WORKDAY(AH3,22,Holiday!$A$1:$A$30)</f>
        <v>46920</v>
      </c>
      <c r="AJ3" s="125">
        <f>WORKDAY(AI3,22,Holiday!$A$1:$A$30)</f>
        <v>46952</v>
      </c>
      <c r="AK3" s="125">
        <f>WORKDAY(AJ3,22,Holiday!$A$1:$A$30)</f>
        <v>46982</v>
      </c>
      <c r="AL3" s="125">
        <f>WORKDAY(AK3,22,Holiday!$A$1:$A$30)</f>
        <v>47014</v>
      </c>
      <c r="AM3" s="125">
        <f>WORKDAY(AL3,22,Holiday!$A$1:$A$30)</f>
        <v>47044</v>
      </c>
      <c r="AN3" s="125">
        <f>WORKDAY(AM3,22,Holiday!$A$1:$A$30)</f>
        <v>47074</v>
      </c>
      <c r="AO3" s="125">
        <f>WORKDAY(AN3,22,Holiday!$A$1:$A$30)</f>
        <v>47106</v>
      </c>
    </row>
    <row r="4" spans="1:41" ht="12.75" x14ac:dyDescent="0.2">
      <c r="A4" s="141"/>
      <c r="B4" s="116" t="s">
        <v>79</v>
      </c>
      <c r="C4" s="116" t="s">
        <v>277</v>
      </c>
      <c r="D4" s="117">
        <v>20</v>
      </c>
      <c r="E4" s="117">
        <v>20</v>
      </c>
      <c r="F4" s="123">
        <f>WORKDAY(F3,E4,Holiday!$A$1:$A$30)</f>
        <v>46051</v>
      </c>
      <c r="G4" s="113">
        <f>IF(OR(AND($F3&lt;=G$3, $F4 &gt;= G$3), AND($F4&lt;G$3, WORKDAY($F4, 22,Holiday!$A$1:$A$30)&gt;G$3)), 1, 0)+IF(AND((G$3-$B$2)&gt;=0,(G$3-$B$2)&lt;30), 2,0)</f>
        <v>1</v>
      </c>
      <c r="H4" s="113">
        <f>IF(OR(AND($F3&lt;=H$3, $F4 &gt;= H$3), AND($F4&lt;H$3, WORKDAY($F4, 22,Holiday!$A$1:$A$30)&gt;H$3)), 1, 0)+IF(AND((H$3-$B$2)&gt;=0,(H$3-$B$2)&lt;30), 2,0)</f>
        <v>0</v>
      </c>
      <c r="I4" s="113">
        <f>IF(OR(AND($F3&lt;=I$3, $F4 &gt;= I$3), AND($F4&lt;I$3, WORKDAY($F4, 22,Holiday!$A$1:$A$30)&gt;I$3)), 1, 0)+IF(AND((I$3-$B$2)&gt;=0,(I$3-$B$2)&lt;30), 2,0)</f>
        <v>0</v>
      </c>
      <c r="J4" s="113">
        <f>IF(OR(AND($F3&lt;=J$3, $F4 &gt;= J$3), AND($F4&lt;J$3, WORKDAY($F4, 22,Holiday!$A$1:$A$30)&gt;J$3)), 1, 0)+IF(AND((J$3-$B$2)&gt;=0,(J$3-$B$2)&lt;30), 2,0)</f>
        <v>0</v>
      </c>
      <c r="K4" s="113">
        <f>IF(OR(AND($F3&lt;=K$3, $F4 &gt;= K$3), AND($F4&lt;K$3, WORKDAY($F4, 22,Holiday!$A$1:$A$30)&gt;K$3)), 1, 0)+IF(AND((K$3-$B$2)&gt;=0,(K$3-$B$2)&lt;30), 2,0)</f>
        <v>2</v>
      </c>
      <c r="L4" s="113">
        <f>IF(OR(AND($F3&lt;=L$3, $F4 &gt;= L$3), AND($F4&lt;L$3, WORKDAY($F4, 22,Holiday!$A$1:$A$30)&gt;L$3)), 1, 0)+IF(AND((L$3-$B$2)&gt;=0,(L$3-$B$2)&lt;30), 2,0)</f>
        <v>0</v>
      </c>
      <c r="M4" s="113">
        <f>IF(OR(AND($F3&lt;=M$3, $F4 &gt;= M$3), AND($F4&lt;M$3, WORKDAY($F4, 22,Holiday!$A$1:$A$30)&gt;M$3)), 1, 0)+IF(AND((M$3-$B$2)&gt;=0,(M$3-$B$2)&lt;30), 2,0)</f>
        <v>0</v>
      </c>
      <c r="N4" s="113">
        <f>IF(OR(AND($F3&lt;=N$3, $F4 &gt;= N$3), AND($F4&lt;N$3, WORKDAY($F4, 22,Holiday!$A$1:$A$30)&gt;N$3)), 1, 0)+IF(AND((N$3-$B$2)&gt;=0,(N$3-$B$2)&lt;30), 2,0)</f>
        <v>0</v>
      </c>
      <c r="O4" s="113">
        <f>IF(OR(AND($F3&lt;=O$3, $F4 &gt;= O$3), AND($F4&lt;O$3, WORKDAY($F4, 22,Holiday!$A$1:$A$30)&gt;O$3)), 1, 0)+IF(AND((O$3-$B$2)&gt;=0,(O$3-$B$2)&lt;30), 2,0)</f>
        <v>0</v>
      </c>
      <c r="P4" s="113">
        <f>IF(OR(AND($F3&lt;=P$3, $F4 &gt;= P$3), AND($F4&lt;P$3, WORKDAY($F4, 22,Holiday!$A$1:$A$30)&gt;P$3)), 1, 0)+IF(AND((P$3-$B$2)&gt;=0,(P$3-$B$2)&lt;30), 2,0)</f>
        <v>0</v>
      </c>
      <c r="Q4" s="113">
        <f>IF(OR(AND($F3&lt;=Q$3, $F4 &gt;= Q$3), AND($F4&lt;Q$3, WORKDAY($F4, 22,Holiday!$A$1:$A$30)&gt;Q$3)), 1, 0)+IF(AND((Q$3-$B$2)&gt;=0,(Q$3-$B$2)&lt;30), 2,0)</f>
        <v>0</v>
      </c>
      <c r="R4" s="113">
        <f>IF(OR(AND($F3&lt;=R$3, $F4 &gt;= R$3), AND($F4&lt;R$3, WORKDAY($F4, 22,Holiday!$A$1:$A$30)&gt;R$3)), 1, 0)+IF(AND((R$3-$B$2)&gt;=0,(R$3-$B$2)&lt;30), 2,0)</f>
        <v>0</v>
      </c>
      <c r="S4" s="113">
        <f>IF(OR(AND($F3&lt;=S$3, $F4 &gt;= S$3), AND($F4&lt;S$3, WORKDAY($F4, 22,Holiday!$A$1:$A$30)&gt;S$3)), 1, 0)+IF(AND((S$3-$B$2)&gt;=0,(S$3-$B$2)&lt;30), 2,0)</f>
        <v>0</v>
      </c>
      <c r="T4" s="113">
        <f>IF(OR(AND($F3&lt;=T$3, $F4 &gt;= T$3), AND($F4&lt;T$3, WORKDAY($F4, 22,Holiday!$A$1:$A$30)&gt;T$3)), 1, 0)+IF(AND((T$3-$B$2)&gt;=0,(T$3-$B$2)&lt;30), 2,0)</f>
        <v>0</v>
      </c>
      <c r="U4" s="113">
        <f>IF(OR(AND($F3&lt;=U$3, $F4 &gt;= U$3), AND($F4&lt;U$3, WORKDAY($F4, 22,Holiday!$A$1:$A$30)&gt;U$3)), 1, 0)+IF(AND((U$3-$B$2)&gt;=0,(U$3-$B$2)&lt;30), 2,0)</f>
        <v>0</v>
      </c>
      <c r="V4" s="113">
        <f>IF(OR(AND($F3&lt;=V$3, $F4 &gt;= V$3), AND($F4&lt;V$3, WORKDAY($F4, 22,Holiday!$A$1:$A$30)&gt;V$3)), 1, 0)+IF(AND((V$3-$B$2)&gt;=0,(V$3-$B$2)&lt;30), 2,0)</f>
        <v>0</v>
      </c>
      <c r="W4" s="113">
        <f>IF(OR(AND($F3&lt;=W$3, $F4 &gt;= W$3), AND($F4&lt;W$3, WORKDAY($F4, 22,Holiday!$A$1:$A$30)&gt;W$3)), 1, 0)+IF(AND((W$3-$B$2)&gt;=0,(W$3-$B$2)&lt;30), 2,0)</f>
        <v>0</v>
      </c>
      <c r="X4" s="113">
        <f>IF(OR(AND($F3&lt;=X$3, $F4 &gt;= X$3), AND($F4&lt;X$3, WORKDAY($F4, 22,Holiday!$A$1:$A$30)&gt;X$3)), 1, 0)+IF(AND((X$3-$B$2)&gt;=0,(X$3-$B$2)&lt;30), 2,0)</f>
        <v>0</v>
      </c>
      <c r="Y4" s="113">
        <f>IF(OR(AND($F3&lt;=Y$3, $F4 &gt;= Y$3), AND($F4&lt;Y$3, WORKDAY($F4, 22,Holiday!$A$1:$A$30)&gt;Y$3)), 1, 0)+IF(AND((Y$3-$B$2)&gt;=0,(Y$3-$B$2)&lt;30), 2,0)</f>
        <v>0</v>
      </c>
      <c r="Z4" s="113">
        <f>IF(OR(AND($F3&lt;=Z$3, $F4 &gt;= Z$3), AND($F4&lt;Z$3, WORKDAY($F4, 22,Holiday!$A$1:$A$30)&gt;Z$3)), 1, 0)+IF(AND((Z$3-$B$2)&gt;=0,(Z$3-$B$2)&lt;30), 2,0)</f>
        <v>0</v>
      </c>
      <c r="AA4" s="113">
        <f>IF(OR(AND($F3&lt;=AA$3, $F4 &gt;= AA$3), AND($F4&lt;AA$3, WORKDAY($F4, 22,Holiday!$A$1:$A$30)&gt;AA$3)), 1, 0)+IF(AND((AA$3-$B$2)&gt;=0,(AA$3-$B$2)&lt;30), 2,0)</f>
        <v>0</v>
      </c>
      <c r="AB4" s="113">
        <f>IF(OR(AND($F3&lt;=AB$3, $F4 &gt;= AB$3), AND($F4&lt;AB$3, WORKDAY($F4, 22,Holiday!$A$1:$A$30)&gt;AB$3)), 1, 0)+IF(AND((AB$3-$B$2)&gt;=0,(AB$3-$B$2)&lt;30), 2,0)</f>
        <v>0</v>
      </c>
      <c r="AC4" s="113">
        <f>IF(OR(AND($F3&lt;=AC$3, $F4 &gt;= AC$3), AND($F4&lt;AC$3, WORKDAY($F4, 22,Holiday!$A$1:$A$30)&gt;AC$3)), 1, 0)+IF(AND((AC$3-$B$2)&gt;=0,(AC$3-$B$2)&lt;30), 2,0)</f>
        <v>0</v>
      </c>
      <c r="AD4" s="113">
        <f>IF(OR(AND($F3&lt;=AD$3, $F4 &gt;= AD$3), AND($F4&lt;AD$3, WORKDAY($F4, 22,Holiday!$A$1:$A$30)&gt;AD$3)), 1, 0)+IF(AND((AD$3-$B$2)&gt;=0,(AD$3-$B$2)&lt;30), 2,0)</f>
        <v>0</v>
      </c>
      <c r="AE4" s="113">
        <f>IF(OR(AND($F3&lt;=AE$3, $F4 &gt;= AE$3), AND($F4&lt;AE$3, WORKDAY($F4, 22,Holiday!$A$1:$A$30)&gt;AE$3)), 1, 0)+IF(AND((AE$3-$B$2)&gt;=0,(AE$3-$B$2)&lt;30), 2,0)</f>
        <v>0</v>
      </c>
      <c r="AF4" s="113">
        <f>IF(OR(AND($F3&lt;=AF$3, $F4 &gt;= AF$3), AND($F4&lt;AF$3, WORKDAY($F4, 22,Holiday!$A$1:$A$30)&gt;AF$3)), 1, 0)+IF(AND((AF$3-$B$2)&gt;=0,(AF$3-$B$2)&lt;30), 2,0)</f>
        <v>0</v>
      </c>
      <c r="AG4" s="113">
        <f>IF(OR(AND($F3&lt;=AG$3, $F4 &gt;= AG$3), AND($F4&lt;AG$3, WORKDAY($F4, 22,Holiday!$A$1:$A$30)&gt;AG$3)), 1, 0)+IF(AND((AG$3-$B$2)&gt;=0,(AG$3-$B$2)&lt;30), 2,0)</f>
        <v>0</v>
      </c>
      <c r="AH4" s="113">
        <f>IF(OR(AND($F3&lt;=AH$3, $F4 &gt;= AH$3), AND($F4&lt;AH$3, WORKDAY($F4, 22,Holiday!$A$1:$A$30)&gt;AH$3)), 1, 0)+IF(AND((AH$3-$B$2)&gt;=0,(AH$3-$B$2)&lt;30), 2,0)</f>
        <v>0</v>
      </c>
      <c r="AI4" s="113">
        <f>IF(OR(AND($F3&lt;=AI$3, $F4 &gt;= AI$3), AND($F4&lt;AI$3, WORKDAY($F4, 22,Holiday!$A$1:$A$30)&gt;AI$3)), 1, 0)+IF(AND((AI$3-$B$2)&gt;=0,(AI$3-$B$2)&lt;30), 2,0)</f>
        <v>0</v>
      </c>
      <c r="AJ4" s="113">
        <f>IF(OR(AND($F3&lt;=AJ$3, $F4 &gt;= AJ$3), AND($F4&lt;AJ$3, WORKDAY($F4, 22,Holiday!$A$1:$A$30)&gt;AJ$3)), 1, 0)+IF(AND((AJ$3-$B$2)&gt;=0,(AJ$3-$B$2)&lt;30), 2,0)</f>
        <v>0</v>
      </c>
      <c r="AK4" s="113">
        <f>IF(OR(AND($F3&lt;=AK$3, $F4 &gt;= AK$3), AND($F4&lt;AK$3, WORKDAY($F4, 22,Holiday!$A$1:$A$30)&gt;AK$3)), 1, 0)+IF(AND((AK$3-$B$2)&gt;=0,(AK$3-$B$2)&lt;30), 2,0)</f>
        <v>0</v>
      </c>
      <c r="AL4" s="113">
        <f>IF(OR(AND($F3&lt;=AL$3, $F4 &gt;= AL$3), AND($F4&lt;AL$3, WORKDAY($F4, 22,Holiday!$A$1:$A$30)&gt;AL$3)), 1, 0)+IF(AND((AL$3-$B$2)&gt;=0,(AL$3-$B$2)&lt;30), 2,0)</f>
        <v>0</v>
      </c>
      <c r="AM4" s="113">
        <f>IF(OR(AND($F3&lt;=AM$3, $F4 &gt;= AM$3), AND($F4&lt;AM$3, WORKDAY($F4, 22,Holiday!$A$1:$A$30)&gt;AM$3)), 1, 0)+IF(AND((AM$3-$B$2)&gt;=0,(AM$3-$B$2)&lt;30), 2,0)</f>
        <v>0</v>
      </c>
      <c r="AN4" s="113">
        <f>IF(OR(AND($F3&lt;=AN$3, $F4 &gt;= AN$3), AND($F4&lt;AN$3, WORKDAY($F4, 22,Holiday!$A$1:$A$30)&gt;AN$3)), 1, 0)+IF(AND((AN$3-$B$2)&gt;=0,(AN$3-$B$2)&lt;30), 2,0)</f>
        <v>0</v>
      </c>
      <c r="AO4" s="113">
        <f>IF(OR(AND($F3&lt;=AO$3, $F4 &gt;= AO$3), AND($F4&lt;AO$3, WORKDAY($F4, 22,Holiday!$A$1:$A$30)&gt;AO$3)), 1, 0)+IF(AND((AO$3-$B$2)&gt;=0,(AO$3-$B$2)&lt;30), 2,0)</f>
        <v>0</v>
      </c>
    </row>
    <row r="5" spans="1:41" ht="15" x14ac:dyDescent="0.2">
      <c r="A5" s="85"/>
      <c r="B5" s="116" t="s">
        <v>80</v>
      </c>
      <c r="C5" s="116" t="s">
        <v>78</v>
      </c>
      <c r="D5" s="118">
        <v>15</v>
      </c>
      <c r="E5" s="134">
        <f>ROUNDUP(D5*(1+$D$2),0)</f>
        <v>23</v>
      </c>
      <c r="F5" s="123">
        <f>WORKDAY(F4,E5,Holiday!A1:A30)</f>
        <v>46084</v>
      </c>
      <c r="G5" s="113">
        <f>IF(OR(AND($F4&lt;=G$3, $F5 &gt;= G$3), AND($F5&lt;G$3, WORKDAY($F5, 22,Holiday!$A$1:$A$30)&gt;G$3)), 1, 0)+IF(AND((G$3-$B$2)&gt;=0,(G$3-$B$2)&lt;30), 2,0)</f>
        <v>1</v>
      </c>
      <c r="H5" s="113">
        <f>IF(OR(AND($F4&lt;=H$3, $F5 &gt;= H$3), AND($F5&lt;H$3, WORKDAY($F5, 22,Holiday!$A$1:$A$30)&gt;H$3)), 1, 0)+IF(AND((H$3-$B$2)&gt;=0,(H$3-$B$2)&lt;30), 2,0)</f>
        <v>1</v>
      </c>
      <c r="I5" s="113">
        <f>IF(OR(AND($F4&lt;=I$3, $F5 &gt;= I$3), AND($F5&lt;I$3, WORKDAY($F5, 22,Holiday!$A$1:$A$30)&gt;I$3)), 1, 0)+IF(AND((I$3-$B$2)&gt;=0,(I$3-$B$2)&lt;30), 2,0)</f>
        <v>0</v>
      </c>
      <c r="J5" s="113">
        <f>IF(OR(AND($F4&lt;=J$3, $F5 &gt;= J$3), AND($F5&lt;J$3, WORKDAY($F5, 22,Holiday!$A$1:$A$30)&gt;J$3)), 1, 0)+IF(AND((J$3-$B$2)&gt;=0,(J$3-$B$2)&lt;30), 2,0)</f>
        <v>0</v>
      </c>
      <c r="K5" s="113">
        <f>IF(OR(AND($F4&lt;=K$3, $F5 &gt;= K$3), AND($F5&lt;K$3, WORKDAY($F5, 22,Holiday!$A$1:$A$30)&gt;K$3)), 1, 0)+IF(AND((K$3-$B$2)&gt;=0,(K$3-$B$2)&lt;30), 2,0)</f>
        <v>2</v>
      </c>
      <c r="L5" s="113">
        <f>IF(OR(AND($F4&lt;=L$3, $F5 &gt;= L$3), AND($F5&lt;L$3, WORKDAY($F5, 22,Holiday!$A$1:$A$30)&gt;L$3)), 1, 0)+IF(AND((L$3-$B$2)&gt;=0,(L$3-$B$2)&lt;30), 2,0)</f>
        <v>0</v>
      </c>
      <c r="M5" s="113">
        <f>IF(OR(AND($F4&lt;=M$3, $F5 &gt;= M$3), AND($F5&lt;M$3, WORKDAY($F5, 22,Holiday!$A$1:$A$30)&gt;M$3)), 1, 0)+IF(AND((M$3-$B$2)&gt;=0,(M$3-$B$2)&lt;30), 2,0)</f>
        <v>0</v>
      </c>
      <c r="N5" s="113">
        <f>IF(OR(AND($F4&lt;=N$3, $F5 &gt;= N$3), AND($F5&lt;N$3, WORKDAY($F5, 22,Holiday!$A$1:$A$30)&gt;N$3)), 1, 0)+IF(AND((N$3-$B$2)&gt;=0,(N$3-$B$2)&lt;30), 2,0)</f>
        <v>0</v>
      </c>
      <c r="O5" s="113">
        <f>IF(OR(AND($F4&lt;=O$3, $F5 &gt;= O$3), AND($F5&lt;O$3, WORKDAY($F5, 22,Holiday!$A$1:$A$30)&gt;O$3)), 1, 0)+IF(AND((O$3-$B$2)&gt;=0,(O$3-$B$2)&lt;30), 2,0)</f>
        <v>0</v>
      </c>
      <c r="P5" s="113">
        <f>IF(OR(AND($F4&lt;=P$3, $F5 &gt;= P$3), AND($F5&lt;P$3, WORKDAY($F5, 22,Holiday!$A$1:$A$30)&gt;P$3)), 1, 0)+IF(AND((P$3-$B$2)&gt;=0,(P$3-$B$2)&lt;30), 2,0)</f>
        <v>0</v>
      </c>
      <c r="Q5" s="113">
        <f>IF(OR(AND($F4&lt;=Q$3, $F5 &gt;= Q$3), AND($F5&lt;Q$3, WORKDAY($F5, 22,Holiday!$A$1:$A$30)&gt;Q$3)), 1, 0)+IF(AND((Q$3-$B$2)&gt;=0,(Q$3-$B$2)&lt;30), 2,0)</f>
        <v>0</v>
      </c>
      <c r="R5" s="113">
        <f>IF(OR(AND($F4&lt;=R$3, $F5 &gt;= R$3), AND($F5&lt;R$3, WORKDAY($F5, 22,Holiday!$A$1:$A$30)&gt;R$3)), 1, 0)+IF(AND((R$3-$B$2)&gt;=0,(R$3-$B$2)&lt;30), 2,0)</f>
        <v>0</v>
      </c>
      <c r="S5" s="113">
        <f>IF(OR(AND($F4&lt;=S$3, $F5 &gt;= S$3), AND($F5&lt;S$3, WORKDAY($F5, 22,Holiday!$A$1:$A$30)&gt;S$3)), 1, 0)+IF(AND((S$3-$B$2)&gt;=0,(S$3-$B$2)&lt;30), 2,0)</f>
        <v>0</v>
      </c>
      <c r="T5" s="113">
        <f>IF(OR(AND($F4&lt;=T$3, $F5 &gt;= T$3), AND($F5&lt;T$3, WORKDAY($F5, 22,Holiday!$A$1:$A$30)&gt;T$3)), 1, 0)+IF(AND((T$3-$B$2)&gt;=0,(T$3-$B$2)&lt;30), 2,0)</f>
        <v>0</v>
      </c>
      <c r="U5" s="113">
        <f>IF(OR(AND($F4&lt;=U$3, $F5 &gt;= U$3), AND($F5&lt;U$3, WORKDAY($F5, 22,Holiday!$A$1:$A$30)&gt;U$3)), 1, 0)+IF(AND((U$3-$B$2)&gt;=0,(U$3-$B$2)&lt;30), 2,0)</f>
        <v>0</v>
      </c>
      <c r="V5" s="113">
        <f>IF(OR(AND($F4&lt;=V$3, $F5 &gt;= V$3), AND($F5&lt;V$3, WORKDAY($F5, 22,Holiday!$A$1:$A$30)&gt;V$3)), 1, 0)+IF(AND((V$3-$B$2)&gt;=0,(V$3-$B$2)&lt;30), 2,0)</f>
        <v>0</v>
      </c>
      <c r="W5" s="113">
        <f>IF(OR(AND($F4&lt;=W$3, $F5 &gt;= W$3), AND($F5&lt;W$3, WORKDAY($F5, 22,Holiday!$A$1:$A$30)&gt;W$3)), 1, 0)+IF(AND((W$3-$B$2)&gt;=0,(W$3-$B$2)&lt;30), 2,0)</f>
        <v>0</v>
      </c>
      <c r="X5" s="113">
        <f>IF(OR(AND($F4&lt;=X$3, $F5 &gt;= X$3), AND($F5&lt;X$3, WORKDAY($F5, 22,Holiday!$A$1:$A$30)&gt;X$3)), 1, 0)+IF(AND((X$3-$B$2)&gt;=0,(X$3-$B$2)&lt;30), 2,0)</f>
        <v>0</v>
      </c>
      <c r="Y5" s="113">
        <f>IF(OR(AND($F4&lt;=Y$3, $F5 &gt;= Y$3), AND($F5&lt;Y$3, WORKDAY($F5, 22,Holiday!$A$1:$A$30)&gt;Y$3)), 1, 0)+IF(AND((Y$3-$B$2)&gt;=0,(Y$3-$B$2)&lt;30), 2,0)</f>
        <v>0</v>
      </c>
      <c r="Z5" s="113">
        <f>IF(OR(AND($F4&lt;=Z$3, $F5 &gt;= Z$3), AND($F5&lt;Z$3, WORKDAY($F5, 22,Holiday!$A$1:$A$30)&gt;Z$3)), 1, 0)+IF(AND((Z$3-$B$2)&gt;=0,(Z$3-$B$2)&lt;30), 2,0)</f>
        <v>0</v>
      </c>
      <c r="AA5" s="113">
        <f>IF(OR(AND($F4&lt;=AA$3, $F5 &gt;= AA$3), AND($F5&lt;AA$3, WORKDAY($F5, 22,Holiday!$A$1:$A$30)&gt;AA$3)), 1, 0)+IF(AND((AA$3-$B$2)&gt;=0,(AA$3-$B$2)&lt;30), 2,0)</f>
        <v>0</v>
      </c>
      <c r="AB5" s="113">
        <f>IF(OR(AND($F4&lt;=AB$3, $F5 &gt;= AB$3), AND($F5&lt;AB$3, WORKDAY($F5, 22,Holiday!$A$1:$A$30)&gt;AB$3)), 1, 0)+IF(AND((AB$3-$B$2)&gt;=0,(AB$3-$B$2)&lt;30), 2,0)</f>
        <v>0</v>
      </c>
      <c r="AC5" s="113">
        <f>IF(OR(AND($F4&lt;=AC$3, $F5 &gt;= AC$3), AND($F5&lt;AC$3, WORKDAY($F5, 22,Holiday!$A$1:$A$30)&gt;AC$3)), 1, 0)+IF(AND((AC$3-$B$2)&gt;=0,(AC$3-$B$2)&lt;30), 2,0)</f>
        <v>0</v>
      </c>
      <c r="AD5" s="113">
        <f>IF(OR(AND($F4&lt;=AD$3, $F5 &gt;= AD$3), AND($F5&lt;AD$3, WORKDAY($F5, 22,Holiday!$A$1:$A$30)&gt;AD$3)), 1, 0)+IF(AND((AD$3-$B$2)&gt;=0,(AD$3-$B$2)&lt;30), 2,0)</f>
        <v>0</v>
      </c>
      <c r="AE5" s="113">
        <f>IF(OR(AND($F4&lt;=AE$3, $F5 &gt;= AE$3), AND($F5&lt;AE$3, WORKDAY($F5, 22,Holiday!$A$1:$A$30)&gt;AE$3)), 1, 0)+IF(AND((AE$3-$B$2)&gt;=0,(AE$3-$B$2)&lt;30), 2,0)</f>
        <v>0</v>
      </c>
      <c r="AF5" s="113">
        <f>IF(OR(AND($F4&lt;=AF$3, $F5 &gt;= AF$3), AND($F5&lt;AF$3, WORKDAY($F5, 22,Holiday!$A$1:$A$30)&gt;AF$3)), 1, 0)+IF(AND((AF$3-$B$2)&gt;=0,(AF$3-$B$2)&lt;30), 2,0)</f>
        <v>0</v>
      </c>
      <c r="AG5" s="113">
        <f>IF(OR(AND($F4&lt;=AG$3, $F5 &gt;= AG$3), AND($F5&lt;AG$3, WORKDAY($F5, 22,Holiday!$A$1:$A$30)&gt;AG$3)), 1, 0)+IF(AND((AG$3-$B$2)&gt;=0,(AG$3-$B$2)&lt;30), 2,0)</f>
        <v>0</v>
      </c>
      <c r="AH5" s="113">
        <f>IF(OR(AND($F4&lt;=AH$3, $F5 &gt;= AH$3), AND($F5&lt;AH$3, WORKDAY($F5, 22,Holiday!$A$1:$A$30)&gt;AH$3)), 1, 0)+IF(AND((AH$3-$B$2)&gt;=0,(AH$3-$B$2)&lt;30), 2,0)</f>
        <v>0</v>
      </c>
      <c r="AI5" s="113">
        <f>IF(OR(AND($F4&lt;=AI$3, $F5 &gt;= AI$3), AND($F5&lt;AI$3, WORKDAY($F5, 22,Holiday!$A$1:$A$30)&gt;AI$3)), 1, 0)+IF(AND((AI$3-$B$2)&gt;=0,(AI$3-$B$2)&lt;30), 2,0)</f>
        <v>0</v>
      </c>
      <c r="AJ5" s="113">
        <f>IF(OR(AND($F4&lt;=AJ$3, $F5 &gt;= AJ$3), AND($F5&lt;AJ$3, WORKDAY($F5, 22,Holiday!$A$1:$A$30)&gt;AJ$3)), 1, 0)+IF(AND((AJ$3-$B$2)&gt;=0,(AJ$3-$B$2)&lt;30), 2,0)</f>
        <v>0</v>
      </c>
      <c r="AK5" s="113">
        <f>IF(OR(AND($F4&lt;=AK$3, $F5 &gt;= AK$3), AND($F5&lt;AK$3, WORKDAY($F5, 22,Holiday!$A$1:$A$30)&gt;AK$3)), 1, 0)+IF(AND((AK$3-$B$2)&gt;=0,(AK$3-$B$2)&lt;30), 2,0)</f>
        <v>0</v>
      </c>
      <c r="AL5" s="113">
        <f>IF(OR(AND($F4&lt;=AL$3, $F5 &gt;= AL$3), AND($F5&lt;AL$3, WORKDAY($F5, 22,Holiday!$A$1:$A$30)&gt;AL$3)), 1, 0)+IF(AND((AL$3-$B$2)&gt;=0,(AL$3-$B$2)&lt;30), 2,0)</f>
        <v>0</v>
      </c>
      <c r="AM5" s="113">
        <f>IF(OR(AND($F4&lt;=AM$3, $F5 &gt;= AM$3), AND($F5&lt;AM$3, WORKDAY($F5, 22,Holiday!$A$1:$A$30)&gt;AM$3)), 1, 0)+IF(AND((AM$3-$B$2)&gt;=0,(AM$3-$B$2)&lt;30), 2,0)</f>
        <v>0</v>
      </c>
      <c r="AN5" s="113">
        <f>IF(OR(AND($F4&lt;=AN$3, $F5 &gt;= AN$3), AND($F5&lt;AN$3, WORKDAY($F5, 22,Holiday!$A$1:$A$30)&gt;AN$3)), 1, 0)+IF(AND((AN$3-$B$2)&gt;=0,(AN$3-$B$2)&lt;30), 2,0)</f>
        <v>0</v>
      </c>
      <c r="AO5" s="113">
        <f>IF(OR(AND($F4&lt;=AO$3, $F5 &gt;= AO$3), AND($F5&lt;AO$3, WORKDAY($F5, 22,Holiday!$A$1:$A$30)&gt;AO$3)), 1, 0)+IF(AND((AO$3-$B$2)&gt;=0,(AO$3-$B$2)&lt;30), 2,0)</f>
        <v>0</v>
      </c>
    </row>
    <row r="6" spans="1:41" ht="15" x14ac:dyDescent="0.2">
      <c r="B6" s="116" t="s">
        <v>81</v>
      </c>
      <c r="C6" s="116" t="s">
        <v>78</v>
      </c>
      <c r="D6" s="118">
        <v>3</v>
      </c>
      <c r="E6" s="134">
        <f t="shared" ref="E6:E45" si="0">ROUNDUP(D6*(1+$D$2),0)</f>
        <v>5</v>
      </c>
      <c r="F6" s="123">
        <f>WORKDAY(F5,E6,Holiday!A2:A31)</f>
        <v>46091</v>
      </c>
      <c r="G6" s="113">
        <f>IF(OR(AND($F5&lt;=G$3, $F6 &gt;= G$3), AND($F6&lt;G$3, WORKDAY($F6, 22,Holiday!$A$1:$A$30)&gt;G$3)), 1, 0)+IF(AND((G$3-$B$2)&gt;=0,(G$3-$B$2)&lt;30), 2,0)</f>
        <v>0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1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2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0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s="116" t="s">
        <v>82</v>
      </c>
      <c r="C7" s="116" t="s">
        <v>78</v>
      </c>
      <c r="D7" s="118">
        <v>15</v>
      </c>
      <c r="E7" s="134">
        <f t="shared" si="0"/>
        <v>23</v>
      </c>
      <c r="F7" s="123">
        <f>WORKDAY(F6,E7,Holiday!$A$1:$A$30)</f>
        <v>46122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0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1</v>
      </c>
      <c r="K7" s="113">
        <f>IF(OR(AND($F6&lt;=K$3, $F7 &gt;= K$3), AND($F7&lt;K$3, WORKDAY($F7, 22,Holiday!$A$1:$A$30)&gt;K$3)), 1, 0)+IF(AND((K$3-$B$2)&gt;=0,(K$3-$B$2)&lt;30), 2,0)</f>
        <v>2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0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s="116" t="s">
        <v>83</v>
      </c>
      <c r="C8" s="116" t="s">
        <v>112</v>
      </c>
      <c r="D8" s="118">
        <v>3</v>
      </c>
      <c r="E8" s="134">
        <f t="shared" si="0"/>
        <v>5</v>
      </c>
      <c r="F8" s="123">
        <f>WORKDAY(F4,E8,Holiday!A4:A33)</f>
        <v>46058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1</v>
      </c>
      <c r="I8" s="113">
        <f>IF(OR(AND($F7&lt;=I$3, $F8 &gt;= I$3), AND($F8&lt;I$3, WORKDAY($F8, 22,Holiday!$A$1:$A$30)&gt;I$3)), 1, 0)+IF(AND((I$3-$B$2)&gt;=0,(I$3-$B$2)&lt;30), 2,0)</f>
        <v>0</v>
      </c>
      <c r="J8" s="113">
        <f>IF(OR(AND($F7&lt;=J$3, $F8 &gt;= J$3), AND($F8&lt;J$3, WORKDAY($F8, 22,Holiday!$A$1:$A$30)&gt;J$3)), 1, 0)+IF(AND((J$3-$B$2)&gt;=0,(J$3-$B$2)&lt;30), 2,0)</f>
        <v>0</v>
      </c>
      <c r="K8" s="113">
        <f>IF(OR(AND($F7&lt;=K$3, $F8 &gt;= K$3), AND($F8&lt;K$3, WORKDAY($F8, 22,Holiday!$A$1:$A$30)&gt;K$3)), 1, 0)+IF(AND((K$3-$B$2)&gt;=0,(K$3-$B$2)&lt;30), 2,0)</f>
        <v>2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0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s="116" t="s">
        <v>84</v>
      </c>
      <c r="C9" s="116" t="s">
        <v>112</v>
      </c>
      <c r="D9" s="118">
        <v>5</v>
      </c>
      <c r="E9" s="134">
        <f t="shared" si="0"/>
        <v>8</v>
      </c>
      <c r="F9" s="123">
        <f>WORKDAY(F8,E9,Holiday!A5:A34)</f>
        <v>46070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1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0</v>
      </c>
      <c r="K9" s="113">
        <f>IF(OR(AND($F8&lt;=K$3, $F9 &gt;= K$3), AND($F9&lt;K$3, WORKDAY($F9, 22,Holiday!$A$1:$A$30)&gt;K$3)), 1, 0)+IF(AND((K$3-$B$2)&gt;=0,(K$3-$B$2)&lt;30), 2,0)</f>
        <v>2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0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s="116" t="s">
        <v>85</v>
      </c>
      <c r="C10" s="116" t="s">
        <v>112</v>
      </c>
      <c r="D10" s="118">
        <v>8</v>
      </c>
      <c r="E10" s="134">
        <f t="shared" si="0"/>
        <v>12</v>
      </c>
      <c r="F10" s="123">
        <f>WORKDAY(F9,E10,Holiday!A6:A35)</f>
        <v>46086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1</v>
      </c>
      <c r="I10" s="113">
        <f>IF(OR(AND($F9&lt;=I$3, $F10 &gt;= I$3), AND($F10&lt;I$3, WORKDAY($F10, 22,Holiday!$A$1:$A$30)&gt;I$3)), 1, 0)+IF(AND((I$3-$B$2)&gt;=0,(I$3-$B$2)&lt;30), 2,0)</f>
        <v>1</v>
      </c>
      <c r="J10" s="113">
        <f>IF(OR(AND($F9&lt;=J$3, $F10 &gt;= J$3), AND($F10&lt;J$3, WORKDAY($F10, 22,Holiday!$A$1:$A$30)&gt;J$3)), 1, 0)+IF(AND((J$3-$B$2)&gt;=0,(J$3-$B$2)&lt;30), 2,0)</f>
        <v>0</v>
      </c>
      <c r="K10" s="113">
        <f>IF(OR(AND($F9&lt;=K$3, $F10 &gt;= K$3), AND($F10&lt;K$3, WORKDAY($F10, 22,Holiday!$A$1:$A$30)&gt;K$3)), 1, 0)+IF(AND((K$3-$B$2)&gt;=0,(K$3-$B$2)&lt;30), 2,0)</f>
        <v>2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0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s="116" t="s">
        <v>86</v>
      </c>
      <c r="C11" s="116" t="s">
        <v>112</v>
      </c>
      <c r="D11" s="118">
        <v>13</v>
      </c>
      <c r="E11" s="134">
        <f t="shared" si="0"/>
        <v>20</v>
      </c>
      <c r="F11" s="123">
        <f>WORKDAY(F10,E11,Holiday!A7:A36)</f>
        <v>46114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1</v>
      </c>
      <c r="J11" s="113">
        <f>IF(OR(AND($F10&lt;=J$3, $F11 &gt;= J$3), AND($F11&lt;J$3, WORKDAY($F11, 22,Holiday!$A$1:$A$30)&gt;J$3)), 1, 0)+IF(AND((J$3-$B$2)&gt;=0,(J$3-$B$2)&lt;30), 2,0)</f>
        <v>0</v>
      </c>
      <c r="K11" s="113">
        <f>IF(OR(AND($F10&lt;=K$3, $F11 &gt;= K$3), AND($F11&lt;K$3, WORKDAY($F11, 22,Holiday!$A$1:$A$30)&gt;K$3)), 1, 0)+IF(AND((K$3-$B$2)&gt;=0,(K$3-$B$2)&lt;30), 2,0)</f>
        <v>2</v>
      </c>
      <c r="L11" s="113">
        <f>IF(OR(AND($F10&lt;=L$3, $F11 &gt;= L$3), AND($F11&lt;L$3, WORKDAY($F11, 22,Holiday!$A$1:$A$30)&gt;L$3)), 1, 0)+IF(AND((L$3-$B$2)&gt;=0,(L$3-$B$2)&lt;30), 2,0)</f>
        <v>0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0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s="116" t="s">
        <v>87</v>
      </c>
      <c r="C12" s="116" t="s">
        <v>112</v>
      </c>
      <c r="D12" s="118">
        <v>13</v>
      </c>
      <c r="E12" s="134">
        <f t="shared" si="0"/>
        <v>20</v>
      </c>
      <c r="F12" s="123">
        <f>WORKDAY(F11,E12,Holiday!A8:A37)</f>
        <v>46142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1</v>
      </c>
      <c r="J12" s="113">
        <f>IF(OR(AND($F11&lt;=J$3, $F12 &gt;= J$3), AND($F12&lt;J$3, WORKDAY($F12, 22,Holiday!$A$1:$A$30)&gt;J$3)), 1, 0)+IF(AND((J$3-$B$2)&gt;=0,(J$3-$B$2)&lt;30), 2,0)</f>
        <v>1</v>
      </c>
      <c r="K12" s="113">
        <f>IF(OR(AND($F11&lt;=K$3, $F12 &gt;= K$3), AND($F12&lt;K$3, WORKDAY($F12, 22,Holiday!$A$1:$A$30)&gt;K$3)), 1, 0)+IF(AND((K$3-$B$2)&gt;=0,(K$3-$B$2)&lt;30), 2,0)</f>
        <v>2</v>
      </c>
      <c r="L12" s="113">
        <f>IF(OR(AND($F11&lt;=L$3, $F12 &gt;= L$3), AND($F12&lt;L$3, WORKDAY($F12, 22,Holiday!$A$1:$A$30)&gt;L$3)), 1, 0)+IF(AND((L$3-$B$2)&gt;=0,(L$3-$B$2)&lt;30), 2,0)</f>
        <v>0</v>
      </c>
      <c r="M12" s="113">
        <f>IF(OR(AND($F11&lt;=M$3, $F12 &gt;= M$3), AND($F12&lt;M$3, WORKDAY($F12, 22,Holiday!$A$1:$A$30)&gt;M$3)), 1, 0)+IF(AND((M$3-$B$2)&gt;=0,(M$3-$B$2)&lt;30), 2,0)</f>
        <v>0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0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s="116" t="s">
        <v>88</v>
      </c>
      <c r="C13" s="116" t="s">
        <v>112</v>
      </c>
      <c r="D13" s="118">
        <v>15</v>
      </c>
      <c r="E13" s="134">
        <f t="shared" si="0"/>
        <v>23</v>
      </c>
      <c r="F13" s="123">
        <f>WORKDAY(F12,E13,Holiday!A9:A38)</f>
        <v>46175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1</v>
      </c>
      <c r="K13" s="113">
        <f>IF(OR(AND($F12&lt;=K$3, $F13 &gt;= K$3), AND($F13&lt;K$3, WORKDAY($F13, 22,Holiday!$A$1:$A$30)&gt;K$3)), 1, 0)+IF(AND((K$3-$B$2)&gt;=0,(K$3-$B$2)&lt;30), 2,0)</f>
        <v>3</v>
      </c>
      <c r="L13" s="113">
        <f>IF(OR(AND($F12&lt;=L$3, $F13 &gt;= L$3), AND($F13&lt;L$3, WORKDAY($F13, 22,Holiday!$A$1:$A$30)&gt;L$3)), 1, 0)+IF(AND((L$3-$B$2)&gt;=0,(L$3-$B$2)&lt;30), 2,0)</f>
        <v>0</v>
      </c>
      <c r="M13" s="113">
        <f>IF(OR(AND($F12&lt;=M$3, $F13 &gt;= M$3), AND($F13&lt;M$3, WORKDAY($F13, 22,Holiday!$A$1:$A$30)&gt;M$3)), 1, 0)+IF(AND((M$3-$B$2)&gt;=0,(M$3-$B$2)&lt;30), 2,0)</f>
        <v>0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0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s="116" t="s">
        <v>89</v>
      </c>
      <c r="C14" s="116" t="s">
        <v>113</v>
      </c>
      <c r="D14" s="118">
        <v>15</v>
      </c>
      <c r="E14" s="134">
        <f t="shared" si="0"/>
        <v>23</v>
      </c>
      <c r="F14" s="123">
        <f>WORKDAY(F4,E14,Holiday!A10:A39)</f>
        <v>46084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1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2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0</v>
      </c>
      <c r="N14" s="113">
        <f>IF(OR(AND($F13&lt;=N$3, $F14 &gt;= N$3), AND($F14&lt;N$3, WORKDAY($F14, 22,Holiday!$A$1:$A$30)&gt;N$3)), 1, 0)+IF(AND((N$3-$B$2)&gt;=0,(N$3-$B$2)&lt;30), 2,0)</f>
        <v>0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0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s="116" t="s">
        <v>90</v>
      </c>
      <c r="C15" s="116" t="s">
        <v>113</v>
      </c>
      <c r="D15" s="118">
        <v>13</v>
      </c>
      <c r="E15" s="134">
        <f t="shared" si="0"/>
        <v>20</v>
      </c>
      <c r="F15" s="123">
        <f>WORKDAY(F14,E15,Holiday!A11:A40)</f>
        <v>46112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1</v>
      </c>
      <c r="I15" s="113">
        <f>IF(OR(AND($F14&lt;=I$3, $F15 &gt;= I$3), AND($F15&lt;I$3, WORKDAY($F15, 22,Holiday!$A$1:$A$30)&gt;I$3)), 1, 0)+IF(AND((I$3-$B$2)&gt;=0,(I$3-$B$2)&lt;30), 2,0)</f>
        <v>1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2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0</v>
      </c>
      <c r="O15" s="113">
        <f>IF(OR(AND($F14&lt;=O$3, $F15 &gt;= O$3), AND($F15&lt;O$3, WORKDAY($F15, 22,Holiday!$A$1:$A$30)&gt;O$3)), 1, 0)+IF(AND((O$3-$B$2)&gt;=0,(O$3-$B$2)&lt;30), 2,0)</f>
        <v>0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0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s="116" t="s">
        <v>91</v>
      </c>
      <c r="C16" s="116" t="s">
        <v>113</v>
      </c>
      <c r="D16" s="118">
        <v>3</v>
      </c>
      <c r="E16" s="134">
        <f t="shared" si="0"/>
        <v>5</v>
      </c>
      <c r="F16" s="123">
        <f>WORKDAY(F15,E16,Holiday!A12:A41)</f>
        <v>46119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0</v>
      </c>
      <c r="I16" s="113">
        <f>IF(OR(AND($F15&lt;=I$3, $F16 &gt;= I$3), AND($F16&lt;I$3, WORKDAY($F16, 22,Holiday!$A$1:$A$30)&gt;I$3)), 1, 0)+IF(AND((I$3-$B$2)&gt;=0,(I$3-$B$2)&lt;30), 2,0)</f>
        <v>1</v>
      </c>
      <c r="J16" s="113">
        <f>IF(OR(AND($F15&lt;=J$3, $F16 &gt;= J$3), AND($F16&lt;J$3, WORKDAY($F16, 22,Holiday!$A$1:$A$30)&gt;J$3)), 1, 0)+IF(AND((J$3-$B$2)&gt;=0,(J$3-$B$2)&lt;30), 2,0)</f>
        <v>1</v>
      </c>
      <c r="K16" s="113">
        <f>IF(OR(AND($F15&lt;=K$3, $F16 &gt;= K$3), AND($F16&lt;K$3, WORKDAY($F16, 22,Holiday!$A$1:$A$30)&gt;K$3)), 1, 0)+IF(AND((K$3-$B$2)&gt;=0,(K$3-$B$2)&lt;30), 2,0)</f>
        <v>2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0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s="116" t="s">
        <v>92</v>
      </c>
      <c r="C17" s="116" t="s">
        <v>113</v>
      </c>
      <c r="D17" s="118">
        <v>13</v>
      </c>
      <c r="E17" s="134">
        <f t="shared" si="0"/>
        <v>20</v>
      </c>
      <c r="F17" s="123">
        <f>WORKDAY(F16,E17,Holiday!A13:A42)</f>
        <v>46147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0</v>
      </c>
      <c r="I17" s="113">
        <f>IF(OR(AND($F16&lt;=I$3, $F17 &gt;= I$3), AND($F17&lt;I$3, WORKDAY($F17, 22,Holiday!$A$1:$A$30)&gt;I$3)), 1, 0)+IF(AND((I$3-$B$2)&gt;=0,(I$3-$B$2)&lt;30), 2,0)</f>
        <v>0</v>
      </c>
      <c r="J17" s="113">
        <f>IF(OR(AND($F16&lt;=J$3, $F17 &gt;= J$3), AND($F17&lt;J$3, WORKDAY($F17, 22,Holiday!$A$1:$A$30)&gt;J$3)), 1, 0)+IF(AND((J$3-$B$2)&gt;=0,(J$3-$B$2)&lt;30), 2,0)</f>
        <v>1</v>
      </c>
      <c r="K17" s="113">
        <f>IF(OR(AND($F16&lt;=K$3, $F17 &gt;= K$3), AND($F17&lt;K$3, WORKDAY($F17, 22,Holiday!$A$1:$A$30)&gt;K$3)), 1, 0)+IF(AND((K$3-$B$2)&gt;=0,(K$3-$B$2)&lt;30), 2,0)</f>
        <v>2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0</v>
      </c>
      <c r="Q17" s="113">
        <f>IF(OR(AND($F16&lt;=Q$3, $F17 &gt;= Q$3), AND($F17&lt;Q$3, WORKDAY($F17, 22,Holiday!$A$1:$A$30)&gt;Q$3)), 1, 0)+IF(AND((Q$3-$B$2)&gt;=0,(Q$3-$B$2)&lt;30), 2,0)</f>
        <v>0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s="116" t="s">
        <v>93</v>
      </c>
      <c r="C18" s="116" t="s">
        <v>113</v>
      </c>
      <c r="D18" s="118">
        <v>5</v>
      </c>
      <c r="E18" s="134">
        <f t="shared" si="0"/>
        <v>8</v>
      </c>
      <c r="F18" s="123">
        <f>WORKDAY(F17,E18,Holiday!A14:A43)</f>
        <v>46157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0</v>
      </c>
      <c r="J18" s="113">
        <f>IF(OR(AND($F17&lt;=J$3, $F18 &gt;= J$3), AND($F18&lt;J$3, WORKDAY($F18, 22,Holiday!$A$1:$A$30)&gt;J$3)), 1, 0)+IF(AND((J$3-$B$2)&gt;=0,(J$3-$B$2)&lt;30), 2,0)</f>
        <v>1</v>
      </c>
      <c r="K18" s="113">
        <f>IF(OR(AND($F17&lt;=K$3, $F18 &gt;= K$3), AND($F18&lt;K$3, WORKDAY($F18, 22,Holiday!$A$1:$A$30)&gt;K$3)), 1, 0)+IF(AND((K$3-$B$2)&gt;=0,(K$3-$B$2)&lt;30), 2,0)</f>
        <v>3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0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s="116" t="s">
        <v>94</v>
      </c>
      <c r="C19" s="116" t="s">
        <v>214</v>
      </c>
      <c r="D19" s="118">
        <v>8</v>
      </c>
      <c r="E19" s="134">
        <f t="shared" si="0"/>
        <v>12</v>
      </c>
      <c r="F19" s="123">
        <f>WORKDAY(F4,E19,Holiday!A15:A44)</f>
        <v>46069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1</v>
      </c>
      <c r="I19" s="113">
        <f>IF(OR(AND($F18&lt;=I$3, $F19 &gt;= I$3), AND($F19&lt;I$3, WORKDAY($F19, 22,Holiday!$A$1:$A$30)&gt;I$3)), 1, 0)+IF(AND((I$3-$B$2)&gt;=0,(I$3-$B$2)&lt;30), 2,0)</f>
        <v>0</v>
      </c>
      <c r="J19" s="113">
        <f>IF(OR(AND($F18&lt;=J$3, $F19 &gt;= J$3), AND($F19&lt;J$3, WORKDAY($F19, 22,Holiday!$A$1:$A$30)&gt;J$3)), 1, 0)+IF(AND((J$3-$B$2)&gt;=0,(J$3-$B$2)&lt;30), 2,0)</f>
        <v>0</v>
      </c>
      <c r="K19" s="113">
        <f>IF(OR(AND($F18&lt;=K$3, $F19 &gt;= K$3), AND($F19&lt;K$3, WORKDAY($F19, 22,Holiday!$A$1:$A$30)&gt;K$3)), 1, 0)+IF(AND((K$3-$B$2)&gt;=0,(K$3-$B$2)&lt;30), 2,0)</f>
        <v>2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0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s="116" t="s">
        <v>95</v>
      </c>
      <c r="C20" s="116" t="s">
        <v>214</v>
      </c>
      <c r="D20" s="118">
        <v>8</v>
      </c>
      <c r="E20" s="134">
        <f t="shared" si="0"/>
        <v>12</v>
      </c>
      <c r="F20" s="123">
        <f>WORKDAY(F19,E20,Holiday!A16:A45)</f>
        <v>46085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1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0</v>
      </c>
      <c r="K20" s="113">
        <f>IF(OR(AND($F19&lt;=K$3, $F20 &gt;= K$3), AND($F20&lt;K$3, WORKDAY($F20, 22,Holiday!$A$1:$A$30)&gt;K$3)), 1, 0)+IF(AND((K$3-$B$2)&gt;=0,(K$3-$B$2)&lt;30), 2,0)</f>
        <v>2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0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s="116" t="s">
        <v>96</v>
      </c>
      <c r="C21" s="116" t="s">
        <v>214</v>
      </c>
      <c r="D21" s="118">
        <v>8</v>
      </c>
      <c r="E21" s="134">
        <f t="shared" si="0"/>
        <v>12</v>
      </c>
      <c r="F21" s="123">
        <f>WORKDAY(F20,E21,Holiday!A17:A46)</f>
        <v>46101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1</v>
      </c>
      <c r="I21" s="113">
        <f>IF(OR(AND($F20&lt;=I$3, $F21 &gt;= I$3), AND($F21&lt;I$3, WORKDAY($F21, 22,Holiday!$A$1:$A$30)&gt;I$3)), 1, 0)+IF(AND((I$3-$B$2)&gt;=0,(I$3-$B$2)&lt;30), 2,0)</f>
        <v>1</v>
      </c>
      <c r="J21" s="113">
        <f>IF(OR(AND($F20&lt;=J$3, $F21 &gt;= J$3), AND($F21&lt;J$3, WORKDAY($F21, 22,Holiday!$A$1:$A$30)&gt;J$3)), 1, 0)+IF(AND((J$3-$B$2)&gt;=0,(J$3-$B$2)&lt;30), 2,0)</f>
        <v>0</v>
      </c>
      <c r="K21" s="113">
        <f>IF(OR(AND($F20&lt;=K$3, $F21 &gt;= K$3), AND($F21&lt;K$3, WORKDAY($F21, 22,Holiday!$A$1:$A$30)&gt;K$3)), 1, 0)+IF(AND((K$3-$B$2)&gt;=0,(K$3-$B$2)&lt;30), 2,0)</f>
        <v>2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0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s="116" t="s">
        <v>97</v>
      </c>
      <c r="C22" s="116" t="s">
        <v>214</v>
      </c>
      <c r="D22" s="118">
        <v>5</v>
      </c>
      <c r="E22" s="134">
        <f t="shared" si="0"/>
        <v>8</v>
      </c>
      <c r="F22" s="123">
        <f>WORKDAY(F21,E22,Holiday!A18:A47)</f>
        <v>46113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1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2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0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s="116" t="s">
        <v>98</v>
      </c>
      <c r="C23" s="116" t="s">
        <v>214</v>
      </c>
      <c r="D23" s="118">
        <v>8</v>
      </c>
      <c r="E23" s="134">
        <f t="shared" si="0"/>
        <v>12</v>
      </c>
      <c r="F23" s="123">
        <f>WORKDAY(F22,E23,Holiday!A19:A48)</f>
        <v>46129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1</v>
      </c>
      <c r="J23" s="113">
        <f>IF(OR(AND($F22&lt;=J$3, $F23 &gt;= J$3), AND($F23&lt;J$3, WORKDAY($F23, 22,Holiday!$A$1:$A$30)&gt;J$3)), 1, 0)+IF(AND((J$3-$B$2)&gt;=0,(J$3-$B$2)&lt;30), 2,0)</f>
        <v>1</v>
      </c>
      <c r="K23" s="113">
        <f>IF(OR(AND($F22&lt;=K$3, $F23 &gt;= K$3), AND($F23&lt;K$3, WORKDAY($F23, 22,Holiday!$A$1:$A$30)&gt;K$3)), 1, 0)+IF(AND((K$3-$B$2)&gt;=0,(K$3-$B$2)&lt;30), 2,0)</f>
        <v>2</v>
      </c>
      <c r="L23" s="113">
        <f>IF(OR(AND($F22&lt;=L$3, $F23 &gt;= L$3), AND($F23&lt;L$3, WORKDAY($F23, 22,Holiday!$A$1:$A$30)&gt;L$3)), 1, 0)+IF(AND((L$3-$B$2)&gt;=0,(L$3-$B$2)&lt;30), 2,0)</f>
        <v>0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0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s="116" t="s">
        <v>99</v>
      </c>
      <c r="C24" s="116" t="s">
        <v>214</v>
      </c>
      <c r="D24" s="118">
        <v>8</v>
      </c>
      <c r="E24" s="134">
        <f t="shared" si="0"/>
        <v>12</v>
      </c>
      <c r="F24" s="123">
        <f>WORKDAY(F23,E24,Holiday!A20:A49)</f>
        <v>46147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1</v>
      </c>
      <c r="K24" s="113">
        <f>IF(OR(AND($F23&lt;=K$3, $F24 &gt;= K$3), AND($F24&lt;K$3, WORKDAY($F24, 22,Holiday!$A$1:$A$30)&gt;K$3)), 1, 0)+IF(AND((K$3-$B$2)&gt;=0,(K$3-$B$2)&lt;30), 2,0)</f>
        <v>2</v>
      </c>
      <c r="L24" s="113">
        <f>IF(OR(AND($F23&lt;=L$3, $F24 &gt;= L$3), AND($F24&lt;L$3, WORKDAY($F24, 22,Holiday!$A$1:$A$30)&gt;L$3)), 1, 0)+IF(AND((L$3-$B$2)&gt;=0,(L$3-$B$2)&lt;30), 2,0)</f>
        <v>0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0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s="116" t="s">
        <v>100</v>
      </c>
      <c r="C25" s="116" t="s">
        <v>214</v>
      </c>
      <c r="D25" s="118">
        <v>3</v>
      </c>
      <c r="E25" s="134">
        <f t="shared" si="0"/>
        <v>5</v>
      </c>
      <c r="F25" s="123">
        <f>WORKDAY(F24,E25,Holiday!A21:A50)</f>
        <v>46154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1</v>
      </c>
      <c r="K25" s="113">
        <f>IF(OR(AND($F24&lt;=K$3, $F25 &gt;= K$3), AND($F25&lt;K$3, WORKDAY($F25, 22,Holiday!$A$1:$A$30)&gt;K$3)), 1, 0)+IF(AND((K$3-$B$2)&gt;=0,(K$3-$B$2)&lt;30), 2,0)</f>
        <v>3</v>
      </c>
      <c r="L25" s="113">
        <f>IF(OR(AND($F24&lt;=L$3, $F25 &gt;= L$3), AND($F25&lt;L$3, WORKDAY($F25, 22,Holiday!$A$1:$A$30)&gt;L$3)), 1, 0)+IF(AND((L$3-$B$2)&gt;=0,(L$3-$B$2)&lt;30), 2,0)</f>
        <v>0</v>
      </c>
      <c r="M25" s="113">
        <f>IF(OR(AND($F24&lt;=M$3, $F25 &gt;= M$3), AND($F25&lt;M$3, WORKDAY($F25, 22,Holiday!$A$1:$A$30)&gt;M$3)), 1, 0)+IF(AND((M$3-$B$2)&gt;=0,(M$3-$B$2)&lt;30), 2,0)</f>
        <v>0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0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s="116" t="s">
        <v>101</v>
      </c>
      <c r="C26" s="116" t="s">
        <v>215</v>
      </c>
      <c r="D26" s="117">
        <v>10</v>
      </c>
      <c r="E26" s="134">
        <f t="shared" si="0"/>
        <v>15</v>
      </c>
      <c r="F26" s="123">
        <f>WORKDAY(F4,E26,Holiday!A22:A51)</f>
        <v>46072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1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2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0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0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s="116" t="s">
        <v>102</v>
      </c>
      <c r="C27" s="116" t="s">
        <v>215</v>
      </c>
      <c r="D27" s="117">
        <v>10</v>
      </c>
      <c r="E27" s="134">
        <f t="shared" si="0"/>
        <v>15</v>
      </c>
      <c r="F27" s="123">
        <f>WORKDAY(F26,E27,Holiday!A23:A52)</f>
        <v>46093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1</v>
      </c>
      <c r="I27" s="113">
        <f>IF(OR(AND($F26&lt;=I$3, $F27 &gt;= I$3), AND($F27&lt;I$3, WORKDAY($F27, 22,Holiday!$A$1:$A$30)&gt;I$3)), 1, 0)+IF(AND((I$3-$B$2)&gt;=0,(I$3-$B$2)&lt;30), 2,0)</f>
        <v>1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2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0</v>
      </c>
      <c r="N27" s="113">
        <f>IF(OR(AND($F26&lt;=N$3, $F27 &gt;= N$3), AND($F27&lt;N$3, WORKDAY($F27, 22,Holiday!$A$1:$A$30)&gt;N$3)), 1, 0)+IF(AND((N$3-$B$2)&gt;=0,(N$3-$B$2)&lt;30), 2,0)</f>
        <v>0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0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s="116" t="s">
        <v>103</v>
      </c>
      <c r="C28" s="116" t="s">
        <v>215</v>
      </c>
      <c r="D28" s="117">
        <v>10</v>
      </c>
      <c r="E28" s="134">
        <f t="shared" si="0"/>
        <v>15</v>
      </c>
      <c r="F28" s="123">
        <f>WORKDAY(F27,E28,Holiday!A24:A53)</f>
        <v>46114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1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2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0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0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s="116" t="s">
        <v>104</v>
      </c>
      <c r="C29" s="116" t="s">
        <v>216</v>
      </c>
      <c r="D29" s="117">
        <v>20</v>
      </c>
      <c r="E29" s="134">
        <f t="shared" si="0"/>
        <v>30</v>
      </c>
      <c r="F29" s="123">
        <f>WORKDAY(F28,E29,Holiday!A25:A54)</f>
        <v>46156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1</v>
      </c>
      <c r="J29" s="113">
        <f>IF(OR(AND($F28&lt;=J$3, $F29 &gt;= J$3), AND($F29&lt;J$3, WORKDAY($F29, 22,Holiday!$A$1:$A$30)&gt;J$3)), 1, 0)+IF(AND((J$3-$B$2)&gt;=0,(J$3-$B$2)&lt;30), 2,0)</f>
        <v>1</v>
      </c>
      <c r="K29" s="113">
        <f>IF(OR(AND($F28&lt;=K$3, $F29 &gt;= K$3), AND($F29&lt;K$3, WORKDAY($F29, 22,Holiday!$A$1:$A$30)&gt;K$3)), 1, 0)+IF(AND((K$3-$B$2)&gt;=0,(K$3-$B$2)&lt;30), 2,0)</f>
        <v>3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0</v>
      </c>
      <c r="O29" s="113">
        <f>IF(OR(AND($F28&lt;=O$3, $F29 &gt;= O$3), AND($F29&lt;O$3, WORKDAY($F29, 22,Holiday!$A$1:$A$30)&gt;O$3)), 1, 0)+IF(AND((O$3-$B$2)&gt;=0,(O$3-$B$2)&lt;30), 2,0)</f>
        <v>0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0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s="116" t="s">
        <v>105</v>
      </c>
      <c r="C30" s="116" t="s">
        <v>216</v>
      </c>
      <c r="D30" s="117">
        <v>20</v>
      </c>
      <c r="E30" s="134">
        <f t="shared" si="0"/>
        <v>30</v>
      </c>
      <c r="F30" s="123">
        <f>WORKDAY(F4,E30,Holiday!A26:A55)</f>
        <v>46093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1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2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0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s="116" t="s">
        <v>106</v>
      </c>
      <c r="C31" s="116" t="s">
        <v>216</v>
      </c>
      <c r="D31" s="117">
        <v>20</v>
      </c>
      <c r="E31" s="134">
        <f t="shared" si="0"/>
        <v>30</v>
      </c>
      <c r="F31" s="123">
        <f>WORKDAY(F30,E31,Holiday!A27:A56)</f>
        <v>46135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1</v>
      </c>
      <c r="J31" s="113">
        <f>IF(OR(AND($F30&lt;=J$3, $F31 &gt;= J$3), AND($F31&lt;J$3, WORKDAY($F31, 22,Holiday!$A$1:$A$30)&gt;J$3)), 1, 0)+IF(AND((J$3-$B$2)&gt;=0,(J$3-$B$2)&lt;30), 2,0)</f>
        <v>1</v>
      </c>
      <c r="K31" s="113">
        <f>IF(OR(AND($F30&lt;=K$3, $F31 &gt;= K$3), AND($F31&lt;K$3, WORKDAY($F31, 22,Holiday!$A$1:$A$30)&gt;K$3)), 1, 0)+IF(AND((K$3-$B$2)&gt;=0,(K$3-$B$2)&lt;30), 2,0)</f>
        <v>2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0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s="116" t="s">
        <v>107</v>
      </c>
      <c r="C32" s="116" t="s">
        <v>216</v>
      </c>
      <c r="D32" s="117">
        <v>20</v>
      </c>
      <c r="E32" s="134">
        <f t="shared" si="0"/>
        <v>30</v>
      </c>
      <c r="F32" s="123">
        <f>WORKDAY(F31,E32,Holiday!A28:A57)</f>
        <v>46177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1</v>
      </c>
      <c r="K32" s="113">
        <f>IF(OR(AND($F31&lt;=K$3, $F32 &gt;= K$3), AND($F32&lt;K$3, WORKDAY($F32, 22,Holiday!$A$1:$A$30)&gt;K$3)), 1, 0)+IF(AND((K$3-$B$2)&gt;=0,(K$3-$B$2)&lt;30), 2,0)</f>
        <v>3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0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s="116" t="s">
        <v>260</v>
      </c>
      <c r="C33" s="116" t="s">
        <v>273</v>
      </c>
      <c r="D33" s="117">
        <v>3</v>
      </c>
      <c r="E33" s="134">
        <f t="shared" si="0"/>
        <v>5</v>
      </c>
      <c r="F33" s="123">
        <f>WORKDAY(F4,E33,Holiday!A29:A58)</f>
        <v>46058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1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2</v>
      </c>
      <c r="L33" s="113">
        <f>IF(OR(AND($F32&lt;=L$3, $F33 &gt;= L$3), AND($F33&lt;L$3, WORKDAY($F33, 22,Holiday!$A$1:$A$30)&gt;L$3)), 1, 0)+IF(AND((L$3-$B$2)&gt;=0,(L$3-$B$2)&lt;30), 2,0)</f>
        <v>0</v>
      </c>
      <c r="M33" s="113">
        <f>IF(OR(AND($F32&lt;=M$3, $F33 &gt;= M$3), AND($F33&lt;M$3, WORKDAY($F33, 22,Holiday!$A$1:$A$30)&gt;M$3)), 1, 0)+IF(AND((M$3-$B$2)&gt;=0,(M$3-$B$2)&lt;30), 2,0)</f>
        <v>0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0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.75" customHeight="1" x14ac:dyDescent="0.2">
      <c r="B34" s="116" t="s">
        <v>261</v>
      </c>
      <c r="C34" s="116" t="s">
        <v>273</v>
      </c>
      <c r="D34" s="117">
        <v>5</v>
      </c>
      <c r="E34" s="134">
        <f t="shared" si="0"/>
        <v>8</v>
      </c>
      <c r="F34" s="123">
        <f>WORKDAY(F33,E34,Holiday!A30:A59)</f>
        <v>46070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1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2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0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0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">
      <c r="B35" s="120" t="s">
        <v>262</v>
      </c>
      <c r="C35" s="116" t="s">
        <v>273</v>
      </c>
      <c r="D35" s="117">
        <v>8</v>
      </c>
      <c r="E35" s="134">
        <f t="shared" si="0"/>
        <v>12</v>
      </c>
      <c r="F35" s="123">
        <f>WORKDAY(F34,E35,Holiday!A31:A60)</f>
        <v>46086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1</v>
      </c>
      <c r="I35" s="113">
        <f>IF(OR(AND($F34&lt;=I$3, $F35 &gt;= I$3), AND($F35&lt;I$3, WORKDAY($F35, 22,Holiday!$A$1:$A$30)&gt;I$3)), 1, 0)+IF(AND((I$3-$B$2)&gt;=0,(I$3-$B$2)&lt;30), 2,0)</f>
        <v>1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2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0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0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">
      <c r="B36" s="120" t="s">
        <v>263</v>
      </c>
      <c r="C36" s="116" t="s">
        <v>273</v>
      </c>
      <c r="D36" s="117">
        <v>8</v>
      </c>
      <c r="E36" s="134">
        <f t="shared" si="0"/>
        <v>12</v>
      </c>
      <c r="F36" s="123">
        <f>WORKDAY(F35,E36,Holiday!A32:A61)</f>
        <v>46104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1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2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0</v>
      </c>
      <c r="N36" s="113">
        <f>IF(OR(AND($F35&lt;=N$3, $F36 &gt;= N$3), AND($F36&lt;N$3, WORKDAY($F36, 22,Holiday!$A$1:$A$30)&gt;N$3)), 1, 0)+IF(AND((N$3-$B$2)&gt;=0,(N$3-$B$2)&lt;30), 2,0)</f>
        <v>0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0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">
      <c r="B37" s="116" t="s">
        <v>264</v>
      </c>
      <c r="C37" s="116" t="s">
        <v>273</v>
      </c>
      <c r="D37" s="117">
        <v>10</v>
      </c>
      <c r="E37" s="134">
        <f t="shared" si="0"/>
        <v>15</v>
      </c>
      <c r="F37" s="123">
        <f>WORKDAY(F36,E37,Holiday!A33:A62)</f>
        <v>46125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1</v>
      </c>
      <c r="J37" s="113">
        <f>IF(OR(AND($F36&lt;=J$3, $F37 &gt;= J$3), AND($F37&lt;J$3, WORKDAY($F37, 22,Holiday!$A$1:$A$30)&gt;J$3)), 1, 0)+IF(AND((J$3-$B$2)&gt;=0,(J$3-$B$2)&lt;30), 2,0)</f>
        <v>1</v>
      </c>
      <c r="K37" s="113">
        <f>IF(OR(AND($F36&lt;=K$3, $F37 &gt;= K$3), AND($F37&lt;K$3, WORKDAY($F37, 22,Holiday!$A$1:$A$30)&gt;K$3)), 1, 0)+IF(AND((K$3-$B$2)&gt;=0,(K$3-$B$2)&lt;30), 2,0)</f>
        <v>2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0</v>
      </c>
      <c r="O37" s="113">
        <f>IF(OR(AND($F36&lt;=O$3, $F37 &gt;= O$3), AND($F37&lt;O$3, WORKDAY($F37, 22,Holiday!$A$1:$A$30)&gt;O$3)), 1, 0)+IF(AND((O$3-$B$2)&gt;=0,(O$3-$B$2)&lt;30), 2,0)</f>
        <v>0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0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">
      <c r="B38" s="120" t="s">
        <v>265</v>
      </c>
      <c r="C38" s="116" t="s">
        <v>273</v>
      </c>
      <c r="D38" s="117">
        <v>8</v>
      </c>
      <c r="E38" s="134">
        <f t="shared" si="0"/>
        <v>12</v>
      </c>
      <c r="F38" s="123">
        <f>WORKDAY(F37,E38,Holiday!A34:A63)</f>
        <v>46141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1</v>
      </c>
      <c r="K38" s="113">
        <f>IF(OR(AND($F37&lt;=K$3, $F38 &gt;= K$3), AND($F38&lt;K$3, WORKDAY($F38, 22,Holiday!$A$1:$A$30)&gt;K$3)), 1, 0)+IF(AND((K$3-$B$2)&gt;=0,(K$3-$B$2)&lt;30), 2,0)</f>
        <v>2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0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0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">
      <c r="B39" s="120" t="s">
        <v>266</v>
      </c>
      <c r="C39" s="116" t="s">
        <v>273</v>
      </c>
      <c r="D39" s="117">
        <v>10</v>
      </c>
      <c r="E39" s="134">
        <f t="shared" si="0"/>
        <v>15</v>
      </c>
      <c r="F39" s="123">
        <f>WORKDAY(F38,E39,Holiday!A35:A64)</f>
        <v>46162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0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1</v>
      </c>
      <c r="K39" s="113">
        <f>IF(OR(AND($F38&lt;=K$3, $F39 &gt;= K$3), AND($F39&lt;K$3, WORKDAY($F39, 22,Holiday!$A$1:$A$30)&gt;K$3)), 1, 0)+IF(AND((K$3-$B$2)&gt;=0,(K$3-$B$2)&lt;30), 2,0)</f>
        <v>3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0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">
      <c r="B40" s="120" t="s">
        <v>267</v>
      </c>
      <c r="C40" s="116" t="s">
        <v>274</v>
      </c>
      <c r="D40" s="117">
        <v>8</v>
      </c>
      <c r="E40" s="134">
        <f t="shared" si="0"/>
        <v>12</v>
      </c>
      <c r="F40" s="123">
        <f>WORKDAY(F4,E40,Holiday!A36:A65)</f>
        <v>46069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1</v>
      </c>
      <c r="I40" s="113">
        <f>IF(OR(AND($F39&lt;=I$3, $F40 &gt;= I$3), AND($F40&lt;I$3, WORKDAY($F40, 22,Holiday!$A$1:$A$30)&gt;I$3)), 1, 0)+IF(AND((I$3-$B$2)&gt;=0,(I$3-$B$2)&lt;30), 2,0)</f>
        <v>0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2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0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">
      <c r="B41" s="120" t="s">
        <v>268</v>
      </c>
      <c r="C41" s="116" t="s">
        <v>274</v>
      </c>
      <c r="D41" s="117">
        <v>10</v>
      </c>
      <c r="E41" s="134">
        <f t="shared" si="0"/>
        <v>15</v>
      </c>
      <c r="F41" s="123">
        <f>WORKDAY(F40,E41,Holiday!A37:A66)</f>
        <v>46090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1</v>
      </c>
      <c r="I41" s="113">
        <f>IF(OR(AND($F40&lt;=I$3, $F41 &gt;= I$3), AND($F41&lt;I$3, WORKDAY($F41, 22,Holiday!$A$1:$A$30)&gt;I$3)), 1, 0)+IF(AND((I$3-$B$2)&gt;=0,(I$3-$B$2)&lt;30), 2,0)</f>
        <v>1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2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0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">
      <c r="B42" s="120" t="s">
        <v>269</v>
      </c>
      <c r="C42" s="116" t="s">
        <v>274</v>
      </c>
      <c r="D42" s="117">
        <v>10</v>
      </c>
      <c r="E42" s="134">
        <f t="shared" si="0"/>
        <v>15</v>
      </c>
      <c r="F42" s="123">
        <f>WORKDAY(F41,E42,Holiday!A38:A67)</f>
        <v>46111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1</v>
      </c>
      <c r="J42" s="113">
        <f>IF(OR(AND($F41&lt;=J$3, $F42 &gt;= J$3), AND($F42&lt;J$3, WORKDAY($F42, 22,Holiday!$A$1:$A$30)&gt;J$3)), 1, 0)+IF(AND((J$3-$B$2)&gt;=0,(J$3-$B$2)&lt;30), 2,0)</f>
        <v>0</v>
      </c>
      <c r="K42" s="113">
        <f>IF(OR(AND($F41&lt;=K$3, $F42 &gt;= K$3), AND($F42&lt;K$3, WORKDAY($F42, 22,Holiday!$A$1:$A$30)&gt;K$3)), 1, 0)+IF(AND((K$3-$B$2)&gt;=0,(K$3-$B$2)&lt;30), 2,0)</f>
        <v>2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0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">
      <c r="B43" s="120" t="s">
        <v>270</v>
      </c>
      <c r="C43" s="116" t="s">
        <v>274</v>
      </c>
      <c r="D43" s="117">
        <v>8</v>
      </c>
      <c r="E43" s="134">
        <f t="shared" si="0"/>
        <v>12</v>
      </c>
      <c r="F43" s="123">
        <f>WORKDAY(F42,E43,Holiday!A39:A68)</f>
        <v>46127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1</v>
      </c>
      <c r="J43" s="113">
        <f>IF(OR(AND($F42&lt;=J$3, $F43 &gt;= J$3), AND($F43&lt;J$3, WORKDAY($F43, 22,Holiday!$A$1:$A$30)&gt;J$3)), 1, 0)+IF(AND((J$3-$B$2)&gt;=0,(J$3-$B$2)&lt;30), 2,0)</f>
        <v>1</v>
      </c>
      <c r="K43" s="113">
        <f>IF(OR(AND($F42&lt;=K$3, $F43 &gt;= K$3), AND($F43&lt;K$3, WORKDAY($F43, 22,Holiday!$A$1:$A$30)&gt;K$3)), 1, 0)+IF(AND((K$3-$B$2)&gt;=0,(K$3-$B$2)&lt;30), 2,0)</f>
        <v>2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0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">
      <c r="B44" s="120" t="s">
        <v>271</v>
      </c>
      <c r="C44" s="116" t="s">
        <v>274</v>
      </c>
      <c r="D44" s="117">
        <v>5</v>
      </c>
      <c r="E44" s="134">
        <f t="shared" si="0"/>
        <v>8</v>
      </c>
      <c r="F44" s="123">
        <f>WORKDAY(F43,E44,Holiday!A40:A69)</f>
        <v>46139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1</v>
      </c>
      <c r="K44" s="113">
        <f>IF(OR(AND($F43&lt;=K$3, $F44 &gt;= K$3), AND($F44&lt;K$3, WORKDAY($F44, 22,Holiday!$A$1:$A$30)&gt;K$3)), 1, 0)+IF(AND((K$3-$B$2)&gt;=0,(K$3-$B$2)&lt;30), 2,0)</f>
        <v>2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0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">
      <c r="B45" s="120" t="s">
        <v>272</v>
      </c>
      <c r="C45" s="116" t="s">
        <v>274</v>
      </c>
      <c r="D45" s="117">
        <v>13</v>
      </c>
      <c r="E45" s="134">
        <f t="shared" si="0"/>
        <v>20</v>
      </c>
      <c r="F45" s="123">
        <f>WORKDAY(F44,E45,Holiday!A41:A70)</f>
        <v>46167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1</v>
      </c>
      <c r="K45" s="113">
        <f>IF(OR(AND($F44&lt;=K$3, $F45 &gt;= K$3), AND($F45&lt;K$3, WORKDAY($F45, 22,Holiday!$A$1:$A$30)&gt;K$3)), 1, 0)+IF(AND((K$3-$B$2)&gt;=0,(K$3-$B$2)&lt;30), 2,0)</f>
        <v>3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0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</sheetData>
  <mergeCells count="38">
    <mergeCell ref="I1:I2"/>
    <mergeCell ref="A1:A2"/>
    <mergeCell ref="E1:E2"/>
    <mergeCell ref="F1:F2"/>
    <mergeCell ref="G1:G2"/>
    <mergeCell ref="H1:H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G1:AG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N1:AN2"/>
    <mergeCell ref="AO1:AO2"/>
    <mergeCell ref="AH1:AH2"/>
    <mergeCell ref="AI1:AI2"/>
    <mergeCell ref="AJ1:AJ2"/>
    <mergeCell ref="AK1:AK2"/>
    <mergeCell ref="AL1:AL2"/>
    <mergeCell ref="AM1:AM2"/>
  </mergeCells>
  <conditionalFormatting sqref="G3:AO3">
    <cfRule type="expression" dxfId="7" priority="1">
      <formula>G$4&gt;1</formula>
    </cfRule>
  </conditionalFormatting>
  <conditionalFormatting sqref="G4:AO45">
    <cfRule type="cellIs" dxfId="6" priority="2" operator="greaterThan">
      <formula>1</formula>
    </cfRule>
    <cfRule type="cellIs" dxfId="5" priority="3" operator="equal">
      <formula>0</formula>
    </cfRule>
    <cfRule type="cellIs" dxfId="4" priority="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95F6-D0DB-4601-8264-46944F0E609B}">
  <dimension ref="A1:A6"/>
  <sheetViews>
    <sheetView workbookViewId="0">
      <selection activeCell="A23" sqref="A23"/>
    </sheetView>
  </sheetViews>
  <sheetFormatPr defaultRowHeight="12.75" x14ac:dyDescent="0.2"/>
  <cols>
    <col min="1" max="1" width="10.140625" style="114" bestFit="1" customWidth="1"/>
  </cols>
  <sheetData>
    <row r="1" spans="1:1" x14ac:dyDescent="0.2">
      <c r="A1" s="114">
        <v>45901</v>
      </c>
    </row>
    <row r="2" spans="1:1" x14ac:dyDescent="0.2">
      <c r="A2" s="114">
        <v>45902</v>
      </c>
    </row>
    <row r="3" spans="1:1" x14ac:dyDescent="0.2">
      <c r="A3" s="114">
        <v>46023</v>
      </c>
    </row>
    <row r="4" spans="1:1" x14ac:dyDescent="0.2">
      <c r="A4" s="114">
        <v>46142</v>
      </c>
    </row>
    <row r="5" spans="1:1" x14ac:dyDescent="0.2">
      <c r="A5" s="114">
        <v>46143</v>
      </c>
    </row>
    <row r="6" spans="1:1" x14ac:dyDescent="0.2">
      <c r="A6" s="114">
        <v>46267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1557-5853-433D-A2E2-67D2B6E2E690}">
  <dimension ref="A1:C2"/>
  <sheetViews>
    <sheetView workbookViewId="0">
      <selection activeCell="C1" sqref="C1"/>
    </sheetView>
  </sheetViews>
  <sheetFormatPr defaultRowHeight="12.75" x14ac:dyDescent="0.2"/>
  <cols>
    <col min="2" max="3" width="10.140625" bestFit="1" customWidth="1"/>
  </cols>
  <sheetData>
    <row r="1" spans="1:3" ht="25.5" x14ac:dyDescent="0.2">
      <c r="A1" s="127" t="s">
        <v>257</v>
      </c>
      <c r="B1" s="127" t="s">
        <v>259</v>
      </c>
      <c r="C1" s="127" t="s">
        <v>258</v>
      </c>
    </row>
    <row r="2" spans="1:3" x14ac:dyDescent="0.2">
      <c r="A2" s="130">
        <v>0.5</v>
      </c>
      <c r="B2" s="126">
        <v>46023</v>
      </c>
      <c r="C2" s="126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Mẫu Thiết lập ban đầu</vt:lpstr>
      <vt:lpstr>Mẫu tiến trình chạy</vt:lpstr>
      <vt:lpstr>Migration</vt:lpstr>
      <vt:lpstr>BPM 1 DEV</vt:lpstr>
      <vt:lpstr>BPM 2 DEV</vt:lpstr>
      <vt:lpstr>BPM 3 DEV</vt:lpstr>
      <vt:lpstr>BPM 4 DEV</vt:lpstr>
      <vt:lpstr>BPM 6 DEV</vt:lpstr>
      <vt:lpstr>BPM 10 DEV</vt:lpstr>
      <vt:lpstr>ETL 1 DEV </vt:lpstr>
      <vt:lpstr>ETL 2 DEV</vt:lpstr>
      <vt:lpstr>ETL 3 DEV</vt:lpstr>
      <vt:lpstr>ETL 4 DEV</vt:lpstr>
      <vt:lpstr>ETL 8 DEV</vt:lpstr>
      <vt:lpstr>Holiday</vt:lpstr>
      <vt:lpstr>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Nguyen Minh</dc:creator>
  <cp:lastModifiedBy>Duc Nguyen Minh</cp:lastModifiedBy>
  <dcterms:created xsi:type="dcterms:W3CDTF">2025-08-24T13:28:06Z</dcterms:created>
  <dcterms:modified xsi:type="dcterms:W3CDTF">2025-09-09T01:51:59Z</dcterms:modified>
</cp:coreProperties>
</file>